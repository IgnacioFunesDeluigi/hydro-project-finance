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Projects\hydro-project-finance\model\"/>
    </mc:Choice>
  </mc:AlternateContent>
  <bookViews>
    <workbookView xWindow="0" yWindow="0" windowWidth="22470" windowHeight="4815" tabRatio="872"/>
  </bookViews>
  <sheets>
    <sheet name="Cover" sheetId="1" r:id="rId1"/>
    <sheet name="Inputs" sheetId="2" r:id="rId2"/>
    <sheet name="Data_Energy" sheetId="3" r:id="rId3"/>
    <sheet name="Timeline" sheetId="4" r:id="rId4"/>
    <sheet name="Construction" sheetId="5" r:id="rId5"/>
    <sheet name="Operations" sheetId="6" r:id="rId6"/>
    <sheet name="Tax" sheetId="7" r:id="rId7"/>
    <sheet name="Debt" sheetId="8" r:id="rId8"/>
    <sheet name="Cashflow" sheetId="9" r:id="rId9"/>
    <sheet name="Ratios" sheetId="10" r:id="rId10"/>
    <sheet name="Returns" sheetId="11" r:id="rId11"/>
    <sheet name="Sensitivities" sheetId="12" r:id="rId12"/>
    <sheet name="Checks" sheetId="13" r:id="rId13"/>
  </sheets>
  <definedNames>
    <definedName name="annual_energy_1" localSheetId="2">Data_Energy!$A$4:$F$73</definedName>
    <definedName name="semiannual_energy_1" localSheetId="2">Data_Energy!$A$77:$G$215</definedName>
  </definedNames>
  <calcPr calcId="152511"/>
</workbook>
</file>

<file path=xl/calcChain.xml><?xml version="1.0" encoding="utf-8"?>
<calcChain xmlns="http://schemas.openxmlformats.org/spreadsheetml/2006/main">
  <c r="C14" i="8" l="1"/>
  <c r="C15" i="8" s="1"/>
  <c r="C12" i="8"/>
  <c r="E25" i="9" l="1"/>
  <c r="F25" i="9"/>
  <c r="G25" i="9"/>
  <c r="D25" i="9"/>
  <c r="B38" i="13" l="1"/>
  <c r="D38" i="13"/>
  <c r="B39" i="13"/>
  <c r="D39" i="13"/>
  <c r="A39" i="13"/>
  <c r="A38" i="13"/>
  <c r="B33" i="13"/>
  <c r="D33" i="13"/>
  <c r="A33" i="13"/>
  <c r="B30" i="13"/>
  <c r="D30" i="13"/>
  <c r="B31" i="13"/>
  <c r="D31" i="13"/>
  <c r="A31" i="13"/>
  <c r="A30" i="13"/>
  <c r="B28" i="13"/>
  <c r="D28" i="13"/>
  <c r="B29" i="13"/>
  <c r="D29" i="13"/>
  <c r="A29" i="13"/>
  <c r="A28" i="13"/>
  <c r="B24" i="13"/>
  <c r="D24" i="13"/>
  <c r="B25" i="13"/>
  <c r="D25" i="13"/>
  <c r="B26" i="13"/>
  <c r="D26" i="13"/>
  <c r="A25" i="13"/>
  <c r="A26" i="13"/>
  <c r="A24" i="13"/>
  <c r="B21" i="13"/>
  <c r="D21" i="13"/>
  <c r="B22" i="13"/>
  <c r="D22" i="13"/>
  <c r="A22" i="13"/>
  <c r="A21" i="13"/>
  <c r="B20" i="13"/>
  <c r="C20" i="13"/>
  <c r="D20" i="13"/>
  <c r="A20" i="13"/>
  <c r="B18" i="13"/>
  <c r="D18" i="13"/>
  <c r="A18" i="13"/>
  <c r="B16" i="13"/>
  <c r="D16" i="13"/>
  <c r="B17" i="13"/>
  <c r="D17" i="13"/>
  <c r="A17" i="13"/>
  <c r="A16" i="13"/>
  <c r="B14" i="13"/>
  <c r="D14" i="13"/>
  <c r="A14" i="13"/>
  <c r="D12" i="13"/>
  <c r="D13" i="13"/>
  <c r="B12" i="13"/>
  <c r="B13" i="13"/>
  <c r="A13" i="13"/>
  <c r="A12" i="13"/>
  <c r="B10" i="13"/>
  <c r="C10" i="13"/>
  <c r="D10" i="13"/>
  <c r="B11" i="13"/>
  <c r="C11" i="13"/>
  <c r="D11" i="13"/>
  <c r="A11" i="13"/>
  <c r="A10" i="13"/>
  <c r="B5" i="13"/>
  <c r="C5" i="13"/>
  <c r="D5" i="13"/>
  <c r="B6" i="13"/>
  <c r="C6" i="13"/>
  <c r="D6" i="13"/>
  <c r="B7" i="13"/>
  <c r="C7" i="13"/>
  <c r="D7" i="13"/>
  <c r="B8" i="13"/>
  <c r="C8" i="13"/>
  <c r="D8" i="13"/>
  <c r="A6" i="13"/>
  <c r="A7" i="13"/>
  <c r="A8" i="13"/>
  <c r="A5" i="13"/>
  <c r="D20" i="12" l="1"/>
  <c r="N19" i="3" l="1"/>
  <c r="M19" i="3"/>
  <c r="L19" i="3"/>
  <c r="B8" i="10" l="1"/>
  <c r="A8" i="10"/>
  <c r="B10" i="10" l="1"/>
  <c r="C10" i="10"/>
  <c r="A10" i="10"/>
  <c r="B9" i="10"/>
  <c r="C9" i="10"/>
  <c r="D9" i="10"/>
  <c r="A9" i="10"/>
  <c r="BU12" i="9" l="1"/>
  <c r="A9" i="9"/>
  <c r="B7" i="9"/>
  <c r="B8" i="9"/>
  <c r="B9" i="9"/>
  <c r="A8" i="9"/>
  <c r="A7" i="9"/>
  <c r="B6" i="9"/>
  <c r="A6" i="9"/>
  <c r="C25" i="5" l="1"/>
  <c r="B8" i="8" l="1"/>
  <c r="B7" i="10" s="1"/>
  <c r="A8" i="8"/>
  <c r="A7" i="10" s="1"/>
  <c r="B7" i="8"/>
  <c r="B6" i="10" s="1"/>
  <c r="A7" i="8"/>
  <c r="A6" i="10" s="1"/>
  <c r="B6" i="8"/>
  <c r="C6" i="8"/>
  <c r="D6" i="8"/>
  <c r="E6" i="8"/>
  <c r="F6" i="8"/>
  <c r="G6" i="8"/>
  <c r="H6" i="8"/>
  <c r="I6" i="8"/>
  <c r="J6" i="8"/>
  <c r="K6" i="8"/>
  <c r="L6" i="8"/>
  <c r="M6" i="8"/>
  <c r="N6" i="8"/>
  <c r="O6" i="8"/>
  <c r="P6" i="8"/>
  <c r="Q6" i="8"/>
  <c r="R6" i="8"/>
  <c r="S6" i="8"/>
  <c r="T6" i="8"/>
  <c r="U6" i="8"/>
  <c r="V6" i="8"/>
  <c r="W6" i="8"/>
  <c r="X6" i="8"/>
  <c r="Y6" i="8"/>
  <c r="Z6" i="8"/>
  <c r="AA6" i="8"/>
  <c r="AB6" i="8"/>
  <c r="AC6" i="8"/>
  <c r="AD6" i="8"/>
  <c r="AE6" i="8"/>
  <c r="AF6" i="8"/>
  <c r="AG6" i="8"/>
  <c r="AH6" i="8"/>
  <c r="AI6" i="8"/>
  <c r="AJ6" i="8"/>
  <c r="AK6" i="8"/>
  <c r="AL6" i="8"/>
  <c r="AM6" i="8"/>
  <c r="AN6" i="8"/>
  <c r="AO6" i="8"/>
  <c r="AP6" i="8"/>
  <c r="AQ6" i="8"/>
  <c r="AR6" i="8"/>
  <c r="AS6" i="8"/>
  <c r="AT6" i="8"/>
  <c r="AU6" i="8"/>
  <c r="AV6" i="8"/>
  <c r="AW6" i="8"/>
  <c r="AX6" i="8"/>
  <c r="AY6" i="8"/>
  <c r="AZ6" i="8"/>
  <c r="BA6" i="8"/>
  <c r="BB6" i="8"/>
  <c r="BC6" i="8"/>
  <c r="BD6" i="8"/>
  <c r="BE6" i="8"/>
  <c r="BF6" i="8"/>
  <c r="BG6" i="8"/>
  <c r="BH6" i="8"/>
  <c r="BI6" i="8"/>
  <c r="BJ6" i="8"/>
  <c r="BK6" i="8"/>
  <c r="BL6" i="8"/>
  <c r="BM6" i="8"/>
  <c r="BN6" i="8"/>
  <c r="BO6" i="8"/>
  <c r="BP6" i="8"/>
  <c r="BQ6" i="8"/>
  <c r="BR6" i="8"/>
  <c r="BS6" i="8"/>
  <c r="BT6" i="8"/>
  <c r="BU6" i="8"/>
  <c r="A6" i="8"/>
  <c r="B8" i="7" l="1"/>
  <c r="A8" i="7"/>
  <c r="B7" i="7"/>
  <c r="A7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BC6" i="7"/>
  <c r="BD6" i="7"/>
  <c r="BE6" i="7"/>
  <c r="BF6" i="7"/>
  <c r="BG6" i="7"/>
  <c r="BH6" i="7"/>
  <c r="BI6" i="7"/>
  <c r="BJ6" i="7"/>
  <c r="BK6" i="7"/>
  <c r="BL6" i="7"/>
  <c r="BM6" i="7"/>
  <c r="BN6" i="7"/>
  <c r="BO6" i="7"/>
  <c r="BP6" i="7"/>
  <c r="BQ6" i="7"/>
  <c r="BR6" i="7"/>
  <c r="BS6" i="7"/>
  <c r="BT6" i="7"/>
  <c r="BU6" i="7"/>
  <c r="A6" i="7"/>
  <c r="B22" i="6" l="1"/>
  <c r="C22" i="6"/>
  <c r="A22" i="6"/>
  <c r="C10" i="6" l="1"/>
  <c r="C12" i="6" l="1"/>
  <c r="C11" i="6"/>
  <c r="B9" i="6"/>
  <c r="C9" i="6"/>
  <c r="A9" i="6"/>
  <c r="B8" i="6"/>
  <c r="A8" i="6"/>
  <c r="B7" i="6"/>
  <c r="C7" i="6"/>
  <c r="A7" i="6"/>
  <c r="B6" i="6"/>
  <c r="C6" i="6"/>
  <c r="A6" i="6"/>
  <c r="C10" i="5" l="1"/>
  <c r="B19" i="4" l="1"/>
  <c r="C7" i="4" l="1"/>
  <c r="E15" i="4"/>
  <c r="F15" i="4" s="1"/>
  <c r="G15" i="4" s="1"/>
  <c r="H15" i="4" s="1"/>
  <c r="I15" i="4" s="1"/>
  <c r="J15" i="4" s="1"/>
  <c r="K15" i="4" s="1"/>
  <c r="L15" i="4" s="1"/>
  <c r="M15" i="4" s="1"/>
  <c r="N15" i="4" s="1"/>
  <c r="O15" i="4" s="1"/>
  <c r="P15" i="4" s="1"/>
  <c r="Q15" i="4" s="1"/>
  <c r="R15" i="4" s="1"/>
  <c r="S15" i="4" s="1"/>
  <c r="T15" i="4" s="1"/>
  <c r="U15" i="4" s="1"/>
  <c r="V15" i="4" s="1"/>
  <c r="W15" i="4" s="1"/>
  <c r="X15" i="4" s="1"/>
  <c r="Y15" i="4" s="1"/>
  <c r="Z15" i="4" s="1"/>
  <c r="AA15" i="4" s="1"/>
  <c r="AB15" i="4" s="1"/>
  <c r="AC15" i="4" s="1"/>
  <c r="AD15" i="4" s="1"/>
  <c r="AE15" i="4" s="1"/>
  <c r="AF15" i="4" s="1"/>
  <c r="AG15" i="4" s="1"/>
  <c r="AH15" i="4" s="1"/>
  <c r="AI15" i="4" s="1"/>
  <c r="AJ15" i="4" s="1"/>
  <c r="AK15" i="4" s="1"/>
  <c r="AL15" i="4" s="1"/>
  <c r="AM15" i="4" s="1"/>
  <c r="AN15" i="4" s="1"/>
  <c r="AO15" i="4" s="1"/>
  <c r="AP15" i="4" s="1"/>
  <c r="AQ15" i="4" s="1"/>
  <c r="AR15" i="4" s="1"/>
  <c r="AS15" i="4" s="1"/>
  <c r="AT15" i="4" s="1"/>
  <c r="AU15" i="4" s="1"/>
  <c r="AV15" i="4" s="1"/>
  <c r="AW15" i="4" s="1"/>
  <c r="AX15" i="4" s="1"/>
  <c r="AY15" i="4" s="1"/>
  <c r="AZ15" i="4" s="1"/>
  <c r="BA15" i="4" s="1"/>
  <c r="BB15" i="4" s="1"/>
  <c r="BC15" i="4" s="1"/>
  <c r="BD15" i="4" s="1"/>
  <c r="BE15" i="4" s="1"/>
  <c r="BF15" i="4" s="1"/>
  <c r="BG15" i="4" s="1"/>
  <c r="BH15" i="4" s="1"/>
  <c r="BI15" i="4" s="1"/>
  <c r="BJ15" i="4" s="1"/>
  <c r="BK15" i="4" s="1"/>
  <c r="BL15" i="4" s="1"/>
  <c r="BM15" i="4" s="1"/>
  <c r="BN15" i="4" s="1"/>
  <c r="BO15" i="4" s="1"/>
  <c r="BP15" i="4" s="1"/>
  <c r="BQ15" i="4" s="1"/>
  <c r="BR15" i="4" s="1"/>
  <c r="BS15" i="4" s="1"/>
  <c r="BT15" i="4" s="1"/>
  <c r="BU15" i="4" s="1"/>
  <c r="C8" i="4" l="1"/>
  <c r="D16" i="4"/>
  <c r="B44" i="2"/>
  <c r="D6" i="5" l="1"/>
  <c r="D6" i="6"/>
  <c r="D23" i="4"/>
  <c r="D17" i="4"/>
  <c r="D20" i="4"/>
  <c r="C11" i="4"/>
  <c r="D21" i="4" s="1"/>
  <c r="C10" i="4"/>
  <c r="C9" i="4"/>
  <c r="B28" i="2"/>
  <c r="D7" i="5" l="1"/>
  <c r="D6" i="9"/>
  <c r="D7" i="7"/>
  <c r="D9" i="7" s="1"/>
  <c r="D8" i="6"/>
  <c r="D8" i="5"/>
  <c r="D22" i="6"/>
  <c r="D23" i="6" s="1"/>
  <c r="D24" i="6" s="1"/>
  <c r="D24" i="4"/>
  <c r="D9" i="6" s="1"/>
  <c r="D15" i="6" s="1"/>
  <c r="D16" i="6" s="1"/>
  <c r="D11" i="5"/>
  <c r="D13" i="5"/>
  <c r="D22" i="4"/>
  <c r="E16" i="4"/>
  <c r="D18" i="4"/>
  <c r="D19" i="4"/>
  <c r="D7" i="6" s="1"/>
  <c r="D25" i="4"/>
  <c r="B88" i="3"/>
  <c r="B86" i="3"/>
  <c r="B84" i="3"/>
  <c r="B82" i="3"/>
  <c r="B80" i="3"/>
  <c r="B78" i="3"/>
  <c r="L10" i="3" s="1"/>
  <c r="L11" i="3" s="1"/>
  <c r="B92" i="3"/>
  <c r="B94" i="3"/>
  <c r="B96" i="3"/>
  <c r="B98" i="3"/>
  <c r="B100" i="3"/>
  <c r="B102" i="3"/>
  <c r="B104" i="3"/>
  <c r="B106" i="3"/>
  <c r="B108" i="3"/>
  <c r="B110" i="3"/>
  <c r="B112" i="3"/>
  <c r="B114" i="3"/>
  <c r="B116" i="3"/>
  <c r="B118" i="3"/>
  <c r="B120" i="3"/>
  <c r="B122" i="3"/>
  <c r="B124" i="3"/>
  <c r="B126" i="3"/>
  <c r="B128" i="3"/>
  <c r="B130" i="3"/>
  <c r="B132" i="3"/>
  <c r="B134" i="3"/>
  <c r="B136" i="3"/>
  <c r="B138" i="3"/>
  <c r="B140" i="3"/>
  <c r="B142" i="3"/>
  <c r="B144" i="3"/>
  <c r="B146" i="3"/>
  <c r="B148" i="3"/>
  <c r="B150" i="3"/>
  <c r="B152" i="3"/>
  <c r="B154" i="3"/>
  <c r="B156" i="3"/>
  <c r="B158" i="3"/>
  <c r="B160" i="3"/>
  <c r="B162" i="3"/>
  <c r="B164" i="3"/>
  <c r="B166" i="3"/>
  <c r="B168" i="3"/>
  <c r="B170" i="3"/>
  <c r="B172" i="3"/>
  <c r="B174" i="3"/>
  <c r="B176" i="3"/>
  <c r="B178" i="3"/>
  <c r="B180" i="3"/>
  <c r="B182" i="3"/>
  <c r="B184" i="3"/>
  <c r="O10" i="3" s="1"/>
  <c r="O11" i="3" s="1"/>
  <c r="B186" i="3"/>
  <c r="B188" i="3"/>
  <c r="B190" i="3"/>
  <c r="B192" i="3"/>
  <c r="B194" i="3"/>
  <c r="B196" i="3"/>
  <c r="B198" i="3"/>
  <c r="B200" i="3"/>
  <c r="B202" i="3"/>
  <c r="B204" i="3"/>
  <c r="B206" i="3"/>
  <c r="B208" i="3"/>
  <c r="B210" i="3"/>
  <c r="B212" i="3"/>
  <c r="B214" i="3"/>
  <c r="B90" i="3"/>
  <c r="L6" i="3"/>
  <c r="L5" i="3"/>
  <c r="L4" i="3"/>
  <c r="E6" i="5" l="1"/>
  <c r="E6" i="6"/>
  <c r="D7" i="9"/>
  <c r="D7" i="8"/>
  <c r="D13" i="6"/>
  <c r="D16" i="5"/>
  <c r="D12" i="5"/>
  <c r="E23" i="4"/>
  <c r="E17" i="4"/>
  <c r="E20" i="4"/>
  <c r="E22" i="4"/>
  <c r="E21" i="4"/>
  <c r="L16" i="3"/>
  <c r="L17" i="3"/>
  <c r="M17" i="3"/>
  <c r="N17" i="3" s="1"/>
  <c r="M16" i="3"/>
  <c r="N16" i="3" s="1"/>
  <c r="M18" i="3"/>
  <c r="E8" i="5" l="1"/>
  <c r="E22" i="6"/>
  <c r="E23" i="6" s="1"/>
  <c r="D14" i="6"/>
  <c r="E7" i="7"/>
  <c r="E9" i="7" s="1"/>
  <c r="E8" i="6"/>
  <c r="D9" i="8"/>
  <c r="D11" i="8" s="1"/>
  <c r="D6" i="10"/>
  <c r="D24" i="8"/>
  <c r="D20" i="7" s="1"/>
  <c r="D16" i="9"/>
  <c r="D10" i="10"/>
  <c r="E7" i="5"/>
  <c r="E6" i="9"/>
  <c r="E7" i="9"/>
  <c r="E7" i="8"/>
  <c r="E24" i="4"/>
  <c r="E9" i="6" s="1"/>
  <c r="E15" i="6" s="1"/>
  <c r="E16" i="6" s="1"/>
  <c r="D14" i="5"/>
  <c r="E13" i="5"/>
  <c r="E11" i="5"/>
  <c r="E19" i="4"/>
  <c r="E7" i="6" s="1"/>
  <c r="E13" i="6" s="1"/>
  <c r="E14" i="6" s="1"/>
  <c r="F16" i="4"/>
  <c r="E18" i="4"/>
  <c r="E25" i="4"/>
  <c r="L18" i="3"/>
  <c r="N18" i="3" s="1"/>
  <c r="D27" i="9" l="1"/>
  <c r="F6" i="5"/>
  <c r="F6" i="6"/>
  <c r="D11" i="10"/>
  <c r="D13" i="10"/>
  <c r="E17" i="6"/>
  <c r="E25" i="6"/>
  <c r="E6" i="10"/>
  <c r="E9" i="8"/>
  <c r="E11" i="8" s="1"/>
  <c r="E24" i="6"/>
  <c r="E16" i="9"/>
  <c r="E10" i="10"/>
  <c r="D11" i="9"/>
  <c r="D25" i="6"/>
  <c r="D17" i="6"/>
  <c r="D26" i="9"/>
  <c r="E39" i="5"/>
  <c r="E12" i="5"/>
  <c r="E16" i="5"/>
  <c r="D15" i="5"/>
  <c r="D18" i="5" s="1"/>
  <c r="F23" i="4"/>
  <c r="F17" i="4"/>
  <c r="F22" i="4"/>
  <c r="F20" i="4"/>
  <c r="F21" i="4"/>
  <c r="F24" i="4" s="1"/>
  <c r="F9" i="6" s="1"/>
  <c r="F15" i="6" s="1"/>
  <c r="F16" i="6" s="1"/>
  <c r="D26" i="6" l="1"/>
  <c r="E26" i="6"/>
  <c r="E27" i="6" s="1"/>
  <c r="E26" i="9"/>
  <c r="E13" i="10"/>
  <c r="E11" i="10"/>
  <c r="F7" i="7"/>
  <c r="F9" i="7" s="1"/>
  <c r="F8" i="6"/>
  <c r="F7" i="5"/>
  <c r="F13" i="5" s="1"/>
  <c r="F6" i="9"/>
  <c r="F7" i="9"/>
  <c r="F7" i="8"/>
  <c r="F8" i="5"/>
  <c r="F22" i="6"/>
  <c r="F23" i="6" s="1"/>
  <c r="E27" i="9"/>
  <c r="E14" i="5"/>
  <c r="F18" i="4"/>
  <c r="F19" i="4"/>
  <c r="F7" i="6" s="1"/>
  <c r="F13" i="6" s="1"/>
  <c r="G16" i="4"/>
  <c r="F25" i="4"/>
  <c r="G6" i="5" l="1"/>
  <c r="G6" i="6"/>
  <c r="F14" i="6"/>
  <c r="F11" i="5"/>
  <c r="F16" i="5" s="1"/>
  <c r="F24" i="6"/>
  <c r="F6" i="10"/>
  <c r="F9" i="8"/>
  <c r="F11" i="8" s="1"/>
  <c r="F16" i="9"/>
  <c r="F10" i="10"/>
  <c r="E8" i="7"/>
  <c r="E28" i="6"/>
  <c r="D27" i="6"/>
  <c r="E11" i="9"/>
  <c r="E15" i="5"/>
  <c r="E18" i="5" s="1"/>
  <c r="F39" i="5"/>
  <c r="F12" i="5"/>
  <c r="G23" i="4"/>
  <c r="G17" i="4"/>
  <c r="G22" i="4"/>
  <c r="G20" i="4"/>
  <c r="G21" i="4"/>
  <c r="F11" i="10" l="1"/>
  <c r="F13" i="10"/>
  <c r="G7" i="5"/>
  <c r="G6" i="9"/>
  <c r="G7" i="9"/>
  <c r="G7" i="8"/>
  <c r="D8" i="7"/>
  <c r="D28" i="6"/>
  <c r="F25" i="6"/>
  <c r="F17" i="6"/>
  <c r="F26" i="9"/>
  <c r="G7" i="7"/>
  <c r="G9" i="7" s="1"/>
  <c r="G8" i="6"/>
  <c r="G24" i="4"/>
  <c r="G9" i="6" s="1"/>
  <c r="G15" i="6" s="1"/>
  <c r="G16" i="6" s="1"/>
  <c r="G8" i="5"/>
  <c r="G22" i="6"/>
  <c r="G23" i="6" s="1"/>
  <c r="G24" i="6" s="1"/>
  <c r="F27" i="9"/>
  <c r="F14" i="5"/>
  <c r="G11" i="5"/>
  <c r="G13" i="5"/>
  <c r="G25" i="4"/>
  <c r="H16" i="4"/>
  <c r="G18" i="4"/>
  <c r="G19" i="4"/>
  <c r="G7" i="6" s="1"/>
  <c r="G13" i="6" s="1"/>
  <c r="G14" i="6" l="1"/>
  <c r="G6" i="10"/>
  <c r="G9" i="8"/>
  <c r="G11" i="8" s="1"/>
  <c r="G16" i="9"/>
  <c r="G10" i="10"/>
  <c r="H6" i="5"/>
  <c r="H6" i="6"/>
  <c r="F11" i="9"/>
  <c r="F26" i="6"/>
  <c r="G39" i="5"/>
  <c r="G16" i="5"/>
  <c r="G12" i="5"/>
  <c r="F15" i="5"/>
  <c r="F18" i="5" s="1"/>
  <c r="H23" i="4"/>
  <c r="H17" i="4"/>
  <c r="H22" i="4"/>
  <c r="H20" i="4"/>
  <c r="H21" i="4"/>
  <c r="G11" i="10" l="1"/>
  <c r="G13" i="10"/>
  <c r="G27" i="9"/>
  <c r="H7" i="9"/>
  <c r="H7" i="8"/>
  <c r="G26" i="9"/>
  <c r="H7" i="7"/>
  <c r="H9" i="7" s="1"/>
  <c r="H8" i="6"/>
  <c r="F27" i="6"/>
  <c r="H24" i="4"/>
  <c r="H9" i="6" s="1"/>
  <c r="H15" i="6" s="1"/>
  <c r="H16" i="6" s="1"/>
  <c r="H7" i="5"/>
  <c r="H6" i="9"/>
  <c r="H8" i="5"/>
  <c r="H22" i="6"/>
  <c r="H23" i="6" s="1"/>
  <c r="G17" i="6"/>
  <c r="G25" i="6"/>
  <c r="G14" i="5"/>
  <c r="H33" i="5"/>
  <c r="H11" i="5"/>
  <c r="H13" i="5"/>
  <c r="H25" i="4"/>
  <c r="I16" i="4"/>
  <c r="H18" i="4"/>
  <c r="H19" i="4"/>
  <c r="H7" i="6" s="1"/>
  <c r="G26" i="6" l="1"/>
  <c r="F8" i="7"/>
  <c r="F28" i="6"/>
  <c r="H24" i="6"/>
  <c r="G11" i="9"/>
  <c r="H6" i="10"/>
  <c r="H9" i="8"/>
  <c r="H13" i="6"/>
  <c r="I6" i="5"/>
  <c r="I6" i="6"/>
  <c r="I24" i="4"/>
  <c r="I9" i="6" s="1"/>
  <c r="I15" i="6" s="1"/>
  <c r="I16" i="6" s="1"/>
  <c r="H39" i="5"/>
  <c r="H16" i="5"/>
  <c r="H12" i="5"/>
  <c r="G15" i="5"/>
  <c r="G18" i="5" s="1"/>
  <c r="I23" i="4"/>
  <c r="I17" i="4"/>
  <c r="I20" i="4"/>
  <c r="I22" i="4"/>
  <c r="I21" i="4"/>
  <c r="I7" i="5" l="1"/>
  <c r="I6" i="9"/>
  <c r="H23" i="8"/>
  <c r="H11" i="8"/>
  <c r="I8" i="5"/>
  <c r="I22" i="6"/>
  <c r="I23" i="6" s="1"/>
  <c r="I24" i="6" s="1"/>
  <c r="I7" i="9"/>
  <c r="I7" i="8"/>
  <c r="G27" i="6"/>
  <c r="I7" i="7"/>
  <c r="I9" i="7" s="1"/>
  <c r="I8" i="6"/>
  <c r="H14" i="6"/>
  <c r="I13" i="5"/>
  <c r="I11" i="5"/>
  <c r="I33" i="5"/>
  <c r="H14" i="5"/>
  <c r="I25" i="4"/>
  <c r="J16" i="4"/>
  <c r="I18" i="4"/>
  <c r="I19" i="4"/>
  <c r="I7" i="6" s="1"/>
  <c r="J6" i="5" l="1"/>
  <c r="J6" i="6"/>
  <c r="I6" i="10"/>
  <c r="I9" i="8"/>
  <c r="I11" i="8" s="1"/>
  <c r="H17" i="6"/>
  <c r="H25" i="6"/>
  <c r="H11" i="9"/>
  <c r="G28" i="6"/>
  <c r="G8" i="7"/>
  <c r="H24" i="8"/>
  <c r="H20" i="7" s="1"/>
  <c r="H9" i="10"/>
  <c r="I13" i="6"/>
  <c r="I14" i="6" s="1"/>
  <c r="H15" i="5"/>
  <c r="H18" i="5"/>
  <c r="I39" i="5"/>
  <c r="I12" i="5"/>
  <c r="I14" i="5" s="1"/>
  <c r="I16" i="5"/>
  <c r="J23" i="4"/>
  <c r="J17" i="4"/>
  <c r="J20" i="4"/>
  <c r="J22" i="4"/>
  <c r="J21" i="4"/>
  <c r="H26" i="6" l="1"/>
  <c r="H27" i="6" s="1"/>
  <c r="I17" i="6"/>
  <c r="I25" i="6"/>
  <c r="I26" i="6" s="1"/>
  <c r="I27" i="6" s="1"/>
  <c r="J8" i="5"/>
  <c r="J22" i="6"/>
  <c r="J23" i="6" s="1"/>
  <c r="J24" i="6" s="1"/>
  <c r="J7" i="7"/>
  <c r="J9" i="7" s="1"/>
  <c r="J8" i="6"/>
  <c r="J24" i="4"/>
  <c r="J9" i="6" s="1"/>
  <c r="J15" i="6" s="1"/>
  <c r="J16" i="6" s="1"/>
  <c r="J7" i="9"/>
  <c r="J7" i="8"/>
  <c r="J7" i="5"/>
  <c r="J6" i="9"/>
  <c r="J33" i="5"/>
  <c r="J11" i="5"/>
  <c r="J13" i="5"/>
  <c r="I15" i="5"/>
  <c r="I18" i="5"/>
  <c r="J25" i="4"/>
  <c r="K16" i="4"/>
  <c r="J19" i="4"/>
  <c r="J7" i="6" s="1"/>
  <c r="J18" i="4"/>
  <c r="I28" i="6" l="1"/>
  <c r="I8" i="7"/>
  <c r="H28" i="6"/>
  <c r="H8" i="7"/>
  <c r="J11" i="9"/>
  <c r="I11" i="9"/>
  <c r="K6" i="5"/>
  <c r="K6" i="6"/>
  <c r="J6" i="10"/>
  <c r="J9" i="8"/>
  <c r="J11" i="8" s="1"/>
  <c r="J13" i="6"/>
  <c r="J14" i="6" s="1"/>
  <c r="J39" i="5"/>
  <c r="J12" i="5"/>
  <c r="J14" i="5" s="1"/>
  <c r="J16" i="5"/>
  <c r="K23" i="4"/>
  <c r="K17" i="4"/>
  <c r="K21" i="4"/>
  <c r="K20" i="4"/>
  <c r="K6" i="9" s="1"/>
  <c r="K22" i="4"/>
  <c r="K8" i="5" l="1"/>
  <c r="K22" i="6"/>
  <c r="K23" i="6" s="1"/>
  <c r="J17" i="6"/>
  <c r="J25" i="6"/>
  <c r="J26" i="6" s="1"/>
  <c r="K7" i="7"/>
  <c r="K9" i="7" s="1"/>
  <c r="K8" i="6"/>
  <c r="K7" i="9"/>
  <c r="K7" i="8"/>
  <c r="K24" i="4"/>
  <c r="K9" i="6" s="1"/>
  <c r="K15" i="6" s="1"/>
  <c r="K16" i="6" s="1"/>
  <c r="K25" i="4"/>
  <c r="K7" i="5"/>
  <c r="J15" i="5"/>
  <c r="J18" i="5" s="1"/>
  <c r="L16" i="4"/>
  <c r="K19" i="4"/>
  <c r="K7" i="6" s="1"/>
  <c r="K18" i="4"/>
  <c r="K6" i="10" l="1"/>
  <c r="K9" i="8"/>
  <c r="K11" i="8" s="1"/>
  <c r="K13" i="6"/>
  <c r="K14" i="6" s="1"/>
  <c r="J27" i="6"/>
  <c r="L6" i="5"/>
  <c r="L6" i="6"/>
  <c r="L24" i="4"/>
  <c r="L9" i="6" s="1"/>
  <c r="L15" i="6" s="1"/>
  <c r="L16" i="6" s="1"/>
  <c r="K24" i="6"/>
  <c r="K33" i="5"/>
  <c r="K13" i="5"/>
  <c r="K11" i="5"/>
  <c r="L23" i="4"/>
  <c r="L17" i="4"/>
  <c r="L21" i="4"/>
  <c r="L20" i="4"/>
  <c r="L22" i="4"/>
  <c r="L7" i="5" l="1"/>
  <c r="L6" i="9"/>
  <c r="L8" i="5"/>
  <c r="L22" i="6"/>
  <c r="L23" i="6" s="1"/>
  <c r="L7" i="9"/>
  <c r="L7" i="8"/>
  <c r="L7" i="7"/>
  <c r="L9" i="7" s="1"/>
  <c r="L8" i="6"/>
  <c r="J8" i="7"/>
  <c r="J28" i="6"/>
  <c r="K17" i="6"/>
  <c r="K25" i="6"/>
  <c r="K26" i="6" s="1"/>
  <c r="L13" i="5"/>
  <c r="L33" i="5"/>
  <c r="L11" i="5"/>
  <c r="K39" i="5"/>
  <c r="K16" i="5"/>
  <c r="K12" i="5"/>
  <c r="K14" i="5" s="1"/>
  <c r="L25" i="4"/>
  <c r="M16" i="4"/>
  <c r="L19" i="4"/>
  <c r="L7" i="6" s="1"/>
  <c r="L13" i="6" s="1"/>
  <c r="L14" i="6" s="1"/>
  <c r="L18" i="4"/>
  <c r="K27" i="6" l="1"/>
  <c r="K8" i="7"/>
  <c r="K28" i="6"/>
  <c r="L25" i="6"/>
  <c r="L17" i="6"/>
  <c r="M6" i="5"/>
  <c r="M6" i="6"/>
  <c r="L6" i="10"/>
  <c r="L9" i="8"/>
  <c r="L11" i="8" s="1"/>
  <c r="L24" i="6"/>
  <c r="L26" i="6" s="1"/>
  <c r="L27" i="6" s="1"/>
  <c r="K11" i="9"/>
  <c r="K15" i="5"/>
  <c r="K18" i="5" s="1"/>
  <c r="L39" i="5"/>
  <c r="L16" i="5"/>
  <c r="L12" i="5"/>
  <c r="L14" i="5" s="1"/>
  <c r="L15" i="5" s="1"/>
  <c r="L18" i="5" s="1"/>
  <c r="M23" i="4"/>
  <c r="M17" i="4"/>
  <c r="M21" i="4"/>
  <c r="M20" i="4"/>
  <c r="M22" i="4"/>
  <c r="M7" i="9" l="1"/>
  <c r="M7" i="8"/>
  <c r="M7" i="5"/>
  <c r="M13" i="5" s="1"/>
  <c r="M6" i="9"/>
  <c r="M7" i="7"/>
  <c r="M9" i="7" s="1"/>
  <c r="M8" i="6"/>
  <c r="M8" i="5"/>
  <c r="M22" i="6"/>
  <c r="M23" i="6" s="1"/>
  <c r="M24" i="6" s="1"/>
  <c r="L28" i="6"/>
  <c r="L8" i="7"/>
  <c r="M24" i="4"/>
  <c r="M9" i="6" s="1"/>
  <c r="M15" i="6" s="1"/>
  <c r="M16" i="6" s="1"/>
  <c r="M11" i="5"/>
  <c r="M25" i="4"/>
  <c r="N16" i="4"/>
  <c r="M19" i="4"/>
  <c r="M7" i="6" s="1"/>
  <c r="M13" i="6" s="1"/>
  <c r="M14" i="6" s="1"/>
  <c r="M18" i="4"/>
  <c r="M17" i="6" l="1"/>
  <c r="M25" i="6"/>
  <c r="M26" i="6" s="1"/>
  <c r="N6" i="5"/>
  <c r="N6" i="6"/>
  <c r="N24" i="4"/>
  <c r="N9" i="6" s="1"/>
  <c r="N15" i="6" s="1"/>
  <c r="N16" i="6" s="1"/>
  <c r="L11" i="9"/>
  <c r="M33" i="5"/>
  <c r="M6" i="10"/>
  <c r="M9" i="8"/>
  <c r="M11" i="8" s="1"/>
  <c r="M39" i="5"/>
  <c r="M16" i="5"/>
  <c r="M12" i="5"/>
  <c r="M14" i="5" s="1"/>
  <c r="M15" i="5" s="1"/>
  <c r="N23" i="4"/>
  <c r="N17" i="4"/>
  <c r="N21" i="4"/>
  <c r="N20" i="4"/>
  <c r="N6" i="9" s="1"/>
  <c r="N22" i="4"/>
  <c r="M11" i="9" l="1"/>
  <c r="N7" i="7"/>
  <c r="N9" i="7" s="1"/>
  <c r="N8" i="6"/>
  <c r="M27" i="6"/>
  <c r="N7" i="9"/>
  <c r="N7" i="8"/>
  <c r="N8" i="5"/>
  <c r="N22" i="6"/>
  <c r="N23" i="6" s="1"/>
  <c r="N24" i="6" s="1"/>
  <c r="M18" i="5"/>
  <c r="N25" i="4"/>
  <c r="N7" i="5"/>
  <c r="O16" i="4"/>
  <c r="N18" i="4"/>
  <c r="N19" i="4"/>
  <c r="N7" i="6" s="1"/>
  <c r="N13" i="6" s="1"/>
  <c r="N14" i="6" s="1"/>
  <c r="N6" i="10" l="1"/>
  <c r="N9" i="8"/>
  <c r="N11" i="8" s="1"/>
  <c r="M28" i="6"/>
  <c r="M8" i="7"/>
  <c r="N25" i="6"/>
  <c r="N26" i="6" s="1"/>
  <c r="N17" i="6"/>
  <c r="O6" i="5"/>
  <c r="O6" i="6"/>
  <c r="O24" i="4"/>
  <c r="O9" i="6" s="1"/>
  <c r="O15" i="6" s="1"/>
  <c r="O16" i="6" s="1"/>
  <c r="N33" i="5"/>
  <c r="N13" i="5"/>
  <c r="N11" i="5"/>
  <c r="O23" i="4"/>
  <c r="O17" i="4"/>
  <c r="O21" i="4"/>
  <c r="O22" i="4"/>
  <c r="O20" i="4"/>
  <c r="N27" i="6" l="1"/>
  <c r="N28" i="6"/>
  <c r="N8" i="7"/>
  <c r="O7" i="5"/>
  <c r="O33" i="5" s="1"/>
  <c r="O6" i="9"/>
  <c r="O7" i="9"/>
  <c r="O7" i="8"/>
  <c r="O7" i="7"/>
  <c r="O9" i="7" s="1"/>
  <c r="O8" i="6"/>
  <c r="O8" i="5"/>
  <c r="O22" i="6"/>
  <c r="O23" i="6" s="1"/>
  <c r="O24" i="6" s="1"/>
  <c r="O13" i="5"/>
  <c r="O11" i="5"/>
  <c r="N39" i="5"/>
  <c r="N16" i="5"/>
  <c r="N12" i="5"/>
  <c r="N14" i="5" s="1"/>
  <c r="N15" i="5" s="1"/>
  <c r="N18" i="5" s="1"/>
  <c r="O25" i="4"/>
  <c r="P16" i="4"/>
  <c r="O18" i="4"/>
  <c r="O19" i="4"/>
  <c r="O7" i="6" s="1"/>
  <c r="O13" i="6" s="1"/>
  <c r="O14" i="6" s="1"/>
  <c r="O17" i="6" l="1"/>
  <c r="O25" i="6"/>
  <c r="O6" i="10"/>
  <c r="O9" i="8"/>
  <c r="O11" i="8" s="1"/>
  <c r="O26" i="6"/>
  <c r="P6" i="5"/>
  <c r="P6" i="6"/>
  <c r="P24" i="4"/>
  <c r="P9" i="6" s="1"/>
  <c r="P15" i="6" s="1"/>
  <c r="P16" i="6" s="1"/>
  <c r="N11" i="9"/>
  <c r="O39" i="5"/>
  <c r="O12" i="5"/>
  <c r="O14" i="5" s="1"/>
  <c r="O16" i="5"/>
  <c r="P23" i="4"/>
  <c r="P17" i="4"/>
  <c r="P21" i="4"/>
  <c r="P22" i="4"/>
  <c r="P20" i="4"/>
  <c r="P6" i="9" s="1"/>
  <c r="O27" i="6" l="1"/>
  <c r="O28" i="6" s="1"/>
  <c r="O11" i="9"/>
  <c r="P7" i="9"/>
  <c r="P7" i="8"/>
  <c r="P7" i="7"/>
  <c r="P9" i="7" s="1"/>
  <c r="P8" i="6"/>
  <c r="P8" i="5"/>
  <c r="P22" i="6"/>
  <c r="P23" i="6" s="1"/>
  <c r="P24" i="6" s="1"/>
  <c r="P25" i="4"/>
  <c r="P7" i="5"/>
  <c r="O15" i="5"/>
  <c r="O18" i="5" s="1"/>
  <c r="Q16" i="4"/>
  <c r="P18" i="4"/>
  <c r="P19" i="4"/>
  <c r="P7" i="6" s="1"/>
  <c r="O8" i="7" l="1"/>
  <c r="P6" i="10"/>
  <c r="P9" i="8"/>
  <c r="P11" i="8" s="1"/>
  <c r="P13" i="6"/>
  <c r="P14" i="6" s="1"/>
  <c r="Q6" i="5"/>
  <c r="Q6" i="6"/>
  <c r="Q24" i="4"/>
  <c r="Q9" i="6" s="1"/>
  <c r="Q15" i="6" s="1"/>
  <c r="Q16" i="6" s="1"/>
  <c r="P13" i="5"/>
  <c r="P33" i="5"/>
  <c r="P11" i="5"/>
  <c r="Q23" i="4"/>
  <c r="Q17" i="4"/>
  <c r="Q21" i="4"/>
  <c r="Q22" i="4"/>
  <c r="Q20" i="4"/>
  <c r="Q6" i="9" s="1"/>
  <c r="Q8" i="5" l="1"/>
  <c r="Q22" i="6"/>
  <c r="Q23" i="6" s="1"/>
  <c r="P25" i="6"/>
  <c r="P26" i="6" s="1"/>
  <c r="P17" i="6"/>
  <c r="Q7" i="9"/>
  <c r="Q7" i="8"/>
  <c r="P11" i="9"/>
  <c r="Q7" i="7"/>
  <c r="Q9" i="7" s="1"/>
  <c r="Q8" i="6"/>
  <c r="Q25" i="4"/>
  <c r="Q7" i="5"/>
  <c r="P39" i="5"/>
  <c r="P16" i="5"/>
  <c r="P12" i="5"/>
  <c r="P14" i="5" s="1"/>
  <c r="R16" i="4"/>
  <c r="Q18" i="4"/>
  <c r="Q19" i="4"/>
  <c r="Q7" i="6" s="1"/>
  <c r="Q13" i="6" s="1"/>
  <c r="Q14" i="6" s="1"/>
  <c r="Q25" i="6" l="1"/>
  <c r="Q17" i="6"/>
  <c r="Q6" i="10"/>
  <c r="Q9" i="8"/>
  <c r="Q11" i="8" s="1"/>
  <c r="R6" i="5"/>
  <c r="R6" i="6"/>
  <c r="P27" i="6"/>
  <c r="Q24" i="6"/>
  <c r="Q26" i="6" s="1"/>
  <c r="Q27" i="6" s="1"/>
  <c r="P15" i="5"/>
  <c r="P18" i="5" s="1"/>
  <c r="Q13" i="5"/>
  <c r="Q33" i="5"/>
  <c r="Q11" i="5"/>
  <c r="R23" i="4"/>
  <c r="R17" i="4"/>
  <c r="R22" i="4"/>
  <c r="R20" i="4"/>
  <c r="R21" i="4"/>
  <c r="R24" i="4" s="1"/>
  <c r="R9" i="6" s="1"/>
  <c r="R15" i="6" s="1"/>
  <c r="R16" i="6" s="1"/>
  <c r="Q28" i="6" l="1"/>
  <c r="Q8" i="7"/>
  <c r="R7" i="5"/>
  <c r="R13" i="5" s="1"/>
  <c r="R6" i="9"/>
  <c r="P28" i="6"/>
  <c r="P8" i="7"/>
  <c r="R7" i="7"/>
  <c r="R9" i="7" s="1"/>
  <c r="R8" i="6"/>
  <c r="R7" i="9"/>
  <c r="R7" i="8"/>
  <c r="R8" i="5"/>
  <c r="R22" i="6"/>
  <c r="R23" i="6" s="1"/>
  <c r="R24" i="6" s="1"/>
  <c r="R11" i="5"/>
  <c r="Q39" i="5"/>
  <c r="Q12" i="5"/>
  <c r="Q14" i="5" s="1"/>
  <c r="Q16" i="5"/>
  <c r="R25" i="4"/>
  <c r="S16" i="4"/>
  <c r="R19" i="4"/>
  <c r="R7" i="6" s="1"/>
  <c r="R13" i="6" s="1"/>
  <c r="R14" i="6" s="1"/>
  <c r="R18" i="4"/>
  <c r="R6" i="10" l="1"/>
  <c r="R9" i="8"/>
  <c r="R11" i="8" s="1"/>
  <c r="R25" i="6"/>
  <c r="R26" i="6" s="1"/>
  <c r="R17" i="6"/>
  <c r="S6" i="5"/>
  <c r="S6" i="6"/>
  <c r="Q11" i="9"/>
  <c r="R33" i="5"/>
  <c r="Q15" i="5"/>
  <c r="Q18" i="5" s="1"/>
  <c r="R39" i="5"/>
  <c r="R12" i="5"/>
  <c r="R14" i="5" s="1"/>
  <c r="R15" i="5" s="1"/>
  <c r="R16" i="5"/>
  <c r="S23" i="4"/>
  <c r="S17" i="4"/>
  <c r="S22" i="4"/>
  <c r="S20" i="4"/>
  <c r="S21" i="4"/>
  <c r="R27" i="6" l="1"/>
  <c r="R28" i="6" s="1"/>
  <c r="S7" i="7"/>
  <c r="S9" i="7" s="1"/>
  <c r="S8" i="6"/>
  <c r="S7" i="9"/>
  <c r="S7" i="8"/>
  <c r="S24" i="4"/>
  <c r="S9" i="6" s="1"/>
  <c r="S15" i="6" s="1"/>
  <c r="S16" i="6" s="1"/>
  <c r="S7" i="5"/>
  <c r="S33" i="5" s="1"/>
  <c r="S6" i="9"/>
  <c r="S8" i="5"/>
  <c r="S22" i="6"/>
  <c r="S23" i="6" s="1"/>
  <c r="S24" i="6" s="1"/>
  <c r="S13" i="5"/>
  <c r="R18" i="5"/>
  <c r="S25" i="4"/>
  <c r="T16" i="4"/>
  <c r="S19" i="4"/>
  <c r="S7" i="6" s="1"/>
  <c r="S13" i="6" s="1"/>
  <c r="S14" i="6" s="1"/>
  <c r="S18" i="4"/>
  <c r="R8" i="7" l="1"/>
  <c r="R11" i="9"/>
  <c r="S17" i="6"/>
  <c r="S25" i="6"/>
  <c r="S26" i="6" s="1"/>
  <c r="S27" i="6" s="1"/>
  <c r="S6" i="10"/>
  <c r="S9" i="8"/>
  <c r="S11" i="8" s="1"/>
  <c r="T6" i="5"/>
  <c r="T6" i="6"/>
  <c r="T24" i="4"/>
  <c r="T9" i="6" s="1"/>
  <c r="T15" i="6" s="1"/>
  <c r="T16" i="6" s="1"/>
  <c r="S11" i="5"/>
  <c r="S16" i="5" s="1"/>
  <c r="S39" i="5"/>
  <c r="T23" i="4"/>
  <c r="T17" i="4"/>
  <c r="T20" i="4"/>
  <c r="T22" i="4"/>
  <c r="T21" i="4"/>
  <c r="S28" i="6" l="1"/>
  <c r="S8" i="7"/>
  <c r="T7" i="7"/>
  <c r="T9" i="7" s="1"/>
  <c r="T8" i="6"/>
  <c r="T7" i="9"/>
  <c r="T7" i="8"/>
  <c r="T7" i="5"/>
  <c r="T11" i="5" s="1"/>
  <c r="T6" i="9"/>
  <c r="T8" i="5"/>
  <c r="T22" i="6"/>
  <c r="T23" i="6" s="1"/>
  <c r="T24" i="6" s="1"/>
  <c r="S12" i="5"/>
  <c r="S14" i="5" s="1"/>
  <c r="S15" i="5" s="1"/>
  <c r="S18" i="5" s="1"/>
  <c r="T13" i="5"/>
  <c r="T25" i="4"/>
  <c r="U16" i="4"/>
  <c r="T19" i="4"/>
  <c r="T7" i="6" s="1"/>
  <c r="T13" i="6" s="1"/>
  <c r="T14" i="6" s="1"/>
  <c r="T18" i="4"/>
  <c r="S11" i="9" l="1"/>
  <c r="T6" i="10"/>
  <c r="T9" i="8"/>
  <c r="T11" i="8" s="1"/>
  <c r="T25" i="6"/>
  <c r="T26" i="6" s="1"/>
  <c r="T17" i="6"/>
  <c r="U6" i="5"/>
  <c r="U6" i="6"/>
  <c r="U24" i="4"/>
  <c r="U9" i="6" s="1"/>
  <c r="U15" i="6" s="1"/>
  <c r="U16" i="6" s="1"/>
  <c r="T33" i="5"/>
  <c r="T39" i="5"/>
  <c r="T16" i="5"/>
  <c r="T12" i="5"/>
  <c r="T14" i="5" s="1"/>
  <c r="T15" i="5" s="1"/>
  <c r="T18" i="5" s="1"/>
  <c r="U23" i="4"/>
  <c r="U17" i="4"/>
  <c r="U22" i="4"/>
  <c r="U20" i="4"/>
  <c r="U21" i="4"/>
  <c r="T27" i="6" l="1"/>
  <c r="T28" i="6"/>
  <c r="T8" i="7"/>
  <c r="U7" i="7"/>
  <c r="U9" i="7" s="1"/>
  <c r="U8" i="6"/>
  <c r="U7" i="9"/>
  <c r="U7" i="8"/>
  <c r="U8" i="5"/>
  <c r="U22" i="6"/>
  <c r="U23" i="6" s="1"/>
  <c r="U24" i="6" s="1"/>
  <c r="U7" i="5"/>
  <c r="U11" i="5" s="1"/>
  <c r="U6" i="9"/>
  <c r="U33" i="5"/>
  <c r="U13" i="5"/>
  <c r="U25" i="4"/>
  <c r="V16" i="4"/>
  <c r="U19" i="4"/>
  <c r="U7" i="6" s="1"/>
  <c r="U13" i="6" s="1"/>
  <c r="U14" i="6" s="1"/>
  <c r="U18" i="4"/>
  <c r="T11" i="9" l="1"/>
  <c r="U6" i="10"/>
  <c r="U9" i="8"/>
  <c r="U11" i="8" s="1"/>
  <c r="U17" i="6"/>
  <c r="U25" i="6"/>
  <c r="U26" i="6" s="1"/>
  <c r="U27" i="6" s="1"/>
  <c r="V6" i="5"/>
  <c r="V6" i="6"/>
  <c r="V24" i="4"/>
  <c r="V9" i="6" s="1"/>
  <c r="V15" i="6" s="1"/>
  <c r="V16" i="6" s="1"/>
  <c r="U39" i="5"/>
  <c r="U12" i="5"/>
  <c r="U14" i="5" s="1"/>
  <c r="U16" i="5"/>
  <c r="V23" i="4"/>
  <c r="V17" i="4"/>
  <c r="V20" i="4"/>
  <c r="V22" i="4"/>
  <c r="V21" i="4"/>
  <c r="U28" i="6" l="1"/>
  <c r="U8" i="7"/>
  <c r="V7" i="7"/>
  <c r="V9" i="7" s="1"/>
  <c r="V8" i="6"/>
  <c r="V7" i="9"/>
  <c r="V7" i="8"/>
  <c r="V7" i="5"/>
  <c r="V33" i="5" s="1"/>
  <c r="V6" i="9"/>
  <c r="V8" i="5"/>
  <c r="V22" i="6"/>
  <c r="V23" i="6" s="1"/>
  <c r="V24" i="6" s="1"/>
  <c r="V11" i="5"/>
  <c r="V13" i="5"/>
  <c r="U15" i="5"/>
  <c r="U18" i="5"/>
  <c r="V25" i="4"/>
  <c r="W16" i="4"/>
  <c r="V19" i="4"/>
  <c r="V7" i="6" s="1"/>
  <c r="V13" i="6" s="1"/>
  <c r="V14" i="6" s="1"/>
  <c r="V18" i="4"/>
  <c r="V25" i="6" l="1"/>
  <c r="V26" i="6" s="1"/>
  <c r="V17" i="6"/>
  <c r="U11" i="9"/>
  <c r="V6" i="10"/>
  <c r="V9" i="8"/>
  <c r="V11" i="8" s="1"/>
  <c r="W6" i="5"/>
  <c r="W6" i="6"/>
  <c r="W24" i="4"/>
  <c r="W9" i="6" s="1"/>
  <c r="W15" i="6" s="1"/>
  <c r="W16" i="6" s="1"/>
  <c r="V39" i="5"/>
  <c r="V12" i="5"/>
  <c r="V14" i="5" s="1"/>
  <c r="V16" i="5"/>
  <c r="W23" i="4"/>
  <c r="W17" i="4"/>
  <c r="W22" i="4"/>
  <c r="W21" i="4"/>
  <c r="W20" i="4"/>
  <c r="V27" i="6" l="1"/>
  <c r="V28" i="6" s="1"/>
  <c r="W7" i="5"/>
  <c r="W33" i="5" s="1"/>
  <c r="W6" i="9"/>
  <c r="W7" i="7"/>
  <c r="W9" i="7" s="1"/>
  <c r="W8" i="6"/>
  <c r="W7" i="9"/>
  <c r="W7" i="8"/>
  <c r="W8" i="5"/>
  <c r="W22" i="6"/>
  <c r="W23" i="6" s="1"/>
  <c r="W24" i="6" s="1"/>
  <c r="W11" i="5"/>
  <c r="W13" i="5"/>
  <c r="V15" i="5"/>
  <c r="V18" i="5" s="1"/>
  <c r="W25" i="4"/>
  <c r="X16" i="4"/>
  <c r="W19" i="4"/>
  <c r="W7" i="6" s="1"/>
  <c r="W13" i="6" s="1"/>
  <c r="W14" i="6" s="1"/>
  <c r="W18" i="4"/>
  <c r="V8" i="7" l="1"/>
  <c r="W25" i="6"/>
  <c r="W26" i="6" s="1"/>
  <c r="W17" i="6"/>
  <c r="W6" i="10"/>
  <c r="W9" i="8"/>
  <c r="W11" i="8" s="1"/>
  <c r="X6" i="5"/>
  <c r="X6" i="6"/>
  <c r="V11" i="9"/>
  <c r="W39" i="5"/>
  <c r="W12" i="5"/>
  <c r="W14" i="5" s="1"/>
  <c r="W16" i="5"/>
  <c r="X23" i="4"/>
  <c r="X17" i="4"/>
  <c r="X22" i="4"/>
  <c r="X20" i="4"/>
  <c r="X21" i="4"/>
  <c r="X24" i="4" s="1"/>
  <c r="X9" i="6" s="1"/>
  <c r="X15" i="6" s="1"/>
  <c r="X16" i="6" s="1"/>
  <c r="W27" i="6" l="1"/>
  <c r="W28" i="6"/>
  <c r="W8" i="7"/>
  <c r="X7" i="5"/>
  <c r="X33" i="5" s="1"/>
  <c r="X6" i="9"/>
  <c r="X7" i="9"/>
  <c r="X7" i="8"/>
  <c r="X8" i="5"/>
  <c r="X22" i="6"/>
  <c r="X23" i="6" s="1"/>
  <c r="X24" i="6" s="1"/>
  <c r="X7" i="7"/>
  <c r="X9" i="7" s="1"/>
  <c r="X8" i="6"/>
  <c r="X11" i="5"/>
  <c r="X13" i="5"/>
  <c r="W15" i="5"/>
  <c r="W18" i="5" s="1"/>
  <c r="X25" i="4"/>
  <c r="Y16" i="4"/>
  <c r="X19" i="4"/>
  <c r="X7" i="6" s="1"/>
  <c r="X18" i="4"/>
  <c r="X13" i="6" l="1"/>
  <c r="X14" i="6" s="1"/>
  <c r="X6" i="10"/>
  <c r="X9" i="8"/>
  <c r="X11" i="8" s="1"/>
  <c r="Y6" i="5"/>
  <c r="Y6" i="6"/>
  <c r="Y24" i="4"/>
  <c r="Y9" i="6" s="1"/>
  <c r="Y15" i="6" s="1"/>
  <c r="Y16" i="6" s="1"/>
  <c r="W11" i="9"/>
  <c r="X39" i="5"/>
  <c r="X12" i="5"/>
  <c r="X14" i="5" s="1"/>
  <c r="X15" i="5" s="1"/>
  <c r="X16" i="5"/>
  <c r="Y23" i="4"/>
  <c r="Y17" i="4"/>
  <c r="Y20" i="4"/>
  <c r="Y22" i="4"/>
  <c r="Y21" i="4"/>
  <c r="X17" i="6" l="1"/>
  <c r="X25" i="6"/>
  <c r="X26" i="6" s="1"/>
  <c r="X27" i="6" s="1"/>
  <c r="Y7" i="7"/>
  <c r="Y9" i="7" s="1"/>
  <c r="Y8" i="6"/>
  <c r="Y7" i="9"/>
  <c r="Y7" i="8"/>
  <c r="Y7" i="5"/>
  <c r="Y33" i="5" s="1"/>
  <c r="Y6" i="9"/>
  <c r="Y8" i="5"/>
  <c r="Y22" i="6"/>
  <c r="Y23" i="6" s="1"/>
  <c r="Y24" i="6" s="1"/>
  <c r="X18" i="5"/>
  <c r="Y13" i="5"/>
  <c r="Y25" i="4"/>
  <c r="Z16" i="4"/>
  <c r="Y19" i="4"/>
  <c r="Y7" i="6" s="1"/>
  <c r="Y13" i="6" s="1"/>
  <c r="Y14" i="6" s="1"/>
  <c r="Y18" i="4"/>
  <c r="X11" i="9" l="1"/>
  <c r="Y17" i="6"/>
  <c r="Y25" i="6"/>
  <c r="Y26" i="6" s="1"/>
  <c r="Z6" i="5"/>
  <c r="Z6" i="6"/>
  <c r="Z24" i="4"/>
  <c r="Z9" i="6" s="1"/>
  <c r="Z15" i="6" s="1"/>
  <c r="Z16" i="6" s="1"/>
  <c r="Y6" i="10"/>
  <c r="Y9" i="8"/>
  <c r="Y11" i="8" s="1"/>
  <c r="Y11" i="5"/>
  <c r="Y39" i="5" s="1"/>
  <c r="X8" i="7"/>
  <c r="X28" i="6"/>
  <c r="Z23" i="4"/>
  <c r="Z17" i="4"/>
  <c r="Z21" i="4"/>
  <c r="Z20" i="4"/>
  <c r="Z22" i="4"/>
  <c r="Y27" i="6" l="1"/>
  <c r="Y28" i="6"/>
  <c r="Y8" i="7"/>
  <c r="Z7" i="5"/>
  <c r="Z33" i="5" s="1"/>
  <c r="Z6" i="9"/>
  <c r="Z7" i="7"/>
  <c r="Z9" i="7" s="1"/>
  <c r="Z8" i="6"/>
  <c r="Z8" i="5"/>
  <c r="Z22" i="6"/>
  <c r="Z23" i="6" s="1"/>
  <c r="Z24" i="6" s="1"/>
  <c r="Z7" i="9"/>
  <c r="Z7" i="8"/>
  <c r="Y12" i="5"/>
  <c r="Y14" i="5" s="1"/>
  <c r="Y15" i="5" s="1"/>
  <c r="Y18" i="5" s="1"/>
  <c r="Y16" i="5"/>
  <c r="Z13" i="5"/>
  <c r="Z25" i="4"/>
  <c r="AA16" i="4"/>
  <c r="Z18" i="4"/>
  <c r="Z19" i="4"/>
  <c r="Z7" i="6" s="1"/>
  <c r="Z13" i="6" s="1"/>
  <c r="Z14" i="6" s="1"/>
  <c r="Z6" i="10" l="1"/>
  <c r="Z9" i="8"/>
  <c r="Z11" i="8" s="1"/>
  <c r="Z25" i="6"/>
  <c r="Z17" i="6"/>
  <c r="AA6" i="5"/>
  <c r="AA6" i="6"/>
  <c r="AA24" i="4"/>
  <c r="AA9" i="6" s="1"/>
  <c r="AA15" i="6" s="1"/>
  <c r="AA16" i="6" s="1"/>
  <c r="Z26" i="6"/>
  <c r="Z27" i="6" s="1"/>
  <c r="Z11" i="9"/>
  <c r="Y11" i="9"/>
  <c r="Z11" i="5"/>
  <c r="Z12" i="5" s="1"/>
  <c r="Z14" i="5" s="1"/>
  <c r="Z39" i="5"/>
  <c r="AA23" i="4"/>
  <c r="AA17" i="4"/>
  <c r="AA21" i="4"/>
  <c r="AA20" i="4"/>
  <c r="AA6" i="9" s="1"/>
  <c r="AA22" i="4"/>
  <c r="Z28" i="6" l="1"/>
  <c r="Z8" i="7"/>
  <c r="AA7" i="7"/>
  <c r="AA9" i="7" s="1"/>
  <c r="AA8" i="6"/>
  <c r="AA8" i="5"/>
  <c r="AA22" i="6"/>
  <c r="AA23" i="6" s="1"/>
  <c r="AA24" i="6" s="1"/>
  <c r="Z16" i="5"/>
  <c r="AA7" i="9"/>
  <c r="AA7" i="8"/>
  <c r="AA25" i="4"/>
  <c r="AA7" i="5"/>
  <c r="Z15" i="5"/>
  <c r="AB16" i="4"/>
  <c r="AA18" i="4"/>
  <c r="AA19" i="4"/>
  <c r="AA7" i="6" s="1"/>
  <c r="AA13" i="6" s="1"/>
  <c r="AA14" i="6" s="1"/>
  <c r="Z18" i="5" l="1"/>
  <c r="AA17" i="6"/>
  <c r="AA25" i="6"/>
  <c r="AA6" i="10"/>
  <c r="AA9" i="8"/>
  <c r="AA11" i="8" s="1"/>
  <c r="AA26" i="6"/>
  <c r="AA27" i="6" s="1"/>
  <c r="AB6" i="5"/>
  <c r="AB6" i="6"/>
  <c r="AB24" i="4"/>
  <c r="AB9" i="6" s="1"/>
  <c r="AB15" i="6" s="1"/>
  <c r="AB16" i="6" s="1"/>
  <c r="AA13" i="5"/>
  <c r="AA11" i="5"/>
  <c r="AA33" i="5"/>
  <c r="AB23" i="4"/>
  <c r="AB17" i="4"/>
  <c r="AB21" i="4"/>
  <c r="AB20" i="4"/>
  <c r="AB22" i="4"/>
  <c r="AB8" i="5" l="1"/>
  <c r="AB22" i="6"/>
  <c r="AB23" i="6" s="1"/>
  <c r="AA8" i="7"/>
  <c r="AA28" i="6"/>
  <c r="AB7" i="9"/>
  <c r="AB7" i="8"/>
  <c r="AB7" i="5"/>
  <c r="AB33" i="5" s="1"/>
  <c r="AB6" i="9"/>
  <c r="AB7" i="7"/>
  <c r="AB9" i="7" s="1"/>
  <c r="AB14" i="7" s="1"/>
  <c r="AB8" i="6"/>
  <c r="AB11" i="5"/>
  <c r="AB13" i="5"/>
  <c r="AA39" i="5"/>
  <c r="AA16" i="5"/>
  <c r="AA12" i="5"/>
  <c r="AA14" i="5" s="1"/>
  <c r="AB25" i="4"/>
  <c r="AC16" i="4"/>
  <c r="AB18" i="4"/>
  <c r="AB19" i="4"/>
  <c r="AB7" i="6" s="1"/>
  <c r="AB13" i="6" s="1"/>
  <c r="AB14" i="6" s="1"/>
  <c r="AB17" i="6" l="1"/>
  <c r="AB25" i="6"/>
  <c r="AA11" i="9"/>
  <c r="AC6" i="5"/>
  <c r="AC6" i="6"/>
  <c r="AC24" i="4"/>
  <c r="AC9" i="6" s="1"/>
  <c r="AC15" i="6" s="1"/>
  <c r="AC16" i="6" s="1"/>
  <c r="AB6" i="10"/>
  <c r="AB9" i="8"/>
  <c r="AB11" i="8" s="1"/>
  <c r="AB24" i="6"/>
  <c r="AB26" i="6" s="1"/>
  <c r="AB27" i="6" s="1"/>
  <c r="AA15" i="5"/>
  <c r="AA18" i="5" s="1"/>
  <c r="AB39" i="5"/>
  <c r="AB16" i="5"/>
  <c r="AB12" i="5"/>
  <c r="AB14" i="5" s="1"/>
  <c r="AC23" i="4"/>
  <c r="AC17" i="4"/>
  <c r="AC21" i="4"/>
  <c r="AC20" i="4"/>
  <c r="AC22" i="4"/>
  <c r="AC7" i="7" l="1"/>
  <c r="AC9" i="7" s="1"/>
  <c r="AC14" i="7" s="1"/>
  <c r="AC8" i="6"/>
  <c r="AC8" i="5"/>
  <c r="AC22" i="6"/>
  <c r="AC23" i="6" s="1"/>
  <c r="AC24" i="6" s="1"/>
  <c r="AB8" i="7"/>
  <c r="AB28" i="6"/>
  <c r="AC7" i="9"/>
  <c r="AC7" i="8"/>
  <c r="AC7" i="5"/>
  <c r="AC11" i="5" s="1"/>
  <c r="AC6" i="9"/>
  <c r="AC13" i="5"/>
  <c r="AB15" i="5"/>
  <c r="AB18" i="5" s="1"/>
  <c r="AC25" i="4"/>
  <c r="AD16" i="4"/>
  <c r="AC18" i="4"/>
  <c r="AC19" i="4"/>
  <c r="AC7" i="6" s="1"/>
  <c r="AC13" i="6" s="1"/>
  <c r="AC14" i="6" s="1"/>
  <c r="AC25" i="6" l="1"/>
  <c r="AC17" i="6"/>
  <c r="AD6" i="5"/>
  <c r="AD6" i="6"/>
  <c r="AC33" i="5"/>
  <c r="AB11" i="9"/>
  <c r="AC6" i="10"/>
  <c r="AC9" i="8"/>
  <c r="AC11" i="8" s="1"/>
  <c r="AC26" i="6"/>
  <c r="AC27" i="6" s="1"/>
  <c r="AC39" i="5"/>
  <c r="AC12" i="5"/>
  <c r="AC14" i="5" s="1"/>
  <c r="AC16" i="5"/>
  <c r="AD23" i="4"/>
  <c r="AD17" i="4"/>
  <c r="AD22" i="4"/>
  <c r="AD20" i="4"/>
  <c r="AD21" i="4"/>
  <c r="AC28" i="6" l="1"/>
  <c r="AC8" i="7"/>
  <c r="AD7" i="7"/>
  <c r="AD9" i="7" s="1"/>
  <c r="AD14" i="7" s="1"/>
  <c r="AD8" i="6"/>
  <c r="AD7" i="5"/>
  <c r="AD33" i="5" s="1"/>
  <c r="AD6" i="9"/>
  <c r="AD7" i="9"/>
  <c r="AD7" i="8"/>
  <c r="AD24" i="4"/>
  <c r="AD9" i="6" s="1"/>
  <c r="AD15" i="6" s="1"/>
  <c r="AD16" i="6" s="1"/>
  <c r="AD8" i="5"/>
  <c r="AD22" i="6"/>
  <c r="AD23" i="6" s="1"/>
  <c r="AD24" i="6" s="1"/>
  <c r="AD11" i="5"/>
  <c r="AC15" i="5"/>
  <c r="AC18" i="5"/>
  <c r="AD25" i="4"/>
  <c r="AE16" i="4"/>
  <c r="AD18" i="4"/>
  <c r="AD19" i="4"/>
  <c r="AD7" i="6" s="1"/>
  <c r="AD13" i="6" s="1"/>
  <c r="AD14" i="6" s="1"/>
  <c r="AD17" i="6" l="1"/>
  <c r="AD25" i="6"/>
  <c r="AD6" i="10"/>
  <c r="AD9" i="8"/>
  <c r="AD11" i="8" s="1"/>
  <c r="AE6" i="5"/>
  <c r="AE6" i="6"/>
  <c r="AD26" i="6"/>
  <c r="AD27" i="6" s="1"/>
  <c r="AC11" i="9"/>
  <c r="AD13" i="5"/>
  <c r="AD39" i="5"/>
  <c r="AD12" i="5"/>
  <c r="AD16" i="5"/>
  <c r="AE23" i="4"/>
  <c r="AE17" i="4"/>
  <c r="AE22" i="4"/>
  <c r="AE20" i="4"/>
  <c r="AE21" i="4"/>
  <c r="AE7" i="7" l="1"/>
  <c r="AE9" i="7" s="1"/>
  <c r="AE14" i="7" s="1"/>
  <c r="AE8" i="6"/>
  <c r="AE24" i="4"/>
  <c r="AE9" i="6" s="1"/>
  <c r="AE15" i="6" s="1"/>
  <c r="AE16" i="6" s="1"/>
  <c r="AE7" i="9"/>
  <c r="AE7" i="8"/>
  <c r="AD28" i="6"/>
  <c r="AD8" i="7"/>
  <c r="AE7" i="5"/>
  <c r="AE13" i="5" s="1"/>
  <c r="AE6" i="9"/>
  <c r="AE8" i="5"/>
  <c r="AE22" i="6"/>
  <c r="AE23" i="6" s="1"/>
  <c r="AE24" i="6" s="1"/>
  <c r="AD14" i="5"/>
  <c r="AD15" i="5" s="1"/>
  <c r="AD18" i="5" s="1"/>
  <c r="AE25" i="4"/>
  <c r="AF16" i="4"/>
  <c r="AE18" i="4"/>
  <c r="AE19" i="4"/>
  <c r="AE7" i="6" s="1"/>
  <c r="AE13" i="6" s="1"/>
  <c r="AE14" i="6" s="1"/>
  <c r="AE17" i="6" l="1"/>
  <c r="AE25" i="6"/>
  <c r="AE26" i="6" s="1"/>
  <c r="AE27" i="6" s="1"/>
  <c r="AD11" i="9"/>
  <c r="AE33" i="5"/>
  <c r="AF6" i="5"/>
  <c r="AF6" i="6"/>
  <c r="AE6" i="10"/>
  <c r="AE9" i="8"/>
  <c r="AE11" i="8" s="1"/>
  <c r="AE11" i="5"/>
  <c r="AE39" i="5" s="1"/>
  <c r="AF23" i="4"/>
  <c r="AF17" i="4"/>
  <c r="AF22" i="4"/>
  <c r="AF20" i="4"/>
  <c r="AF21" i="4"/>
  <c r="AF7" i="7" l="1"/>
  <c r="AF9" i="7" s="1"/>
  <c r="AF14" i="7" s="1"/>
  <c r="AF8" i="6"/>
  <c r="AF24" i="4"/>
  <c r="AF9" i="6" s="1"/>
  <c r="AF15" i="6" s="1"/>
  <c r="AF16" i="6" s="1"/>
  <c r="AF7" i="5"/>
  <c r="AF11" i="5" s="1"/>
  <c r="AF6" i="9"/>
  <c r="AF7" i="9"/>
  <c r="AF7" i="8"/>
  <c r="AF8" i="5"/>
  <c r="AF22" i="6"/>
  <c r="AF23" i="6" s="1"/>
  <c r="AF24" i="6" s="1"/>
  <c r="AE12" i="5"/>
  <c r="AE14" i="5" s="1"/>
  <c r="AE15" i="5" s="1"/>
  <c r="AE18" i="5" s="1"/>
  <c r="AE28" i="6"/>
  <c r="AE8" i="7"/>
  <c r="AE16" i="5"/>
  <c r="AF33" i="5"/>
  <c r="AF25" i="4"/>
  <c r="AG16" i="4"/>
  <c r="AF18" i="4"/>
  <c r="AF19" i="4"/>
  <c r="AF7" i="6" s="1"/>
  <c r="AF13" i="6" s="1"/>
  <c r="AF14" i="6" s="1"/>
  <c r="AF16" i="9" l="1"/>
  <c r="AF25" i="9"/>
  <c r="AF10" i="10" s="1"/>
  <c r="AF13" i="5"/>
  <c r="AF25" i="6"/>
  <c r="AF26" i="6" s="1"/>
  <c r="AF17" i="6"/>
  <c r="AF6" i="10"/>
  <c r="AF9" i="8"/>
  <c r="AF11" i="8" s="1"/>
  <c r="AG6" i="5"/>
  <c r="AG6" i="6"/>
  <c r="AE11" i="9"/>
  <c r="AF39" i="5"/>
  <c r="AF16" i="5"/>
  <c r="AF12" i="5"/>
  <c r="AF14" i="5" s="1"/>
  <c r="AF15" i="5" s="1"/>
  <c r="AF18" i="5" s="1"/>
  <c r="AG23" i="4"/>
  <c r="AG17" i="4"/>
  <c r="AG20" i="4"/>
  <c r="AG22" i="4"/>
  <c r="AG21" i="4"/>
  <c r="AF27" i="9" l="1"/>
  <c r="AF26" i="9"/>
  <c r="AF27" i="6"/>
  <c r="AF8" i="7"/>
  <c r="AF28" i="6"/>
  <c r="AG7" i="9"/>
  <c r="AG7" i="8"/>
  <c r="AG7" i="7"/>
  <c r="AG9" i="7" s="1"/>
  <c r="AG14" i="7" s="1"/>
  <c r="AG8" i="6"/>
  <c r="AG7" i="5"/>
  <c r="AG13" i="5" s="1"/>
  <c r="AG6" i="9"/>
  <c r="AF11" i="10"/>
  <c r="AF13" i="10"/>
  <c r="AG8" i="5"/>
  <c r="AG22" i="6"/>
  <c r="AG23" i="6" s="1"/>
  <c r="AG24" i="6" s="1"/>
  <c r="AG24" i="4"/>
  <c r="AG9" i="6" s="1"/>
  <c r="AG15" i="6" s="1"/>
  <c r="AG16" i="6" s="1"/>
  <c r="AG25" i="4"/>
  <c r="AH16" i="4"/>
  <c r="AG18" i="4"/>
  <c r="AG19" i="4"/>
  <c r="AG7" i="6" s="1"/>
  <c r="AG13" i="6" s="1"/>
  <c r="AG14" i="6" s="1"/>
  <c r="AG17" i="6" l="1"/>
  <c r="AG25" i="6"/>
  <c r="AF11" i="9"/>
  <c r="AG6" i="10"/>
  <c r="AG9" i="8"/>
  <c r="AG11" i="8" s="1"/>
  <c r="AG33" i="5"/>
  <c r="AG11" i="5"/>
  <c r="AG39" i="5" s="1"/>
  <c r="AG26" i="6"/>
  <c r="AG27" i="6" s="1"/>
  <c r="AH6" i="5"/>
  <c r="AH6" i="6"/>
  <c r="AG16" i="9"/>
  <c r="AG25" i="9"/>
  <c r="AG10" i="10" s="1"/>
  <c r="AH23" i="4"/>
  <c r="AH17" i="4"/>
  <c r="AH22" i="4"/>
  <c r="AH20" i="4"/>
  <c r="AH21" i="4"/>
  <c r="AG27" i="9" l="1"/>
  <c r="AH7" i="7"/>
  <c r="AH9" i="7" s="1"/>
  <c r="AH14" i="7" s="1"/>
  <c r="AH8" i="6"/>
  <c r="AH7" i="5"/>
  <c r="AH6" i="9"/>
  <c r="AH8" i="5"/>
  <c r="AH22" i="6"/>
  <c r="AH23" i="6" s="1"/>
  <c r="AH24" i="6" s="1"/>
  <c r="AG28" i="6"/>
  <c r="AG8" i="7"/>
  <c r="AG16" i="5"/>
  <c r="AG12" i="5"/>
  <c r="AG14" i="5" s="1"/>
  <c r="AG15" i="5" s="1"/>
  <c r="AG18" i="5" s="1"/>
  <c r="AG11" i="10"/>
  <c r="AG13" i="10"/>
  <c r="AH24" i="4"/>
  <c r="AH9" i="6" s="1"/>
  <c r="AH15" i="6" s="1"/>
  <c r="AH16" i="6" s="1"/>
  <c r="AH7" i="9"/>
  <c r="AH7" i="8"/>
  <c r="AG26" i="9"/>
  <c r="AH33" i="5"/>
  <c r="AH13" i="5"/>
  <c r="AH11" i="5"/>
  <c r="AH25" i="4"/>
  <c r="AI16" i="4"/>
  <c r="AH19" i="4"/>
  <c r="AH7" i="6" s="1"/>
  <c r="AH13" i="6" s="1"/>
  <c r="AH14" i="6" s="1"/>
  <c r="AH18" i="4"/>
  <c r="AH25" i="6" l="1"/>
  <c r="AH26" i="6" s="1"/>
  <c r="AH17" i="6"/>
  <c r="AI6" i="5"/>
  <c r="AI6" i="6"/>
  <c r="AG11" i="9"/>
  <c r="AH16" i="9"/>
  <c r="AH25" i="9"/>
  <c r="AH10" i="10" s="1"/>
  <c r="AH6" i="10"/>
  <c r="AH9" i="8"/>
  <c r="AH11" i="8" s="1"/>
  <c r="AH39" i="5"/>
  <c r="AH16" i="5"/>
  <c r="AH12" i="5"/>
  <c r="AH14" i="5" s="1"/>
  <c r="AI23" i="4"/>
  <c r="AI17" i="4"/>
  <c r="AI21" i="4"/>
  <c r="AI22" i="4"/>
  <c r="AI20" i="4"/>
  <c r="AH27" i="9" l="1"/>
  <c r="AH26" i="9"/>
  <c r="AH27" i="6"/>
  <c r="AH28" i="6" s="1"/>
  <c r="AH8" i="7"/>
  <c r="AI7" i="9"/>
  <c r="AI7" i="8"/>
  <c r="AI7" i="5"/>
  <c r="AI13" i="5" s="1"/>
  <c r="AI6" i="9"/>
  <c r="AI7" i="7"/>
  <c r="AI9" i="7" s="1"/>
  <c r="AI14" i="7" s="1"/>
  <c r="AI8" i="6"/>
  <c r="AI8" i="5"/>
  <c r="AI22" i="6"/>
  <c r="AI23" i="6" s="1"/>
  <c r="AI24" i="6" s="1"/>
  <c r="AI24" i="4"/>
  <c r="AI9" i="6" s="1"/>
  <c r="AI15" i="6" s="1"/>
  <c r="AI16" i="6" s="1"/>
  <c r="AH11" i="10"/>
  <c r="AH13" i="10"/>
  <c r="AH15" i="5"/>
  <c r="AH18" i="5" s="1"/>
  <c r="AI25" i="4"/>
  <c r="AJ16" i="4"/>
  <c r="AI19" i="4"/>
  <c r="AI7" i="6" s="1"/>
  <c r="AI13" i="6" s="1"/>
  <c r="AI14" i="6" s="1"/>
  <c r="AI18" i="4"/>
  <c r="AH11" i="9" l="1"/>
  <c r="AI17" i="6"/>
  <c r="AI25" i="6"/>
  <c r="AI26" i="6" s="1"/>
  <c r="AI27" i="6" s="1"/>
  <c r="AJ6" i="5"/>
  <c r="AJ6" i="6"/>
  <c r="AI33" i="5"/>
  <c r="AI6" i="10"/>
  <c r="AI9" i="8"/>
  <c r="AI11" i="8" s="1"/>
  <c r="AI11" i="5"/>
  <c r="AI39" i="5" s="1"/>
  <c r="AI16" i="9"/>
  <c r="AI25" i="9"/>
  <c r="AI10" i="10" s="1"/>
  <c r="AJ23" i="4"/>
  <c r="AJ17" i="4"/>
  <c r="AJ21" i="4"/>
  <c r="AJ20" i="4"/>
  <c r="AJ6" i="9" s="1"/>
  <c r="AJ22" i="4"/>
  <c r="AI27" i="9" l="1"/>
  <c r="AI26" i="9"/>
  <c r="AI28" i="6"/>
  <c r="AI8" i="7"/>
  <c r="AJ8" i="5"/>
  <c r="AJ22" i="6"/>
  <c r="AJ23" i="6" s="1"/>
  <c r="AI12" i="5"/>
  <c r="AI14" i="5" s="1"/>
  <c r="AI15" i="5" s="1"/>
  <c r="AI18" i="5" s="1"/>
  <c r="AI16" i="5"/>
  <c r="AJ7" i="9"/>
  <c r="AJ7" i="8"/>
  <c r="AJ7" i="7"/>
  <c r="AJ9" i="7" s="1"/>
  <c r="AJ14" i="7" s="1"/>
  <c r="AJ8" i="6"/>
  <c r="AI11" i="10"/>
  <c r="AI13" i="10"/>
  <c r="AJ24" i="4"/>
  <c r="AJ9" i="6" s="1"/>
  <c r="AJ15" i="6" s="1"/>
  <c r="AJ16" i="6" s="1"/>
  <c r="AI11" i="9"/>
  <c r="AJ25" i="4"/>
  <c r="AJ7" i="5"/>
  <c r="AK16" i="4"/>
  <c r="AJ19" i="4"/>
  <c r="AJ7" i="6" s="1"/>
  <c r="AJ18" i="4"/>
  <c r="AJ16" i="9" l="1"/>
  <c r="AJ25" i="9"/>
  <c r="AJ10" i="10" s="1"/>
  <c r="AJ26" i="9"/>
  <c r="AJ27" i="9"/>
  <c r="AJ6" i="10"/>
  <c r="AJ9" i="8"/>
  <c r="AJ11" i="8" s="1"/>
  <c r="AJ13" i="6"/>
  <c r="AJ14" i="6" s="1"/>
  <c r="AK6" i="5"/>
  <c r="AK6" i="6"/>
  <c r="AK24" i="4"/>
  <c r="AK9" i="6" s="1"/>
  <c r="AK15" i="6" s="1"/>
  <c r="AK16" i="6" s="1"/>
  <c r="AJ24" i="6"/>
  <c r="AJ11" i="5"/>
  <c r="AJ33" i="5"/>
  <c r="AJ13" i="5"/>
  <c r="AK23" i="4"/>
  <c r="AK17" i="4"/>
  <c r="AK21" i="4"/>
  <c r="AK22" i="4"/>
  <c r="AK20" i="4"/>
  <c r="AJ25" i="6" l="1"/>
  <c r="AJ17" i="6"/>
  <c r="AK7" i="7"/>
  <c r="AK9" i="7" s="1"/>
  <c r="AK14" i="7" s="1"/>
  <c r="AK8" i="6"/>
  <c r="AJ13" i="10"/>
  <c r="AJ11" i="10"/>
  <c r="AJ26" i="6"/>
  <c r="AJ27" i="6" s="1"/>
  <c r="AK7" i="5"/>
  <c r="AK11" i="5" s="1"/>
  <c r="AK6" i="9"/>
  <c r="AK7" i="9"/>
  <c r="AK7" i="8"/>
  <c r="AK8" i="5"/>
  <c r="AK22" i="6"/>
  <c r="AK23" i="6" s="1"/>
  <c r="AJ39" i="5"/>
  <c r="AJ12" i="5"/>
  <c r="AJ14" i="5" s="1"/>
  <c r="AJ16" i="5"/>
  <c r="AK25" i="4"/>
  <c r="AL16" i="4"/>
  <c r="AK19" i="4"/>
  <c r="AK7" i="6" s="1"/>
  <c r="AK13" i="6" s="1"/>
  <c r="AK14" i="6" s="1"/>
  <c r="AK18" i="4"/>
  <c r="AK6" i="10" l="1"/>
  <c r="AK9" i="8"/>
  <c r="AK11" i="8" s="1"/>
  <c r="AL6" i="5"/>
  <c r="AL6" i="6"/>
  <c r="AL24" i="4"/>
  <c r="AL9" i="6" s="1"/>
  <c r="AL15" i="6" s="1"/>
  <c r="AL16" i="6" s="1"/>
  <c r="AK16" i="9"/>
  <c r="AK25" i="9"/>
  <c r="AK10" i="10" s="1"/>
  <c r="AJ28" i="6"/>
  <c r="AJ8" i="7"/>
  <c r="AK33" i="5"/>
  <c r="AK13" i="5"/>
  <c r="AK17" i="6"/>
  <c r="AK25" i="6"/>
  <c r="AJ11" i="9"/>
  <c r="AK24" i="6"/>
  <c r="AK26" i="6" s="1"/>
  <c r="AJ15" i="5"/>
  <c r="AJ18" i="5" s="1"/>
  <c r="AK39" i="5"/>
  <c r="AK16" i="5"/>
  <c r="AK12" i="5"/>
  <c r="AK14" i="5" s="1"/>
  <c r="AL23" i="4"/>
  <c r="AL17" i="4"/>
  <c r="AL21" i="4"/>
  <c r="AL20" i="4"/>
  <c r="AL22" i="4"/>
  <c r="AK27" i="6" l="1"/>
  <c r="AK26" i="9"/>
  <c r="AK27" i="9"/>
  <c r="AL8" i="5"/>
  <c r="AL22" i="6"/>
  <c r="AL23" i="6" s="1"/>
  <c r="AK28" i="6"/>
  <c r="AK8" i="7"/>
  <c r="AL7" i="9"/>
  <c r="AL7" i="8"/>
  <c r="AL7" i="7"/>
  <c r="AL9" i="7" s="1"/>
  <c r="AL14" i="7" s="1"/>
  <c r="AL8" i="6"/>
  <c r="AL7" i="5"/>
  <c r="AL11" i="5" s="1"/>
  <c r="AL6" i="9"/>
  <c r="AK13" i="10"/>
  <c r="AK11" i="10"/>
  <c r="AK15" i="5"/>
  <c r="AK18" i="5"/>
  <c r="AL25" i="4"/>
  <c r="AM16" i="4"/>
  <c r="AL18" i="4"/>
  <c r="AL19" i="4"/>
  <c r="AL7" i="6" s="1"/>
  <c r="AL13" i="6" s="1"/>
  <c r="AL14" i="6" s="1"/>
  <c r="AK11" i="9" l="1"/>
  <c r="AL16" i="9"/>
  <c r="AL25" i="9"/>
  <c r="AL10" i="10" s="1"/>
  <c r="AL26" i="9"/>
  <c r="AL27" i="9"/>
  <c r="AL25" i="6"/>
  <c r="AL17" i="6"/>
  <c r="AM6" i="5"/>
  <c r="AM6" i="6"/>
  <c r="AL6" i="10"/>
  <c r="AL9" i="8"/>
  <c r="AL11" i="8" s="1"/>
  <c r="AL13" i="5"/>
  <c r="AL33" i="5"/>
  <c r="AL24" i="6"/>
  <c r="AL39" i="5"/>
  <c r="AL12" i="5"/>
  <c r="AL14" i="5" s="1"/>
  <c r="AL16" i="5"/>
  <c r="AM23" i="4"/>
  <c r="AM17" i="4"/>
  <c r="AM21" i="4"/>
  <c r="AM24" i="4" s="1"/>
  <c r="AM9" i="6" s="1"/>
  <c r="AM15" i="6" s="1"/>
  <c r="AM16" i="6" s="1"/>
  <c r="AM20" i="4"/>
  <c r="AM22" i="4"/>
  <c r="AM7" i="5" l="1"/>
  <c r="AM6" i="9"/>
  <c r="AM7" i="9"/>
  <c r="AM7" i="8"/>
  <c r="AL11" i="10"/>
  <c r="AL13" i="10"/>
  <c r="AM7" i="7"/>
  <c r="AM9" i="7" s="1"/>
  <c r="AM14" i="7" s="1"/>
  <c r="AM8" i="6"/>
  <c r="AM8" i="5"/>
  <c r="AM22" i="6"/>
  <c r="AM23" i="6" s="1"/>
  <c r="AM24" i="6" s="1"/>
  <c r="AL26" i="6"/>
  <c r="AL27" i="6" s="1"/>
  <c r="AM13" i="5"/>
  <c r="AM11" i="5"/>
  <c r="AM33" i="5"/>
  <c r="AL15" i="5"/>
  <c r="AL18" i="5" s="1"/>
  <c r="AM25" i="4"/>
  <c r="AN16" i="4"/>
  <c r="AM18" i="4"/>
  <c r="AM19" i="4"/>
  <c r="AM7" i="6" s="1"/>
  <c r="AM13" i="6" s="1"/>
  <c r="AM14" i="6" s="1"/>
  <c r="AL28" i="6" l="1"/>
  <c r="AL8" i="7"/>
  <c r="AM25" i="6"/>
  <c r="AM26" i="6" s="1"/>
  <c r="AM17" i="6"/>
  <c r="AN6" i="5"/>
  <c r="AN6" i="6"/>
  <c r="AM6" i="10"/>
  <c r="AM9" i="8"/>
  <c r="AM11" i="8" s="1"/>
  <c r="AM16" i="9"/>
  <c r="AM25" i="9"/>
  <c r="AM10" i="10" s="1"/>
  <c r="AL11" i="9"/>
  <c r="AM39" i="5"/>
  <c r="AM12" i="5"/>
  <c r="AM14" i="5" s="1"/>
  <c r="AM16" i="5"/>
  <c r="AN23" i="4"/>
  <c r="AN17" i="4"/>
  <c r="AN21" i="4"/>
  <c r="AN20" i="4"/>
  <c r="AN22" i="4"/>
  <c r="AM27" i="6" l="1"/>
  <c r="AM28" i="6" s="1"/>
  <c r="AN7" i="5"/>
  <c r="AN6" i="9"/>
  <c r="AN7" i="7"/>
  <c r="AN9" i="7" s="1"/>
  <c r="AN14" i="7" s="1"/>
  <c r="AN8" i="6"/>
  <c r="AN8" i="5"/>
  <c r="AN22" i="6"/>
  <c r="AN23" i="6" s="1"/>
  <c r="AN24" i="6" s="1"/>
  <c r="AN7" i="9"/>
  <c r="AN7" i="8"/>
  <c r="AM13" i="10"/>
  <c r="AM11" i="10"/>
  <c r="AN24" i="4"/>
  <c r="AN9" i="6" s="1"/>
  <c r="AN15" i="6" s="1"/>
  <c r="AN16" i="6" s="1"/>
  <c r="AM26" i="9"/>
  <c r="AM27" i="9"/>
  <c r="AN13" i="5"/>
  <c r="AN33" i="5"/>
  <c r="AN11" i="5"/>
  <c r="AM15" i="5"/>
  <c r="AM18" i="5"/>
  <c r="AN25" i="4"/>
  <c r="AO16" i="4"/>
  <c r="AN18" i="4"/>
  <c r="AN19" i="4"/>
  <c r="AN7" i="6" s="1"/>
  <c r="AN13" i="6" s="1"/>
  <c r="AN14" i="6" s="1"/>
  <c r="AM8" i="7" l="1"/>
  <c r="AN17" i="6"/>
  <c r="AN25" i="6"/>
  <c r="AN26" i="6" s="1"/>
  <c r="AN6" i="10"/>
  <c r="AN9" i="8"/>
  <c r="AN11" i="8" s="1"/>
  <c r="AO6" i="5"/>
  <c r="AO6" i="6"/>
  <c r="AN16" i="9"/>
  <c r="AN25" i="9"/>
  <c r="AN10" i="10" s="1"/>
  <c r="AM11" i="9"/>
  <c r="AN39" i="5"/>
  <c r="AN16" i="5"/>
  <c r="AN12" i="5"/>
  <c r="AN14" i="5" s="1"/>
  <c r="AO23" i="4"/>
  <c r="AO17" i="4"/>
  <c r="AO21" i="4"/>
  <c r="AO22" i="4"/>
  <c r="AO20" i="4"/>
  <c r="AN26" i="9" l="1"/>
  <c r="AN27" i="9"/>
  <c r="AO7" i="7"/>
  <c r="AO9" i="7" s="1"/>
  <c r="AO14" i="7" s="1"/>
  <c r="AO8" i="6"/>
  <c r="AO7" i="5"/>
  <c r="AO11" i="5" s="1"/>
  <c r="AO6" i="9"/>
  <c r="AO7" i="9"/>
  <c r="AO7" i="8"/>
  <c r="AO24" i="4"/>
  <c r="AO9" i="6" s="1"/>
  <c r="AO15" i="6" s="1"/>
  <c r="AO16" i="6" s="1"/>
  <c r="AO8" i="5"/>
  <c r="AO22" i="6"/>
  <c r="AO23" i="6" s="1"/>
  <c r="AO24" i="6" s="1"/>
  <c r="AN27" i="6"/>
  <c r="AN11" i="10"/>
  <c r="AN13" i="10"/>
  <c r="AO33" i="5"/>
  <c r="AO13" i="5"/>
  <c r="AN15" i="5"/>
  <c r="AN18" i="5" s="1"/>
  <c r="AO25" i="4"/>
  <c r="AP16" i="4"/>
  <c r="AO18" i="4"/>
  <c r="AO19" i="4"/>
  <c r="AO7" i="6" s="1"/>
  <c r="AO13" i="6" s="1"/>
  <c r="AO14" i="6" s="1"/>
  <c r="AN28" i="6" l="1"/>
  <c r="AN8" i="7"/>
  <c r="AO17" i="6"/>
  <c r="AO25" i="6"/>
  <c r="AO26" i="6" s="1"/>
  <c r="AO27" i="6" s="1"/>
  <c r="AP6" i="5"/>
  <c r="AP6" i="6"/>
  <c r="AO6" i="10"/>
  <c r="AO9" i="8"/>
  <c r="AO11" i="8" s="1"/>
  <c r="AO16" i="9"/>
  <c r="AO25" i="9"/>
  <c r="AO10" i="10" s="1"/>
  <c r="AN11" i="9"/>
  <c r="AO39" i="5"/>
  <c r="AO16" i="5"/>
  <c r="AO12" i="5"/>
  <c r="AO14" i="5" s="1"/>
  <c r="AP23" i="4"/>
  <c r="AP17" i="4"/>
  <c r="AP22" i="4"/>
  <c r="AP20" i="4"/>
  <c r="AP21" i="4"/>
  <c r="AO8" i="7" l="1"/>
  <c r="AO28" i="6"/>
  <c r="AP7" i="7"/>
  <c r="AP9" i="7" s="1"/>
  <c r="AP14" i="7" s="1"/>
  <c r="AP8" i="6"/>
  <c r="AP8" i="5"/>
  <c r="AP22" i="6"/>
  <c r="AP23" i="6" s="1"/>
  <c r="AP24" i="6" s="1"/>
  <c r="AP7" i="5"/>
  <c r="AP11" i="5" s="1"/>
  <c r="AP6" i="9"/>
  <c r="AP7" i="9"/>
  <c r="AP7" i="8"/>
  <c r="AO13" i="10"/>
  <c r="AO11" i="10"/>
  <c r="AP24" i="4"/>
  <c r="AP9" i="6" s="1"/>
  <c r="AP15" i="6" s="1"/>
  <c r="AP16" i="6" s="1"/>
  <c r="AO26" i="9"/>
  <c r="AO27" i="9"/>
  <c r="AO15" i="5"/>
  <c r="AO18" i="5" s="1"/>
  <c r="AP25" i="4"/>
  <c r="AQ16" i="4"/>
  <c r="AP18" i="4"/>
  <c r="AP19" i="4"/>
  <c r="AP7" i="6" s="1"/>
  <c r="AP13" i="6" s="1"/>
  <c r="AP14" i="6" s="1"/>
  <c r="AO11" i="9" l="1"/>
  <c r="AQ6" i="5"/>
  <c r="AQ6" i="6"/>
  <c r="AP6" i="10"/>
  <c r="AP9" i="8"/>
  <c r="AP11" i="8" s="1"/>
  <c r="AP16" i="9"/>
  <c r="AP25" i="9"/>
  <c r="AP10" i="10" s="1"/>
  <c r="AP33" i="5"/>
  <c r="AP13" i="5"/>
  <c r="AP25" i="6"/>
  <c r="AP26" i="6" s="1"/>
  <c r="AP17" i="6"/>
  <c r="AP39" i="5"/>
  <c r="AP12" i="5"/>
  <c r="AP14" i="5" s="1"/>
  <c r="AP16" i="5"/>
  <c r="AQ23" i="4"/>
  <c r="AQ17" i="4"/>
  <c r="AQ22" i="4"/>
  <c r="AQ20" i="4"/>
  <c r="AQ21" i="4"/>
  <c r="AP26" i="9" l="1"/>
  <c r="AP27" i="6"/>
  <c r="AP8" i="7" s="1"/>
  <c r="AP27" i="9"/>
  <c r="AQ7" i="7"/>
  <c r="AQ9" i="7" s="1"/>
  <c r="AQ14" i="7" s="1"/>
  <c r="AQ8" i="6"/>
  <c r="AQ7" i="5"/>
  <c r="AQ33" i="5" s="1"/>
  <c r="AQ6" i="9"/>
  <c r="AQ7" i="9"/>
  <c r="AQ7" i="8"/>
  <c r="AP11" i="10"/>
  <c r="AP13" i="10"/>
  <c r="AP28" i="6"/>
  <c r="AQ8" i="5"/>
  <c r="AQ22" i="6"/>
  <c r="AQ23" i="6" s="1"/>
  <c r="AQ24" i="6" s="1"/>
  <c r="AQ24" i="4"/>
  <c r="AQ9" i="6" s="1"/>
  <c r="AQ15" i="6" s="1"/>
  <c r="AQ16" i="6" s="1"/>
  <c r="AQ11" i="5"/>
  <c r="AQ13" i="5"/>
  <c r="AP15" i="5"/>
  <c r="AP18" i="5"/>
  <c r="AQ25" i="4"/>
  <c r="AR16" i="4"/>
  <c r="AQ18" i="4"/>
  <c r="AQ19" i="4"/>
  <c r="AQ7" i="6" s="1"/>
  <c r="AQ13" i="6" s="1"/>
  <c r="AQ14" i="6" s="1"/>
  <c r="AQ25" i="6" l="1"/>
  <c r="AQ17" i="6"/>
  <c r="AQ6" i="10"/>
  <c r="AQ9" i="8"/>
  <c r="AQ11" i="8" s="1"/>
  <c r="AQ16" i="9"/>
  <c r="AQ25" i="9"/>
  <c r="AQ10" i="10" s="1"/>
  <c r="AP11" i="9"/>
  <c r="AQ26" i="6"/>
  <c r="AQ27" i="6" s="1"/>
  <c r="AR6" i="5"/>
  <c r="AR6" i="6"/>
  <c r="AQ39" i="5"/>
  <c r="AQ12" i="5"/>
  <c r="AQ14" i="5" s="1"/>
  <c r="AQ15" i="5" s="1"/>
  <c r="AQ16" i="5"/>
  <c r="AR23" i="4"/>
  <c r="AR17" i="4"/>
  <c r="AR22" i="4"/>
  <c r="AR20" i="4"/>
  <c r="AR21" i="4"/>
  <c r="AQ27" i="9" l="1"/>
  <c r="AQ26" i="9"/>
  <c r="AQ8" i="7"/>
  <c r="AQ28" i="6"/>
  <c r="AR7" i="9"/>
  <c r="AR7" i="8"/>
  <c r="AR7" i="7"/>
  <c r="AR9" i="7" s="1"/>
  <c r="AR14" i="7" s="1"/>
  <c r="AR8" i="6"/>
  <c r="AR7" i="5"/>
  <c r="AR13" i="5" s="1"/>
  <c r="AR6" i="9"/>
  <c r="AR8" i="5"/>
  <c r="AR22" i="6"/>
  <c r="AR23" i="6" s="1"/>
  <c r="AR24" i="6" s="1"/>
  <c r="AQ13" i="10"/>
  <c r="AQ11" i="10"/>
  <c r="AR24" i="4"/>
  <c r="AR9" i="6" s="1"/>
  <c r="AR15" i="6" s="1"/>
  <c r="AR16" i="6" s="1"/>
  <c r="AQ18" i="5"/>
  <c r="AR25" i="4"/>
  <c r="AS16" i="4"/>
  <c r="AR18" i="4"/>
  <c r="AR19" i="4"/>
  <c r="AR7" i="6" s="1"/>
  <c r="AR13" i="6" s="1"/>
  <c r="AR14" i="6" s="1"/>
  <c r="AR25" i="6" l="1"/>
  <c r="AR26" i="6" s="1"/>
  <c r="AR17" i="6"/>
  <c r="AS6" i="5"/>
  <c r="AS6" i="6"/>
  <c r="AR11" i="5"/>
  <c r="AR39" i="5" s="1"/>
  <c r="AQ11" i="9"/>
  <c r="AR33" i="5"/>
  <c r="AR6" i="10"/>
  <c r="AR9" i="8"/>
  <c r="AR11" i="8" s="1"/>
  <c r="AR16" i="9"/>
  <c r="AR25" i="9"/>
  <c r="AR10" i="10" s="1"/>
  <c r="AR16" i="5"/>
  <c r="AR12" i="5"/>
  <c r="AR14" i="5" s="1"/>
  <c r="AR15" i="5" s="1"/>
  <c r="AR18" i="5" s="1"/>
  <c r="AS23" i="4"/>
  <c r="AS17" i="4"/>
  <c r="AS20" i="4"/>
  <c r="AS22" i="4"/>
  <c r="AS21" i="4"/>
  <c r="AS24" i="4" s="1"/>
  <c r="AS9" i="6" s="1"/>
  <c r="AS15" i="6" s="1"/>
  <c r="AS16" i="6" s="1"/>
  <c r="AR27" i="9" l="1"/>
  <c r="AR27" i="6"/>
  <c r="AR28" i="6" s="1"/>
  <c r="AR26" i="9"/>
  <c r="AR13" i="10"/>
  <c r="AR11" i="10"/>
  <c r="AS7" i="9"/>
  <c r="AS7" i="8"/>
  <c r="AS7" i="5"/>
  <c r="AS33" i="5" s="1"/>
  <c r="AS6" i="9"/>
  <c r="AS7" i="7"/>
  <c r="AS9" i="7" s="1"/>
  <c r="AS14" i="7" s="1"/>
  <c r="AS8" i="6"/>
  <c r="AS8" i="5"/>
  <c r="AS22" i="6"/>
  <c r="AS23" i="6" s="1"/>
  <c r="AS24" i="6" s="1"/>
  <c r="AR8" i="7"/>
  <c r="AS25" i="4"/>
  <c r="AT16" i="4"/>
  <c r="AS18" i="4"/>
  <c r="AS19" i="4"/>
  <c r="AS7" i="6" s="1"/>
  <c r="AS13" i="6" s="1"/>
  <c r="AS14" i="6" s="1"/>
  <c r="AS17" i="6" l="1"/>
  <c r="AS25" i="6"/>
  <c r="AS26" i="6" s="1"/>
  <c r="AR11" i="9"/>
  <c r="AT6" i="5"/>
  <c r="AT6" i="6"/>
  <c r="AS6" i="10"/>
  <c r="AS9" i="8"/>
  <c r="AS11" i="8" s="1"/>
  <c r="AS11" i="5"/>
  <c r="AS39" i="5" s="1"/>
  <c r="AS16" i="9"/>
  <c r="AS25" i="9"/>
  <c r="AS10" i="10" s="1"/>
  <c r="AS13" i="5"/>
  <c r="AT23" i="4"/>
  <c r="AT17" i="4"/>
  <c r="AT20" i="4"/>
  <c r="AT22" i="4"/>
  <c r="AT21" i="4"/>
  <c r="AT24" i="4" s="1"/>
  <c r="AT9" i="6" s="1"/>
  <c r="AT15" i="6" s="1"/>
  <c r="AT16" i="6" s="1"/>
  <c r="AS26" i="9" l="1"/>
  <c r="AS27" i="9"/>
  <c r="AS27" i="6"/>
  <c r="AS8" i="7" s="1"/>
  <c r="AS28" i="6"/>
  <c r="AT7" i="7"/>
  <c r="AT9" i="7" s="1"/>
  <c r="AT14" i="7" s="1"/>
  <c r="AT8" i="6"/>
  <c r="AT7" i="9"/>
  <c r="AT7" i="8"/>
  <c r="AT7" i="5"/>
  <c r="AT11" i="5" s="1"/>
  <c r="AT6" i="9"/>
  <c r="AT8" i="5"/>
  <c r="AT22" i="6"/>
  <c r="AT23" i="6" s="1"/>
  <c r="AT24" i="6" s="1"/>
  <c r="AS13" i="10"/>
  <c r="AS11" i="10"/>
  <c r="AS12" i="5"/>
  <c r="AS14" i="5" s="1"/>
  <c r="AS16" i="5"/>
  <c r="AS15" i="5"/>
  <c r="AS18" i="5" s="1"/>
  <c r="AT25" i="4"/>
  <c r="AU16" i="4"/>
  <c r="AT19" i="4"/>
  <c r="AT7" i="6" s="1"/>
  <c r="AT13" i="6" s="1"/>
  <c r="AT14" i="6" s="1"/>
  <c r="AT18" i="4"/>
  <c r="AU6" i="5" l="1"/>
  <c r="AU6" i="6"/>
  <c r="AT16" i="9"/>
  <c r="AT25" i="9"/>
  <c r="AT10" i="10" s="1"/>
  <c r="AT33" i="5"/>
  <c r="AT13" i="5"/>
  <c r="AT25" i="6"/>
  <c r="AT26" i="6" s="1"/>
  <c r="AT17" i="6"/>
  <c r="AS11" i="9"/>
  <c r="AT6" i="10"/>
  <c r="AT9" i="8"/>
  <c r="AT11" i="8" s="1"/>
  <c r="AT39" i="5"/>
  <c r="AT12" i="5"/>
  <c r="AT16" i="5"/>
  <c r="AU23" i="4"/>
  <c r="AU17" i="4"/>
  <c r="AU20" i="4"/>
  <c r="AU22" i="4"/>
  <c r="AU21" i="4"/>
  <c r="AT26" i="9" l="1"/>
  <c r="AT27" i="9"/>
  <c r="AT27" i="6"/>
  <c r="AT28" i="6"/>
  <c r="AT8" i="7"/>
  <c r="AU7" i="7"/>
  <c r="AU9" i="7" s="1"/>
  <c r="AU14" i="7" s="1"/>
  <c r="AU8" i="6"/>
  <c r="AU7" i="5"/>
  <c r="AU6" i="9"/>
  <c r="AU8" i="5"/>
  <c r="AU22" i="6"/>
  <c r="AU23" i="6" s="1"/>
  <c r="AU24" i="6" s="1"/>
  <c r="AT14" i="5"/>
  <c r="AT15" i="5" s="1"/>
  <c r="AU7" i="9"/>
  <c r="AU7" i="8"/>
  <c r="AT13" i="10"/>
  <c r="AT11" i="10"/>
  <c r="AU24" i="4"/>
  <c r="AU9" i="6" s="1"/>
  <c r="AU15" i="6" s="1"/>
  <c r="AU16" i="6" s="1"/>
  <c r="AU33" i="5"/>
  <c r="AU11" i="5"/>
  <c r="AU13" i="5"/>
  <c r="AU25" i="4"/>
  <c r="AV16" i="4"/>
  <c r="AU19" i="4"/>
  <c r="AU7" i="6" s="1"/>
  <c r="AU13" i="6" s="1"/>
  <c r="AU14" i="6" s="1"/>
  <c r="AU18" i="4"/>
  <c r="AU6" i="10" l="1"/>
  <c r="AU9" i="8"/>
  <c r="AU11" i="8" s="1"/>
  <c r="AU16" i="9"/>
  <c r="AU25" i="9"/>
  <c r="AU10" i="10" s="1"/>
  <c r="AU27" i="9"/>
  <c r="AV6" i="5"/>
  <c r="AV6" i="6"/>
  <c r="AV24" i="4"/>
  <c r="AV9" i="6" s="1"/>
  <c r="AV15" i="6" s="1"/>
  <c r="AV16" i="6" s="1"/>
  <c r="AU17" i="6"/>
  <c r="AU25" i="6"/>
  <c r="AU26" i="6" s="1"/>
  <c r="AT11" i="9"/>
  <c r="AT18" i="5"/>
  <c r="AU39" i="5"/>
  <c r="AU16" i="5"/>
  <c r="AU12" i="5"/>
  <c r="AU14" i="5" s="1"/>
  <c r="AV23" i="4"/>
  <c r="AV17" i="4"/>
  <c r="AV21" i="4"/>
  <c r="AV22" i="4"/>
  <c r="AV20" i="4"/>
  <c r="AU27" i="6" l="1"/>
  <c r="AU26" i="9"/>
  <c r="AU8" i="7"/>
  <c r="AU28" i="6"/>
  <c r="AV7" i="5"/>
  <c r="AV11" i="5" s="1"/>
  <c r="AV6" i="9"/>
  <c r="AV7" i="9"/>
  <c r="AV7" i="8"/>
  <c r="AV7" i="7"/>
  <c r="AV9" i="7" s="1"/>
  <c r="AV14" i="7" s="1"/>
  <c r="AV8" i="6"/>
  <c r="AV8" i="5"/>
  <c r="AV22" i="6"/>
  <c r="AV23" i="6" s="1"/>
  <c r="AV24" i="6" s="1"/>
  <c r="AU11" i="10"/>
  <c r="AU13" i="10"/>
  <c r="AV13" i="5"/>
  <c r="AU15" i="5"/>
  <c r="AU18" i="5" s="1"/>
  <c r="AV25" i="4"/>
  <c r="AW16" i="4"/>
  <c r="AV19" i="4"/>
  <c r="AV7" i="6" s="1"/>
  <c r="AV18" i="4"/>
  <c r="AV13" i="6" l="1"/>
  <c r="AV14" i="6" s="1"/>
  <c r="AW6" i="5"/>
  <c r="AW6" i="6"/>
  <c r="AV6" i="10"/>
  <c r="AV9" i="8"/>
  <c r="AV11" i="8" s="1"/>
  <c r="AV16" i="9"/>
  <c r="AV25" i="9"/>
  <c r="AV10" i="10" s="1"/>
  <c r="AU11" i="9"/>
  <c r="AV33" i="5"/>
  <c r="AV39" i="5"/>
  <c r="AV16" i="5"/>
  <c r="AV12" i="5"/>
  <c r="AV14" i="5" s="1"/>
  <c r="AV15" i="5" s="1"/>
  <c r="AV18" i="5" s="1"/>
  <c r="AW23" i="4"/>
  <c r="AW17" i="4"/>
  <c r="AW20" i="4"/>
  <c r="AW21" i="4"/>
  <c r="AW22" i="4"/>
  <c r="AV27" i="9" l="1"/>
  <c r="AV26" i="9"/>
  <c r="AW7" i="9"/>
  <c r="AW7" i="8"/>
  <c r="AW7" i="7"/>
  <c r="AW9" i="7" s="1"/>
  <c r="AW14" i="7" s="1"/>
  <c r="AW8" i="6"/>
  <c r="AW7" i="5"/>
  <c r="AW13" i="5" s="1"/>
  <c r="AW6" i="9"/>
  <c r="AW8" i="5"/>
  <c r="AW22" i="6"/>
  <c r="AW23" i="6" s="1"/>
  <c r="AW24" i="6" s="1"/>
  <c r="AV11" i="10"/>
  <c r="AV13" i="10"/>
  <c r="AW24" i="4"/>
  <c r="AW9" i="6" s="1"/>
  <c r="AW15" i="6" s="1"/>
  <c r="AW16" i="6" s="1"/>
  <c r="AV25" i="6"/>
  <c r="AV26" i="6" s="1"/>
  <c r="AV17" i="6"/>
  <c r="AW25" i="4"/>
  <c r="AX16" i="4"/>
  <c r="AW19" i="4"/>
  <c r="AW7" i="6" s="1"/>
  <c r="AW13" i="6" s="1"/>
  <c r="AW14" i="6" s="1"/>
  <c r="AW18" i="4"/>
  <c r="AV27" i="6" l="1"/>
  <c r="AV28" i="6" s="1"/>
  <c r="AW17" i="6"/>
  <c r="AW25" i="6"/>
  <c r="AX6" i="5"/>
  <c r="AX6" i="6"/>
  <c r="AW26" i="6"/>
  <c r="AW27" i="6" s="1"/>
  <c r="AW11" i="9"/>
  <c r="AV11" i="9"/>
  <c r="AW11" i="5"/>
  <c r="AW16" i="5" s="1"/>
  <c r="AW33" i="5"/>
  <c r="AW6" i="10"/>
  <c r="AW9" i="8"/>
  <c r="AW11" i="8" s="1"/>
  <c r="AW16" i="9"/>
  <c r="AW25" i="9"/>
  <c r="AW10" i="10" s="1"/>
  <c r="AX23" i="4"/>
  <c r="AX17" i="4"/>
  <c r="AX21" i="4"/>
  <c r="AX24" i="4" s="1"/>
  <c r="AX9" i="6" s="1"/>
  <c r="AX15" i="6" s="1"/>
  <c r="AX16" i="6" s="1"/>
  <c r="AX22" i="4"/>
  <c r="AX20" i="4"/>
  <c r="AX6" i="9" s="1"/>
  <c r="AW27" i="9" l="1"/>
  <c r="AW26" i="9"/>
  <c r="AV8" i="7"/>
  <c r="AX8" i="5"/>
  <c r="AX22" i="6"/>
  <c r="AX23" i="6" s="1"/>
  <c r="AW12" i="5"/>
  <c r="AW14" i="5" s="1"/>
  <c r="AW15" i="5" s="1"/>
  <c r="AW18" i="5" s="1"/>
  <c r="AW28" i="6"/>
  <c r="AW8" i="7"/>
  <c r="AW39" i="5"/>
  <c r="AX7" i="7"/>
  <c r="AX9" i="7" s="1"/>
  <c r="AX14" i="7" s="1"/>
  <c r="AX8" i="6"/>
  <c r="AX7" i="9"/>
  <c r="AX7" i="8"/>
  <c r="AW11" i="10"/>
  <c r="AW13" i="10"/>
  <c r="AX25" i="4"/>
  <c r="AX7" i="5"/>
  <c r="AY16" i="4"/>
  <c r="AX18" i="4"/>
  <c r="AX19" i="4"/>
  <c r="AX7" i="6" s="1"/>
  <c r="AX13" i="6" s="1"/>
  <c r="AX14" i="6" s="1"/>
  <c r="AX25" i="6" l="1"/>
  <c r="AX17" i="6"/>
  <c r="AX16" i="9"/>
  <c r="AX25" i="9"/>
  <c r="AX10" i="10" s="1"/>
  <c r="AY6" i="5"/>
  <c r="AY6" i="6"/>
  <c r="AY24" i="4"/>
  <c r="AY9" i="6" s="1"/>
  <c r="AY15" i="6" s="1"/>
  <c r="AY16" i="6" s="1"/>
  <c r="AX6" i="10"/>
  <c r="AX9" i="8"/>
  <c r="AX11" i="8" s="1"/>
  <c r="AX24" i="6"/>
  <c r="AX13" i="5"/>
  <c r="AX11" i="5"/>
  <c r="AX33" i="5"/>
  <c r="AY23" i="4"/>
  <c r="AY17" i="4"/>
  <c r="AY21" i="4"/>
  <c r="AY20" i="4"/>
  <c r="AY22" i="4"/>
  <c r="AX26" i="9" l="1"/>
  <c r="AX26" i="6"/>
  <c r="AX27" i="6" s="1"/>
  <c r="AX27" i="9"/>
  <c r="AX8" i="7"/>
  <c r="AX28" i="6"/>
  <c r="AX13" i="10"/>
  <c r="AX11" i="10"/>
  <c r="AY7" i="9"/>
  <c r="AY7" i="8"/>
  <c r="AY7" i="7"/>
  <c r="AY9" i="7" s="1"/>
  <c r="AY14" i="7" s="1"/>
  <c r="AY8" i="6"/>
  <c r="AY7" i="5"/>
  <c r="AY11" i="5" s="1"/>
  <c r="AY6" i="9"/>
  <c r="AX11" i="9" s="1"/>
  <c r="AY8" i="5"/>
  <c r="AY22" i="6"/>
  <c r="AY23" i="6" s="1"/>
  <c r="AY24" i="6" s="1"/>
  <c r="AX39" i="5"/>
  <c r="AX12" i="5"/>
  <c r="AX14" i="5" s="1"/>
  <c r="AX15" i="5" s="1"/>
  <c r="AX16" i="5"/>
  <c r="AY25" i="4"/>
  <c r="AZ16" i="4"/>
  <c r="AY18" i="4"/>
  <c r="AY19" i="4"/>
  <c r="AY7" i="6" s="1"/>
  <c r="AY13" i="6" s="1"/>
  <c r="AY14" i="6" s="1"/>
  <c r="AZ6" i="5" l="1"/>
  <c r="AZ6" i="6"/>
  <c r="AY17" i="6"/>
  <c r="AY25" i="6"/>
  <c r="AY26" i="6" s="1"/>
  <c r="AY27" i="6" s="1"/>
  <c r="AY6" i="10"/>
  <c r="AY9" i="8"/>
  <c r="AY11" i="8" s="1"/>
  <c r="AY16" i="9"/>
  <c r="AY25" i="9"/>
  <c r="AY10" i="10" s="1"/>
  <c r="AY33" i="5"/>
  <c r="AY13" i="5"/>
  <c r="AX18" i="5"/>
  <c r="AY39" i="5"/>
  <c r="AY16" i="5"/>
  <c r="AY12" i="5"/>
  <c r="AY14" i="5" s="1"/>
  <c r="AZ23" i="4"/>
  <c r="AZ17" i="4"/>
  <c r="AZ21" i="4"/>
  <c r="AZ20" i="4"/>
  <c r="AZ22" i="4"/>
  <c r="AY26" i="9" l="1"/>
  <c r="AY27" i="9"/>
  <c r="AY8" i="7"/>
  <c r="AY28" i="6"/>
  <c r="AZ7" i="9"/>
  <c r="AZ7" i="8"/>
  <c r="AZ7" i="5"/>
  <c r="AZ13" i="5" s="1"/>
  <c r="AZ6" i="9"/>
  <c r="AY11" i="9" s="1"/>
  <c r="AZ7" i="7"/>
  <c r="AZ9" i="7" s="1"/>
  <c r="AZ14" i="7" s="1"/>
  <c r="AZ8" i="6"/>
  <c r="AY13" i="10"/>
  <c r="AY11" i="10"/>
  <c r="AZ8" i="5"/>
  <c r="AZ22" i="6"/>
  <c r="AZ23" i="6" s="1"/>
  <c r="AZ24" i="6" s="1"/>
  <c r="AZ24" i="4"/>
  <c r="AZ9" i="6" s="1"/>
  <c r="AZ15" i="6" s="1"/>
  <c r="AZ16" i="6" s="1"/>
  <c r="AY15" i="5"/>
  <c r="AY18" i="5" s="1"/>
  <c r="AZ25" i="4"/>
  <c r="BA16" i="4"/>
  <c r="AZ18" i="4"/>
  <c r="AZ19" i="4"/>
  <c r="AZ7" i="6" s="1"/>
  <c r="AZ13" i="6" s="1"/>
  <c r="AZ14" i="6" s="1"/>
  <c r="AZ6" i="10" l="1"/>
  <c r="AZ9" i="8"/>
  <c r="AZ11" i="8" s="1"/>
  <c r="AZ11" i="5"/>
  <c r="AZ39" i="5" s="1"/>
  <c r="AZ25" i="6"/>
  <c r="AZ26" i="6" s="1"/>
  <c r="AZ17" i="6"/>
  <c r="BA6" i="5"/>
  <c r="BA6" i="6"/>
  <c r="AZ33" i="5"/>
  <c r="AZ16" i="9"/>
  <c r="AZ25" i="9"/>
  <c r="AZ10" i="10" s="1"/>
  <c r="AZ12" i="5"/>
  <c r="AZ14" i="5" s="1"/>
  <c r="AZ15" i="5" s="1"/>
  <c r="BA23" i="4"/>
  <c r="BA17" i="4"/>
  <c r="BA21" i="4"/>
  <c r="BA24" i="4" s="1"/>
  <c r="BA9" i="6" s="1"/>
  <c r="BA15" i="6" s="1"/>
  <c r="BA16" i="6" s="1"/>
  <c r="BA20" i="4"/>
  <c r="BA22" i="4"/>
  <c r="AZ27" i="6" l="1"/>
  <c r="AZ28" i="6"/>
  <c r="AZ8" i="7"/>
  <c r="BA7" i="5"/>
  <c r="BA6" i="9"/>
  <c r="BA7" i="9"/>
  <c r="BA7" i="8"/>
  <c r="BA7" i="7"/>
  <c r="BA9" i="7" s="1"/>
  <c r="BA14" i="7" s="1"/>
  <c r="BA8" i="6"/>
  <c r="BA8" i="5"/>
  <c r="BA22" i="6"/>
  <c r="BA23" i="6" s="1"/>
  <c r="BA24" i="6" s="1"/>
  <c r="AZ16" i="5"/>
  <c r="AZ18" i="5" s="1"/>
  <c r="AZ26" i="9"/>
  <c r="AZ13" i="10"/>
  <c r="AZ11" i="10"/>
  <c r="AZ27" i="9"/>
  <c r="BA33" i="5"/>
  <c r="BA11" i="5"/>
  <c r="BA13" i="5"/>
  <c r="BA25" i="4"/>
  <c r="BB16" i="4"/>
  <c r="BA18" i="4"/>
  <c r="BA19" i="4"/>
  <c r="BA7" i="6" s="1"/>
  <c r="BA13" i="6" s="1"/>
  <c r="BA14" i="6" s="1"/>
  <c r="BB6" i="5" l="1"/>
  <c r="BB6" i="6"/>
  <c r="BA25" i="6"/>
  <c r="BA26" i="6" s="1"/>
  <c r="BA17" i="6"/>
  <c r="BA6" i="10"/>
  <c r="BA9" i="8"/>
  <c r="BA11" i="8" s="1"/>
  <c r="BA16" i="9"/>
  <c r="BA25" i="9"/>
  <c r="BA10" i="10" s="1"/>
  <c r="AZ11" i="9"/>
  <c r="BA39" i="5"/>
  <c r="BA12" i="5"/>
  <c r="BA14" i="5" s="1"/>
  <c r="BA16" i="5"/>
  <c r="BB23" i="4"/>
  <c r="BB17" i="4"/>
  <c r="BB22" i="4"/>
  <c r="BB20" i="4"/>
  <c r="BB21" i="4"/>
  <c r="BA26" i="9" l="1"/>
  <c r="BA27" i="9"/>
  <c r="BA27" i="6"/>
  <c r="BA28" i="6"/>
  <c r="BA8" i="7"/>
  <c r="BB7" i="7"/>
  <c r="BB9" i="7" s="1"/>
  <c r="BB14" i="7" s="1"/>
  <c r="BB8" i="6"/>
  <c r="BB7" i="5"/>
  <c r="BB13" i="5" s="1"/>
  <c r="BB6" i="9"/>
  <c r="BB7" i="9"/>
  <c r="BB7" i="8"/>
  <c r="BB8" i="5"/>
  <c r="BB22" i="6"/>
  <c r="BB23" i="6" s="1"/>
  <c r="BB24" i="6" s="1"/>
  <c r="BA11" i="10"/>
  <c r="BA13" i="10"/>
  <c r="BB24" i="4"/>
  <c r="BB9" i="6" s="1"/>
  <c r="BB15" i="6" s="1"/>
  <c r="BB16" i="6" s="1"/>
  <c r="BA15" i="5"/>
  <c r="BA18" i="5"/>
  <c r="BB25" i="4"/>
  <c r="BC16" i="4"/>
  <c r="BB19" i="4"/>
  <c r="BB7" i="6" s="1"/>
  <c r="BB13" i="6" s="1"/>
  <c r="BB14" i="6" s="1"/>
  <c r="BB18" i="4"/>
  <c r="BB6" i="10" l="1"/>
  <c r="BB9" i="8"/>
  <c r="BB11" i="8" s="1"/>
  <c r="BB11" i="5"/>
  <c r="BB33" i="5"/>
  <c r="BB25" i="6"/>
  <c r="BB26" i="6" s="1"/>
  <c r="BB17" i="6"/>
  <c r="BC6" i="5"/>
  <c r="BC6" i="6"/>
  <c r="BB16" i="9"/>
  <c r="BB25" i="9"/>
  <c r="BB10" i="10" s="1"/>
  <c r="BA11" i="9"/>
  <c r="BB39" i="5"/>
  <c r="BB12" i="5"/>
  <c r="BB14" i="5" s="1"/>
  <c r="BB15" i="5" s="1"/>
  <c r="BB16" i="5"/>
  <c r="BC23" i="4"/>
  <c r="BC17" i="4"/>
  <c r="BC22" i="4"/>
  <c r="BC20" i="4"/>
  <c r="BC21" i="4"/>
  <c r="BC24" i="4" s="1"/>
  <c r="BC9" i="6" s="1"/>
  <c r="BC15" i="6" s="1"/>
  <c r="BC16" i="6" s="1"/>
  <c r="BB27" i="6" l="1"/>
  <c r="BB28" i="6"/>
  <c r="BB8" i="7"/>
  <c r="BC7" i="9"/>
  <c r="BC7" i="8"/>
  <c r="BC7" i="7"/>
  <c r="BC9" i="7" s="1"/>
  <c r="BC14" i="7" s="1"/>
  <c r="BC8" i="6"/>
  <c r="BC7" i="5"/>
  <c r="BC13" i="5" s="1"/>
  <c r="BC6" i="9"/>
  <c r="BC8" i="5"/>
  <c r="BC22" i="6"/>
  <c r="BC23" i="6" s="1"/>
  <c r="BC24" i="6" s="1"/>
  <c r="BB27" i="9"/>
  <c r="BB13" i="10"/>
  <c r="BB11" i="10"/>
  <c r="BB26" i="9"/>
  <c r="BB18" i="5"/>
  <c r="BC25" i="4"/>
  <c r="BD16" i="4"/>
  <c r="BC19" i="4"/>
  <c r="BC7" i="6" s="1"/>
  <c r="BC13" i="6" s="1"/>
  <c r="BC14" i="6" s="1"/>
  <c r="BC18" i="4"/>
  <c r="BB11" i="9" l="1"/>
  <c r="BC33" i="5"/>
  <c r="BC11" i="5"/>
  <c r="BC17" i="6"/>
  <c r="BC25" i="6"/>
  <c r="BC26" i="6" s="1"/>
  <c r="BC27" i="6" s="1"/>
  <c r="BD6" i="5"/>
  <c r="BD6" i="6"/>
  <c r="BC6" i="10"/>
  <c r="BC9" i="8"/>
  <c r="BC11" i="8" s="1"/>
  <c r="BC16" i="9"/>
  <c r="BC25" i="9"/>
  <c r="BC10" i="10" s="1"/>
  <c r="BC39" i="5"/>
  <c r="BC12" i="5"/>
  <c r="BC14" i="5" s="1"/>
  <c r="BC16" i="5"/>
  <c r="BD23" i="4"/>
  <c r="BD17" i="4"/>
  <c r="BD22" i="4"/>
  <c r="BD20" i="4"/>
  <c r="BD21" i="4"/>
  <c r="BC27" i="9" l="1"/>
  <c r="BC26" i="9"/>
  <c r="BC28" i="6"/>
  <c r="BC8" i="7"/>
  <c r="BD7" i="7"/>
  <c r="BD9" i="7" s="1"/>
  <c r="BD14" i="7" s="1"/>
  <c r="BD8" i="6"/>
  <c r="BC11" i="10"/>
  <c r="BC13" i="10"/>
  <c r="BD24" i="4"/>
  <c r="BD9" i="6" s="1"/>
  <c r="BD15" i="6" s="1"/>
  <c r="BD16" i="6" s="1"/>
  <c r="BD7" i="5"/>
  <c r="BD11" i="5" s="1"/>
  <c r="BD6" i="9"/>
  <c r="BD7" i="9"/>
  <c r="BD7" i="8"/>
  <c r="BD8" i="5"/>
  <c r="BD22" i="6"/>
  <c r="BD23" i="6" s="1"/>
  <c r="BC15" i="5"/>
  <c r="BC18" i="5"/>
  <c r="BD25" i="4"/>
  <c r="BE16" i="4"/>
  <c r="BD19" i="4"/>
  <c r="BD7" i="6" s="1"/>
  <c r="BD13" i="6" s="1"/>
  <c r="BD14" i="6" s="1"/>
  <c r="BD18" i="4"/>
  <c r="BD25" i="6" l="1"/>
  <c r="BD17" i="6"/>
  <c r="BE6" i="5"/>
  <c r="BE6" i="6"/>
  <c r="BD6" i="10"/>
  <c r="BD9" i="8"/>
  <c r="BD11" i="8" s="1"/>
  <c r="BD33" i="5"/>
  <c r="BD13" i="5"/>
  <c r="BD16" i="9"/>
  <c r="BD25" i="9"/>
  <c r="BD10" i="10" s="1"/>
  <c r="BC11" i="9"/>
  <c r="BD24" i="6"/>
  <c r="BD26" i="6" s="1"/>
  <c r="BD39" i="5"/>
  <c r="BD16" i="5"/>
  <c r="BD12" i="5"/>
  <c r="BE23" i="4"/>
  <c r="BE17" i="4"/>
  <c r="BE22" i="4"/>
  <c r="BE20" i="4"/>
  <c r="BE21" i="4"/>
  <c r="BD26" i="9" l="1"/>
  <c r="BD27" i="6"/>
  <c r="BE7" i="7"/>
  <c r="BE9" i="7" s="1"/>
  <c r="BE14" i="7" s="1"/>
  <c r="BE8" i="6"/>
  <c r="BE7" i="5"/>
  <c r="BE6" i="9"/>
  <c r="BE7" i="9"/>
  <c r="BE7" i="8"/>
  <c r="BE8" i="5"/>
  <c r="BE22" i="6"/>
  <c r="BE23" i="6" s="1"/>
  <c r="BE24" i="6" s="1"/>
  <c r="BD28" i="6"/>
  <c r="BD8" i="7"/>
  <c r="BD14" i="5"/>
  <c r="BD15" i="5" s="1"/>
  <c r="BD13" i="10"/>
  <c r="BD11" i="10"/>
  <c r="BE24" i="4"/>
  <c r="BE9" i="6" s="1"/>
  <c r="BE15" i="6" s="1"/>
  <c r="BE16" i="6" s="1"/>
  <c r="BD27" i="9"/>
  <c r="BE13" i="5"/>
  <c r="BE33" i="5"/>
  <c r="BE11" i="5"/>
  <c r="BE25" i="4"/>
  <c r="BF16" i="4"/>
  <c r="BE19" i="4"/>
  <c r="BE7" i="6" s="1"/>
  <c r="BE13" i="6" s="1"/>
  <c r="BE14" i="6" s="1"/>
  <c r="BE18" i="4"/>
  <c r="BE6" i="10" l="1"/>
  <c r="BE9" i="8"/>
  <c r="BE11" i="8" s="1"/>
  <c r="BE25" i="6"/>
  <c r="BE26" i="6" s="1"/>
  <c r="BE17" i="6"/>
  <c r="BF6" i="5"/>
  <c r="BF6" i="6"/>
  <c r="BD18" i="5"/>
  <c r="BE16" i="9"/>
  <c r="BE25" i="9"/>
  <c r="BE10" i="10" s="1"/>
  <c r="BD11" i="9"/>
  <c r="BE39" i="5"/>
  <c r="BE16" i="5"/>
  <c r="BE12" i="5"/>
  <c r="BE14" i="5" s="1"/>
  <c r="BF23" i="4"/>
  <c r="BF17" i="4"/>
  <c r="BF20" i="4"/>
  <c r="BF22" i="4"/>
  <c r="BF21" i="4"/>
  <c r="BF24" i="4" s="1"/>
  <c r="BF9" i="6" s="1"/>
  <c r="BF15" i="6" s="1"/>
  <c r="BF16" i="6" s="1"/>
  <c r="BE27" i="9" l="1"/>
  <c r="BE27" i="6"/>
  <c r="BE28" i="6"/>
  <c r="BE8" i="7"/>
  <c r="BF7" i="7"/>
  <c r="BF9" i="7" s="1"/>
  <c r="BF14" i="7" s="1"/>
  <c r="BF8" i="6"/>
  <c r="BF7" i="9"/>
  <c r="BF7" i="8"/>
  <c r="BF7" i="5"/>
  <c r="BF33" i="5" s="1"/>
  <c r="BF6" i="9"/>
  <c r="BF8" i="5"/>
  <c r="BF22" i="6"/>
  <c r="BF23" i="6" s="1"/>
  <c r="BF24" i="6" s="1"/>
  <c r="BE13" i="10"/>
  <c r="BE11" i="10"/>
  <c r="BE26" i="9"/>
  <c r="BE15" i="5"/>
  <c r="BE18" i="5" s="1"/>
  <c r="BF25" i="4"/>
  <c r="BG16" i="4"/>
  <c r="BF19" i="4"/>
  <c r="BF7" i="6" s="1"/>
  <c r="BF13" i="6" s="1"/>
  <c r="BF14" i="6" s="1"/>
  <c r="BF18" i="4"/>
  <c r="BF25" i="6" l="1"/>
  <c r="BF17" i="6"/>
  <c r="BE11" i="9"/>
  <c r="BF6" i="10"/>
  <c r="BF9" i="8"/>
  <c r="BF11" i="8" s="1"/>
  <c r="BF16" i="9"/>
  <c r="BF25" i="9"/>
  <c r="BF10" i="10" s="1"/>
  <c r="BF11" i="5"/>
  <c r="BF39" i="5" s="1"/>
  <c r="BF13" i="5"/>
  <c r="BF26" i="6"/>
  <c r="BG6" i="5"/>
  <c r="BG6" i="6"/>
  <c r="BG23" i="4"/>
  <c r="BG17" i="4"/>
  <c r="BG21" i="4"/>
  <c r="BG20" i="4"/>
  <c r="BG6" i="9" s="1"/>
  <c r="BG22" i="4"/>
  <c r="BF27" i="9" l="1"/>
  <c r="BF26" i="9"/>
  <c r="BG7" i="9"/>
  <c r="BG7" i="8"/>
  <c r="BG7" i="7"/>
  <c r="BG9" i="7" s="1"/>
  <c r="BG14" i="7" s="1"/>
  <c r="BG8" i="6"/>
  <c r="BG8" i="5"/>
  <c r="BG22" i="6"/>
  <c r="BG23" i="6" s="1"/>
  <c r="BG24" i="6" s="1"/>
  <c r="BF12" i="5"/>
  <c r="BF14" i="5" s="1"/>
  <c r="BF15" i="5" s="1"/>
  <c r="BF16" i="5"/>
  <c r="BF13" i="10"/>
  <c r="BF11" i="10"/>
  <c r="BG24" i="4"/>
  <c r="BG9" i="6" s="1"/>
  <c r="BG15" i="6" s="1"/>
  <c r="BG16" i="6" s="1"/>
  <c r="BF11" i="9"/>
  <c r="BF27" i="6"/>
  <c r="BG25" i="4"/>
  <c r="BG7" i="5"/>
  <c r="BH16" i="4"/>
  <c r="BG19" i="4"/>
  <c r="BG7" i="6" s="1"/>
  <c r="BG13" i="6" s="1"/>
  <c r="BG14" i="6" s="1"/>
  <c r="BG18" i="4"/>
  <c r="BG17" i="6" l="1"/>
  <c r="BG25" i="6"/>
  <c r="BH6" i="5"/>
  <c r="BH6" i="6"/>
  <c r="BF18" i="5"/>
  <c r="BG26" i="6"/>
  <c r="BG27" i="6" s="1"/>
  <c r="BF8" i="7"/>
  <c r="BF28" i="6"/>
  <c r="BG6" i="10"/>
  <c r="BG9" i="8"/>
  <c r="BG11" i="8" s="1"/>
  <c r="BG16" i="9"/>
  <c r="BG25" i="9"/>
  <c r="BG10" i="10" s="1"/>
  <c r="BG11" i="5"/>
  <c r="BG13" i="5"/>
  <c r="BG33" i="5"/>
  <c r="BH23" i="4"/>
  <c r="BH17" i="4"/>
  <c r="BH21" i="4"/>
  <c r="BH20" i="4"/>
  <c r="BH22" i="4"/>
  <c r="BG26" i="9" l="1"/>
  <c r="BG27" i="9"/>
  <c r="BH7" i="9"/>
  <c r="BH7" i="8"/>
  <c r="BH7" i="5"/>
  <c r="BH11" i="5" s="1"/>
  <c r="BH6" i="9"/>
  <c r="BG13" i="10"/>
  <c r="BG11" i="10"/>
  <c r="BH7" i="7"/>
  <c r="BH9" i="7" s="1"/>
  <c r="BH14" i="7" s="1"/>
  <c r="BH8" i="6"/>
  <c r="BH8" i="5"/>
  <c r="BH22" i="6"/>
  <c r="BH23" i="6" s="1"/>
  <c r="BH24" i="6" s="1"/>
  <c r="BG28" i="6"/>
  <c r="BG8" i="7"/>
  <c r="BH24" i="4"/>
  <c r="BH9" i="6" s="1"/>
  <c r="BH15" i="6" s="1"/>
  <c r="BH16" i="6" s="1"/>
  <c r="BH13" i="5"/>
  <c r="BH33" i="5"/>
  <c r="BG39" i="5"/>
  <c r="BG16" i="5"/>
  <c r="BG12" i="5"/>
  <c r="BG14" i="5" s="1"/>
  <c r="BH25" i="4"/>
  <c r="BI16" i="4"/>
  <c r="BH19" i="4"/>
  <c r="BH7" i="6" s="1"/>
  <c r="BH13" i="6" s="1"/>
  <c r="BH14" i="6" s="1"/>
  <c r="BH18" i="4"/>
  <c r="BI6" i="5" l="1"/>
  <c r="BI6" i="6"/>
  <c r="BH6" i="10"/>
  <c r="BH9" i="8"/>
  <c r="BH11" i="8" s="1"/>
  <c r="BH25" i="6"/>
  <c r="BH26" i="6" s="1"/>
  <c r="BH17" i="6"/>
  <c r="BG11" i="9"/>
  <c r="BH16" i="9"/>
  <c r="BH25" i="9"/>
  <c r="BH10" i="10" s="1"/>
  <c r="BG15" i="5"/>
  <c r="BG18" i="5" s="1"/>
  <c r="BH39" i="5"/>
  <c r="BH12" i="5"/>
  <c r="BH14" i="5" s="1"/>
  <c r="BH16" i="5"/>
  <c r="BI23" i="4"/>
  <c r="BI17" i="4"/>
  <c r="BI20" i="4"/>
  <c r="BI21" i="4"/>
  <c r="BI22" i="4"/>
  <c r="BH27" i="6" l="1"/>
  <c r="BH28" i="6"/>
  <c r="BH8" i="7"/>
  <c r="BI7" i="9"/>
  <c r="BI7" i="8"/>
  <c r="BI7" i="7"/>
  <c r="BI9" i="7" s="1"/>
  <c r="BI14" i="7" s="1"/>
  <c r="BI8" i="6"/>
  <c r="BI7" i="5"/>
  <c r="BI13" i="5" s="1"/>
  <c r="BI6" i="9"/>
  <c r="BI8" i="5"/>
  <c r="BI22" i="6"/>
  <c r="BI23" i="6" s="1"/>
  <c r="BI24" i="6" s="1"/>
  <c r="BH13" i="10"/>
  <c r="BH11" i="10"/>
  <c r="BI24" i="4"/>
  <c r="BI9" i="6" s="1"/>
  <c r="BI15" i="6" s="1"/>
  <c r="BI16" i="6" s="1"/>
  <c r="BH27" i="9"/>
  <c r="BH26" i="9"/>
  <c r="BH15" i="5"/>
  <c r="BH18" i="5"/>
  <c r="BI25" i="4"/>
  <c r="BJ16" i="4"/>
  <c r="BI19" i="4"/>
  <c r="BI7" i="6" s="1"/>
  <c r="BI13" i="6" s="1"/>
  <c r="BI14" i="6" s="1"/>
  <c r="BI18" i="4"/>
  <c r="BI25" i="6" l="1"/>
  <c r="BI26" i="6" s="1"/>
  <c r="BI27" i="6" s="1"/>
  <c r="BI17" i="6"/>
  <c r="BJ6" i="5"/>
  <c r="BJ6" i="6"/>
  <c r="BI11" i="5"/>
  <c r="BI39" i="5" s="1"/>
  <c r="BI33" i="5"/>
  <c r="BH11" i="9"/>
  <c r="BI6" i="10"/>
  <c r="BI9" i="8"/>
  <c r="BI11" i="8" s="1"/>
  <c r="BI16" i="9"/>
  <c r="BI25" i="9"/>
  <c r="BI10" i="10" s="1"/>
  <c r="BI16" i="5"/>
  <c r="BI12" i="5"/>
  <c r="BI14" i="5" s="1"/>
  <c r="BI15" i="5" s="1"/>
  <c r="BI18" i="5" s="1"/>
  <c r="BJ23" i="4"/>
  <c r="BJ17" i="4"/>
  <c r="BJ21" i="4"/>
  <c r="BJ22" i="4"/>
  <c r="BJ20" i="4"/>
  <c r="BI27" i="9" l="1"/>
  <c r="BJ7" i="5"/>
  <c r="BJ6" i="9"/>
  <c r="BJ7" i="9"/>
  <c r="BJ7" i="8"/>
  <c r="BJ7" i="7"/>
  <c r="BJ9" i="7" s="1"/>
  <c r="BJ14" i="7" s="1"/>
  <c r="BJ8" i="6"/>
  <c r="BJ8" i="5"/>
  <c r="BJ22" i="6"/>
  <c r="BJ23" i="6" s="1"/>
  <c r="BJ24" i="6" s="1"/>
  <c r="BI28" i="6"/>
  <c r="BI8" i="7"/>
  <c r="BJ24" i="4"/>
  <c r="BJ9" i="6" s="1"/>
  <c r="BJ15" i="6" s="1"/>
  <c r="BJ16" i="6" s="1"/>
  <c r="BI13" i="10"/>
  <c r="BI11" i="10"/>
  <c r="BI26" i="9"/>
  <c r="BJ13" i="5"/>
  <c r="BJ33" i="5"/>
  <c r="BJ11" i="5"/>
  <c r="BJ25" i="4"/>
  <c r="BK16" i="4"/>
  <c r="BJ18" i="4"/>
  <c r="BJ19" i="4"/>
  <c r="BJ7" i="6" s="1"/>
  <c r="BJ13" i="6" s="1"/>
  <c r="BJ14" i="6" s="1"/>
  <c r="BK6" i="5" l="1"/>
  <c r="BK6" i="6"/>
  <c r="BJ6" i="10"/>
  <c r="BJ9" i="8"/>
  <c r="BJ11" i="8" s="1"/>
  <c r="BJ17" i="6"/>
  <c r="BJ25" i="6"/>
  <c r="BJ26" i="6" s="1"/>
  <c r="BJ27" i="6" s="1"/>
  <c r="BJ16" i="9"/>
  <c r="BJ25" i="9"/>
  <c r="BJ10" i="10" s="1"/>
  <c r="BI11" i="9"/>
  <c r="BJ39" i="5"/>
  <c r="BJ16" i="5"/>
  <c r="BJ12" i="5"/>
  <c r="BJ14" i="5" s="1"/>
  <c r="BK23" i="4"/>
  <c r="BK17" i="4"/>
  <c r="BK21" i="4"/>
  <c r="BK22" i="4"/>
  <c r="BK20" i="4"/>
  <c r="BK6" i="9" s="1"/>
  <c r="BJ27" i="9" l="1"/>
  <c r="BJ26" i="9"/>
  <c r="BJ28" i="6"/>
  <c r="BJ8" i="7"/>
  <c r="BK7" i="9"/>
  <c r="BK7" i="8"/>
  <c r="BJ11" i="10"/>
  <c r="BJ13" i="10"/>
  <c r="BK7" i="7"/>
  <c r="BK9" i="7" s="1"/>
  <c r="BK14" i="7" s="1"/>
  <c r="BK8" i="6"/>
  <c r="BK8" i="5"/>
  <c r="BK22" i="6"/>
  <c r="BK23" i="6" s="1"/>
  <c r="BK24" i="6" s="1"/>
  <c r="BK24" i="4"/>
  <c r="BK9" i="6" s="1"/>
  <c r="BK15" i="6" s="1"/>
  <c r="BK16" i="6" s="1"/>
  <c r="BJ11" i="9"/>
  <c r="BK25" i="4"/>
  <c r="BK7" i="5"/>
  <c r="BJ15" i="5"/>
  <c r="BJ18" i="5"/>
  <c r="BL16" i="4"/>
  <c r="BK18" i="4"/>
  <c r="BK19" i="4"/>
  <c r="BK7" i="6" s="1"/>
  <c r="BK13" i="6" s="1"/>
  <c r="BK14" i="6" s="1"/>
  <c r="BK17" i="6" l="1"/>
  <c r="BK25" i="6"/>
  <c r="BK26" i="6" s="1"/>
  <c r="BL6" i="5"/>
  <c r="BL6" i="6"/>
  <c r="BK6" i="10"/>
  <c r="BK9" i="8"/>
  <c r="BK11" i="8" s="1"/>
  <c r="BK16" i="9"/>
  <c r="BK25" i="9"/>
  <c r="BK10" i="10" s="1"/>
  <c r="BK13" i="5"/>
  <c r="BK33" i="5"/>
  <c r="BK11" i="5"/>
  <c r="BL23" i="4"/>
  <c r="BL17" i="4"/>
  <c r="BL21" i="4"/>
  <c r="BL20" i="4"/>
  <c r="BL22" i="4"/>
  <c r="BK27" i="6" l="1"/>
  <c r="BK26" i="9"/>
  <c r="BK27" i="9"/>
  <c r="BK8" i="7"/>
  <c r="BK28" i="6"/>
  <c r="BL7" i="9"/>
  <c r="BL7" i="8"/>
  <c r="BL7" i="5"/>
  <c r="BL13" i="5" s="1"/>
  <c r="BL6" i="9"/>
  <c r="BK11" i="10"/>
  <c r="BK13" i="10"/>
  <c r="BL7" i="7"/>
  <c r="BL9" i="7" s="1"/>
  <c r="BL14" i="7" s="1"/>
  <c r="BL8" i="6"/>
  <c r="BL24" i="4"/>
  <c r="BL9" i="6" s="1"/>
  <c r="BL15" i="6" s="1"/>
  <c r="BL16" i="6" s="1"/>
  <c r="BL8" i="5"/>
  <c r="BL22" i="6"/>
  <c r="BL23" i="6" s="1"/>
  <c r="BK39" i="5"/>
  <c r="BK12" i="5"/>
  <c r="BK14" i="5" s="1"/>
  <c r="BK16" i="5"/>
  <c r="BL25" i="4"/>
  <c r="BM16" i="4"/>
  <c r="BL18" i="4"/>
  <c r="BL19" i="4"/>
  <c r="BL7" i="6" s="1"/>
  <c r="BL13" i="6" s="1"/>
  <c r="BL14" i="6" s="1"/>
  <c r="BM6" i="5" l="1"/>
  <c r="BM6" i="6"/>
  <c r="BL25" i="6"/>
  <c r="BL17" i="6"/>
  <c r="BK11" i="9"/>
  <c r="BL11" i="5"/>
  <c r="BL39" i="5" s="1"/>
  <c r="BL6" i="10"/>
  <c r="BL9" i="8"/>
  <c r="BL11" i="8" s="1"/>
  <c r="BL33" i="5"/>
  <c r="BL16" i="9"/>
  <c r="BL25" i="9"/>
  <c r="BL10" i="10" s="1"/>
  <c r="BL24" i="6"/>
  <c r="BK15" i="5"/>
  <c r="BK18" i="5"/>
  <c r="BM23" i="4"/>
  <c r="BM17" i="4"/>
  <c r="BM21" i="4"/>
  <c r="BM20" i="4"/>
  <c r="BM22" i="4"/>
  <c r="BL27" i="9" l="1"/>
  <c r="BL26" i="6"/>
  <c r="BL27" i="6" s="1"/>
  <c r="BL26" i="9"/>
  <c r="BM7" i="7"/>
  <c r="BM9" i="7" s="1"/>
  <c r="BM14" i="7" s="1"/>
  <c r="BM8" i="6"/>
  <c r="BM8" i="5"/>
  <c r="BM22" i="6"/>
  <c r="BM23" i="6" s="1"/>
  <c r="BM24" i="6" s="1"/>
  <c r="BL16" i="5"/>
  <c r="BL12" i="5"/>
  <c r="BL14" i="5" s="1"/>
  <c r="BL15" i="5" s="1"/>
  <c r="BL18" i="5" s="1"/>
  <c r="BL11" i="10"/>
  <c r="BL13" i="10"/>
  <c r="BM7" i="9"/>
  <c r="BM7" i="8"/>
  <c r="BM24" i="4"/>
  <c r="BM9" i="6" s="1"/>
  <c r="BM15" i="6" s="1"/>
  <c r="BM16" i="6" s="1"/>
  <c r="BM7" i="5"/>
  <c r="BM11" i="5" s="1"/>
  <c r="BM6" i="9"/>
  <c r="BM25" i="4"/>
  <c r="BN16" i="4"/>
  <c r="BM18" i="4"/>
  <c r="BM19" i="4"/>
  <c r="BM7" i="6" s="1"/>
  <c r="BM13" i="6" s="1"/>
  <c r="BM14" i="6" s="1"/>
  <c r="BM25" i="6" l="1"/>
  <c r="BM17" i="6"/>
  <c r="BM16" i="9"/>
  <c r="BM25" i="9"/>
  <c r="BM10" i="10" s="1"/>
  <c r="BM26" i="9"/>
  <c r="BM27" i="9"/>
  <c r="BM33" i="5"/>
  <c r="BM13" i="5"/>
  <c r="BL28" i="6"/>
  <c r="BL8" i="7"/>
  <c r="BM6" i="10"/>
  <c r="BM9" i="8"/>
  <c r="BM11" i="8" s="1"/>
  <c r="BN6" i="5"/>
  <c r="BN6" i="6"/>
  <c r="BN24" i="4"/>
  <c r="BN9" i="6" s="1"/>
  <c r="BN15" i="6" s="1"/>
  <c r="BN16" i="6" s="1"/>
  <c r="BM26" i="6"/>
  <c r="BM27" i="6" s="1"/>
  <c r="BL11" i="9"/>
  <c r="BM39" i="5"/>
  <c r="BM12" i="5"/>
  <c r="BM14" i="5" s="1"/>
  <c r="BM16" i="5"/>
  <c r="BN23" i="4"/>
  <c r="BN17" i="4"/>
  <c r="BN22" i="4"/>
  <c r="BN20" i="4"/>
  <c r="BN21" i="4"/>
  <c r="BN8" i="5" l="1"/>
  <c r="BN22" i="6"/>
  <c r="BN23" i="6" s="1"/>
  <c r="BN7" i="9"/>
  <c r="BN7" i="8"/>
  <c r="BM13" i="10"/>
  <c r="BM11" i="10"/>
  <c r="BM28" i="6"/>
  <c r="BM8" i="7"/>
  <c r="BN7" i="7"/>
  <c r="BN9" i="7" s="1"/>
  <c r="BN14" i="7" s="1"/>
  <c r="BN8" i="6"/>
  <c r="BN7" i="5"/>
  <c r="BN33" i="5" s="1"/>
  <c r="BN6" i="9"/>
  <c r="BM15" i="5"/>
  <c r="BM18" i="5"/>
  <c r="BN25" i="4"/>
  <c r="BO16" i="4"/>
  <c r="BN18" i="4"/>
  <c r="BN19" i="4"/>
  <c r="BN7" i="6" s="1"/>
  <c r="BN13" i="6" s="1"/>
  <c r="BN14" i="6" s="1"/>
  <c r="BN25" i="6" l="1"/>
  <c r="BN17" i="6"/>
  <c r="BM11" i="9"/>
  <c r="BO6" i="5"/>
  <c r="BO6" i="6"/>
  <c r="BN11" i="5"/>
  <c r="BN16" i="5" s="1"/>
  <c r="BN24" i="6"/>
  <c r="BN26" i="6" s="1"/>
  <c r="BN27" i="6" s="1"/>
  <c r="BN6" i="10"/>
  <c r="BN9" i="8"/>
  <c r="BN11" i="8" s="1"/>
  <c r="BN13" i="5"/>
  <c r="BN16" i="9"/>
  <c r="BN25" i="9"/>
  <c r="BN10" i="10" s="1"/>
  <c r="BO23" i="4"/>
  <c r="BO17" i="4"/>
  <c r="BO22" i="4"/>
  <c r="BO20" i="4"/>
  <c r="BO21" i="4"/>
  <c r="BO24" i="4" s="1"/>
  <c r="BO9" i="6" s="1"/>
  <c r="BO15" i="6" s="1"/>
  <c r="BO16" i="6" s="1"/>
  <c r="BN26" i="9" l="1"/>
  <c r="BO7" i="5"/>
  <c r="BO6" i="9"/>
  <c r="BO7" i="9"/>
  <c r="BO7" i="8"/>
  <c r="BN28" i="6"/>
  <c r="BN8" i="7"/>
  <c r="BN12" i="5"/>
  <c r="BN14" i="5" s="1"/>
  <c r="BN15" i="5" s="1"/>
  <c r="BN18" i="5" s="1"/>
  <c r="BN39" i="5"/>
  <c r="BO7" i="7"/>
  <c r="BO9" i="7" s="1"/>
  <c r="BO14" i="7" s="1"/>
  <c r="BO8" i="6"/>
  <c r="BN13" i="10"/>
  <c r="BN11" i="10"/>
  <c r="BO8" i="5"/>
  <c r="BO22" i="6"/>
  <c r="BO23" i="6" s="1"/>
  <c r="BN27" i="9"/>
  <c r="BO13" i="5"/>
  <c r="BO11" i="5"/>
  <c r="BO33" i="5"/>
  <c r="BO25" i="4"/>
  <c r="BP16" i="4"/>
  <c r="BO18" i="4"/>
  <c r="BO19" i="4"/>
  <c r="BO7" i="6" s="1"/>
  <c r="BO13" i="6" s="1"/>
  <c r="BO14" i="6" s="1"/>
  <c r="BP6" i="5" l="1"/>
  <c r="BP6" i="6"/>
  <c r="BO6" i="10"/>
  <c r="BO9" i="8"/>
  <c r="BO11" i="8" s="1"/>
  <c r="BO17" i="6"/>
  <c r="BO25" i="6"/>
  <c r="BO16" i="9"/>
  <c r="BO25" i="9"/>
  <c r="BO10" i="10" s="1"/>
  <c r="BO24" i="6"/>
  <c r="BO26" i="6" s="1"/>
  <c r="BO27" i="6" s="1"/>
  <c r="BN11" i="9"/>
  <c r="BO39" i="5"/>
  <c r="BO12" i="5"/>
  <c r="BO14" i="5" s="1"/>
  <c r="BO15" i="5" s="1"/>
  <c r="BO16" i="5"/>
  <c r="BP23" i="4"/>
  <c r="BP17" i="4"/>
  <c r="BP22" i="4"/>
  <c r="BP20" i="4"/>
  <c r="BP21" i="4"/>
  <c r="BO26" i="9" l="1"/>
  <c r="BO27" i="9"/>
  <c r="BO8" i="7"/>
  <c r="BO28" i="6"/>
  <c r="BP7" i="7"/>
  <c r="BP9" i="7" s="1"/>
  <c r="BP8" i="6"/>
  <c r="BP7" i="5"/>
  <c r="BP11" i="5" s="1"/>
  <c r="BP6" i="9"/>
  <c r="BP7" i="9"/>
  <c r="BP7" i="8"/>
  <c r="BP8" i="5"/>
  <c r="BP22" i="6"/>
  <c r="BP23" i="6" s="1"/>
  <c r="BP24" i="6" s="1"/>
  <c r="BO11" i="10"/>
  <c r="BO13" i="10"/>
  <c r="BP24" i="4"/>
  <c r="BP9" i="6" s="1"/>
  <c r="BP15" i="6" s="1"/>
  <c r="BP16" i="6" s="1"/>
  <c r="BO18" i="5"/>
  <c r="BP25" i="4"/>
  <c r="BQ16" i="4"/>
  <c r="BP18" i="4"/>
  <c r="BP19" i="4"/>
  <c r="BP7" i="6" s="1"/>
  <c r="BP13" i="6" s="1"/>
  <c r="BP14" i="6" s="1"/>
  <c r="BP25" i="6" l="1"/>
  <c r="BP26" i="6" s="1"/>
  <c r="BP17" i="6"/>
  <c r="BP6" i="10"/>
  <c r="BP9" i="8"/>
  <c r="BP11" i="8" s="1"/>
  <c r="BP16" i="9"/>
  <c r="BP25" i="9"/>
  <c r="BP10" i="10" s="1"/>
  <c r="BP27" i="9"/>
  <c r="BO11" i="9"/>
  <c r="BP13" i="5"/>
  <c r="BQ6" i="5"/>
  <c r="BQ6" i="6"/>
  <c r="BP33" i="5"/>
  <c r="BP39" i="5"/>
  <c r="BP16" i="5"/>
  <c r="BP12" i="5"/>
  <c r="BQ23" i="4"/>
  <c r="BQ17" i="4"/>
  <c r="BQ20" i="4"/>
  <c r="BQ22" i="4"/>
  <c r="BQ21" i="4"/>
  <c r="BP26" i="9" l="1"/>
  <c r="BP27" i="6"/>
  <c r="BP28" i="6"/>
  <c r="BP8" i="7"/>
  <c r="BQ7" i="7"/>
  <c r="BQ9" i="7" s="1"/>
  <c r="BQ8" i="6"/>
  <c r="BQ7" i="9"/>
  <c r="BQ7" i="8"/>
  <c r="BQ7" i="5"/>
  <c r="BQ33" i="5" s="1"/>
  <c r="BQ6" i="9"/>
  <c r="BQ8" i="5"/>
  <c r="BQ22" i="6"/>
  <c r="BQ23" i="6" s="1"/>
  <c r="BQ24" i="6" s="1"/>
  <c r="BP14" i="5"/>
  <c r="BP11" i="10"/>
  <c r="BP13" i="10"/>
  <c r="BQ24" i="4"/>
  <c r="BQ9" i="6" s="1"/>
  <c r="BQ15" i="6" s="1"/>
  <c r="BQ16" i="6" s="1"/>
  <c r="BQ25" i="4"/>
  <c r="BR16" i="4"/>
  <c r="BQ19" i="4"/>
  <c r="BQ7" i="6" s="1"/>
  <c r="BQ13" i="6" s="1"/>
  <c r="BQ14" i="6" s="1"/>
  <c r="BQ18" i="4"/>
  <c r="BQ17" i="6" l="1"/>
  <c r="BQ25" i="6"/>
  <c r="BQ26" i="6"/>
  <c r="BQ27" i="6" s="1"/>
  <c r="BP11" i="9"/>
  <c r="BP15" i="5"/>
  <c r="BP18" i="5" s="1"/>
  <c r="BQ13" i="5"/>
  <c r="BQ11" i="5"/>
  <c r="BQ16" i="5" s="1"/>
  <c r="BR6" i="5"/>
  <c r="BR6" i="6"/>
  <c r="BR24" i="4"/>
  <c r="BR9" i="6" s="1"/>
  <c r="BR15" i="6" s="1"/>
  <c r="BR16" i="6" s="1"/>
  <c r="BQ6" i="10"/>
  <c r="BQ9" i="8"/>
  <c r="BQ11" i="8" s="1"/>
  <c r="BQ16" i="9"/>
  <c r="BQ25" i="9"/>
  <c r="BQ10" i="10" s="1"/>
  <c r="BR23" i="4"/>
  <c r="BR17" i="4"/>
  <c r="BR20" i="4"/>
  <c r="BR22" i="4"/>
  <c r="BR21" i="4"/>
  <c r="BQ26" i="9" l="1"/>
  <c r="BQ27" i="9"/>
  <c r="BR7" i="5"/>
  <c r="BR6" i="9"/>
  <c r="BQ39" i="5"/>
  <c r="BR8" i="5"/>
  <c r="BR22" i="6"/>
  <c r="BR23" i="6" s="1"/>
  <c r="BQ12" i="5"/>
  <c r="BQ14" i="5" s="1"/>
  <c r="BQ15" i="5" s="1"/>
  <c r="BQ18" i="5" s="1"/>
  <c r="BQ8" i="7"/>
  <c r="BQ28" i="6"/>
  <c r="BR7" i="7"/>
  <c r="BR9" i="7" s="1"/>
  <c r="BR8" i="6"/>
  <c r="BR7" i="9"/>
  <c r="BR7" i="8"/>
  <c r="BQ11" i="10"/>
  <c r="BQ13" i="10"/>
  <c r="BR13" i="5"/>
  <c r="BR33" i="5"/>
  <c r="BR11" i="5"/>
  <c r="BR25" i="4"/>
  <c r="BS16" i="4"/>
  <c r="BR19" i="4"/>
  <c r="BR7" i="6" s="1"/>
  <c r="BR13" i="6" s="1"/>
  <c r="BR14" i="6" s="1"/>
  <c r="BR18" i="4"/>
  <c r="BR6" i="10" l="1"/>
  <c r="BR9" i="8"/>
  <c r="BR11" i="8" s="1"/>
  <c r="BR16" i="9"/>
  <c r="BR25" i="9"/>
  <c r="BR10" i="10" s="1"/>
  <c r="BS6" i="5"/>
  <c r="BS6" i="6"/>
  <c r="BR25" i="6"/>
  <c r="BR17" i="6"/>
  <c r="BR24" i="6"/>
  <c r="BQ11" i="9"/>
  <c r="BR39" i="5"/>
  <c r="BR12" i="5"/>
  <c r="BR14" i="5" s="1"/>
  <c r="BR16" i="5"/>
  <c r="BS23" i="4"/>
  <c r="BS17" i="4"/>
  <c r="BS20" i="4"/>
  <c r="BS21" i="4"/>
  <c r="BS22" i="4"/>
  <c r="BR26" i="9" l="1"/>
  <c r="BR27" i="9"/>
  <c r="BR26" i="6"/>
  <c r="BR27" i="6" s="1"/>
  <c r="BR8" i="7" s="1"/>
  <c r="BS7" i="9"/>
  <c r="BS7" i="8"/>
  <c r="BS7" i="7"/>
  <c r="BS9" i="7" s="1"/>
  <c r="BS8" i="6"/>
  <c r="BS24" i="4"/>
  <c r="BS9" i="6" s="1"/>
  <c r="BS15" i="6" s="1"/>
  <c r="BS16" i="6" s="1"/>
  <c r="BS8" i="5"/>
  <c r="BS22" i="6"/>
  <c r="BS23" i="6" s="1"/>
  <c r="BS24" i="6" s="1"/>
  <c r="BS7" i="5"/>
  <c r="BS33" i="5" s="1"/>
  <c r="BS6" i="9"/>
  <c r="BR13" i="10"/>
  <c r="BR11" i="10"/>
  <c r="BR15" i="5"/>
  <c r="BR18" i="5" s="1"/>
  <c r="BS25" i="4"/>
  <c r="BT16" i="4"/>
  <c r="BS19" i="4"/>
  <c r="BS7" i="6" s="1"/>
  <c r="BS13" i="6" s="1"/>
  <c r="BS14" i="6" s="1"/>
  <c r="BS18" i="4"/>
  <c r="BR28" i="6" l="1"/>
  <c r="BS25" i="6"/>
  <c r="BS26" i="6" s="1"/>
  <c r="BS17" i="6"/>
  <c r="BT6" i="5"/>
  <c r="BT6" i="6"/>
  <c r="BR11" i="9"/>
  <c r="BS13" i="5"/>
  <c r="BS6" i="10"/>
  <c r="BS9" i="8"/>
  <c r="BS11" i="8" s="1"/>
  <c r="BS11" i="5"/>
  <c r="BS39" i="5" s="1"/>
  <c r="BS16" i="9"/>
  <c r="BS25" i="9"/>
  <c r="BS10" i="10" s="1"/>
  <c r="BT23" i="4"/>
  <c r="BT17" i="4"/>
  <c r="BT21" i="4"/>
  <c r="BT22" i="4"/>
  <c r="BT20" i="4"/>
  <c r="BT6" i="9" s="1"/>
  <c r="BS11" i="9" s="1"/>
  <c r="BS27" i="9" l="1"/>
  <c r="BS26" i="9"/>
  <c r="BS27" i="6"/>
  <c r="BS28" i="6" s="1"/>
  <c r="BS8" i="7"/>
  <c r="BS11" i="10"/>
  <c r="BS13" i="10"/>
  <c r="BT7" i="9"/>
  <c r="BT7" i="8"/>
  <c r="BT7" i="7"/>
  <c r="BT9" i="7" s="1"/>
  <c r="BT8" i="6"/>
  <c r="BT8" i="5"/>
  <c r="BT22" i="6"/>
  <c r="BT23" i="6" s="1"/>
  <c r="BT24" i="6" s="1"/>
  <c r="BS12" i="5"/>
  <c r="BS14" i="5" s="1"/>
  <c r="BS15" i="5" s="1"/>
  <c r="BS18" i="5" s="1"/>
  <c r="BS16" i="5"/>
  <c r="BT24" i="4"/>
  <c r="BT9" i="6" s="1"/>
  <c r="BT15" i="6" s="1"/>
  <c r="BT16" i="6" s="1"/>
  <c r="BT25" i="4"/>
  <c r="BT7" i="5"/>
  <c r="BU16" i="4"/>
  <c r="BT19" i="4"/>
  <c r="BT7" i="6" s="1"/>
  <c r="BT18" i="4"/>
  <c r="BT6" i="10" l="1"/>
  <c r="BT9" i="8"/>
  <c r="BT11" i="8" s="1"/>
  <c r="BT16" i="9"/>
  <c r="BT25" i="9"/>
  <c r="BT10" i="10" s="1"/>
  <c r="BT27" i="9"/>
  <c r="BT13" i="6"/>
  <c r="BT14" i="6" s="1"/>
  <c r="BU6" i="5"/>
  <c r="BU6" i="6"/>
  <c r="BU24" i="4"/>
  <c r="BU9" i="6" s="1"/>
  <c r="BU15" i="6" s="1"/>
  <c r="BU16" i="6" s="1"/>
  <c r="BT11" i="5"/>
  <c r="BT33" i="5"/>
  <c r="BT13" i="5"/>
  <c r="BU23" i="4"/>
  <c r="BU17" i="4"/>
  <c r="BU20" i="4"/>
  <c r="BU6" i="9" s="1"/>
  <c r="BU21" i="4"/>
  <c r="BU22" i="4"/>
  <c r="BT26" i="9" l="1"/>
  <c r="BT25" i="6"/>
  <c r="BT26" i="6" s="1"/>
  <c r="BT17" i="6"/>
  <c r="BU7" i="9"/>
  <c r="BU7" i="8"/>
  <c r="BU7" i="7"/>
  <c r="BU9" i="7" s="1"/>
  <c r="BU8" i="6"/>
  <c r="BU11" i="9"/>
  <c r="BU15" i="9" s="1"/>
  <c r="BU43" i="5" s="1"/>
  <c r="BT11" i="9"/>
  <c r="BU8" i="5"/>
  <c r="BU22" i="6"/>
  <c r="BU23" i="6" s="1"/>
  <c r="BU24" i="6" s="1"/>
  <c r="BT13" i="10"/>
  <c r="BT11" i="10"/>
  <c r="C20" i="4"/>
  <c r="C6" i="9" s="1"/>
  <c r="BU7" i="5"/>
  <c r="BT39" i="5"/>
  <c r="BT12" i="5"/>
  <c r="BT14" i="5" s="1"/>
  <c r="BT16" i="5"/>
  <c r="C30" i="4"/>
  <c r="C21" i="4"/>
  <c r="C31" i="4"/>
  <c r="C22" i="4"/>
  <c r="BU25" i="4"/>
  <c r="C32" i="4" s="1"/>
  <c r="C29" i="4"/>
  <c r="BU19" i="4"/>
  <c r="BU7" i="6" s="1"/>
  <c r="BU13" i="6" s="1"/>
  <c r="BU18" i="4"/>
  <c r="C7" i="9" l="1"/>
  <c r="C7" i="8"/>
  <c r="C6" i="10" s="1"/>
  <c r="BU14" i="6"/>
  <c r="C13" i="6"/>
  <c r="C19" i="6" s="1"/>
  <c r="C16" i="13" s="1"/>
  <c r="C24" i="6"/>
  <c r="C7" i="7"/>
  <c r="C8" i="6"/>
  <c r="BU6" i="10"/>
  <c r="BU9" i="8"/>
  <c r="BU11" i="8" s="1"/>
  <c r="BU16" i="9"/>
  <c r="BU25" i="9"/>
  <c r="BU10" i="10" s="1"/>
  <c r="BT27" i="6"/>
  <c r="BT15" i="5"/>
  <c r="BT18" i="5"/>
  <c r="BU13" i="5"/>
  <c r="BU33" i="5"/>
  <c r="BU11" i="5"/>
  <c r="BU11" i="10" l="1"/>
  <c r="BU13" i="10"/>
  <c r="BT8" i="7"/>
  <c r="BT28" i="6"/>
  <c r="BU17" i="6"/>
  <c r="BU25" i="6"/>
  <c r="C14" i="6"/>
  <c r="BU27" i="9"/>
  <c r="BU26" i="9"/>
  <c r="BU39" i="5"/>
  <c r="BU16" i="5"/>
  <c r="C16" i="5" s="1"/>
  <c r="C48" i="5" s="1"/>
  <c r="BU12" i="5"/>
  <c r="C25" i="6" l="1"/>
  <c r="BU26" i="6"/>
  <c r="C17" i="6"/>
  <c r="C20" i="6"/>
  <c r="C17" i="13" s="1"/>
  <c r="BU14" i="5"/>
  <c r="C12" i="5"/>
  <c r="C20" i="5"/>
  <c r="BU27" i="6" l="1"/>
  <c r="C30" i="6"/>
  <c r="C18" i="13" s="1"/>
  <c r="C26" i="6"/>
  <c r="BU15" i="5"/>
  <c r="C14" i="5"/>
  <c r="C46" i="5" s="1"/>
  <c r="C21" i="5"/>
  <c r="BU8" i="7" l="1"/>
  <c r="BU28" i="6"/>
  <c r="C28" i="6" s="1"/>
  <c r="C27" i="6"/>
  <c r="C8" i="7" s="1"/>
  <c r="BU18" i="5"/>
  <c r="C15" i="5"/>
  <c r="C47" i="5" s="1"/>
  <c r="C10" i="7" s="1"/>
  <c r="C11" i="7" l="1"/>
  <c r="C12" i="7" s="1"/>
  <c r="C18" i="5"/>
  <c r="BQ14" i="7" l="1"/>
  <c r="T14" i="7"/>
  <c r="X14" i="7"/>
  <c r="F14" i="7"/>
  <c r="D14" i="7"/>
  <c r="G14" i="7"/>
  <c r="G15" i="7" s="1"/>
  <c r="U14" i="7"/>
  <c r="U15" i="7" s="1"/>
  <c r="E14" i="7"/>
  <c r="Y14" i="7"/>
  <c r="Y15" i="7" s="1"/>
  <c r="L14" i="7"/>
  <c r="L15" i="7" s="1"/>
  <c r="V14" i="7"/>
  <c r="V15" i="7" s="1"/>
  <c r="W14" i="7"/>
  <c r="N14" i="7"/>
  <c r="BS14" i="7"/>
  <c r="Z14" i="7"/>
  <c r="R14" i="7"/>
  <c r="H14" i="7"/>
  <c r="BR14" i="7"/>
  <c r="AA14" i="7"/>
  <c r="O14" i="7"/>
  <c r="O15" i="7" s="1"/>
  <c r="J14" i="7"/>
  <c r="K14" i="7"/>
  <c r="K15" i="7" s="1"/>
  <c r="BU14" i="7"/>
  <c r="BU15" i="7" s="1"/>
  <c r="BT14" i="7"/>
  <c r="BT15" i="7" s="1"/>
  <c r="I14" i="7"/>
  <c r="M14" i="7"/>
  <c r="Q14" i="7"/>
  <c r="S14" i="7"/>
  <c r="S15" i="7" s="1"/>
  <c r="BP14" i="7"/>
  <c r="P14" i="7"/>
  <c r="AC13" i="7"/>
  <c r="AC15" i="7" s="1"/>
  <c r="AQ13" i="7"/>
  <c r="AQ15" i="7" s="1"/>
  <c r="AW13" i="7"/>
  <c r="AW15" i="7" s="1"/>
  <c r="BF13" i="7"/>
  <c r="BF15" i="7" s="1"/>
  <c r="BH13" i="7"/>
  <c r="BH15" i="7" s="1"/>
  <c r="R13" i="7"/>
  <c r="AB13" i="7"/>
  <c r="AB15" i="7" s="1"/>
  <c r="V13" i="7"/>
  <c r="BI13" i="7"/>
  <c r="BI15" i="7" s="1"/>
  <c r="X13" i="7"/>
  <c r="AP13" i="7"/>
  <c r="AP15" i="7" s="1"/>
  <c r="BG13" i="7"/>
  <c r="BG15" i="7" s="1"/>
  <c r="AT13" i="7"/>
  <c r="AT15" i="7" s="1"/>
  <c r="AJ13" i="7"/>
  <c r="AJ15" i="7" s="1"/>
  <c r="AY13" i="7"/>
  <c r="AY15" i="7" s="1"/>
  <c r="BS13" i="7"/>
  <c r="AL13" i="7"/>
  <c r="AL15" i="7" s="1"/>
  <c r="AF13" i="7"/>
  <c r="AF15" i="7" s="1"/>
  <c r="AI13" i="7"/>
  <c r="AI15" i="7" s="1"/>
  <c r="S13" i="7"/>
  <c r="AO13" i="7"/>
  <c r="AO15" i="7" s="1"/>
  <c r="BL13" i="7"/>
  <c r="BL15" i="7" s="1"/>
  <c r="AH13" i="7"/>
  <c r="AH15" i="7" s="1"/>
  <c r="L13" i="7"/>
  <c r="Z13" i="7"/>
  <c r="I13" i="7"/>
  <c r="Q13" i="7"/>
  <c r="P13" i="7"/>
  <c r="J13" i="7"/>
  <c r="W13" i="7"/>
  <c r="AK13" i="7"/>
  <c r="AK15" i="7" s="1"/>
  <c r="N13" i="7"/>
  <c r="Y13" i="7"/>
  <c r="H13" i="7"/>
  <c r="BC13" i="7"/>
  <c r="BC15" i="7" s="1"/>
  <c r="AM13" i="7"/>
  <c r="AM15" i="7" s="1"/>
  <c r="AN13" i="7"/>
  <c r="AN15" i="7" s="1"/>
  <c r="BR13" i="7"/>
  <c r="AU13" i="7"/>
  <c r="AU15" i="7" s="1"/>
  <c r="F13" i="7"/>
  <c r="BT13" i="7"/>
  <c r="AS13" i="7"/>
  <c r="AS15" i="7" s="1"/>
  <c r="AG13" i="7"/>
  <c r="AG15" i="7" s="1"/>
  <c r="T13" i="7"/>
  <c r="BO13" i="7"/>
  <c r="BO15" i="7" s="1"/>
  <c r="BN13" i="7"/>
  <c r="BN15" i="7" s="1"/>
  <c r="BB13" i="7"/>
  <c r="BB15" i="7" s="1"/>
  <c r="D13" i="7"/>
  <c r="BK13" i="7"/>
  <c r="BK15" i="7" s="1"/>
  <c r="BQ13" i="7"/>
  <c r="K13" i="7"/>
  <c r="BD13" i="7"/>
  <c r="BD15" i="7" s="1"/>
  <c r="E13" i="7"/>
  <c r="M13" i="7"/>
  <c r="G13" i="7"/>
  <c r="AE13" i="7"/>
  <c r="AE15" i="7" s="1"/>
  <c r="BJ13" i="7"/>
  <c r="BJ15" i="7" s="1"/>
  <c r="O13" i="7"/>
  <c r="BE13" i="7"/>
  <c r="BE15" i="7" s="1"/>
  <c r="BP13" i="7"/>
  <c r="AZ13" i="7"/>
  <c r="AZ15" i="7" s="1"/>
  <c r="AX13" i="7"/>
  <c r="AX15" i="7" s="1"/>
  <c r="AV13" i="7"/>
  <c r="AV15" i="7" s="1"/>
  <c r="BM13" i="7"/>
  <c r="BM15" i="7" s="1"/>
  <c r="BA13" i="7"/>
  <c r="BA15" i="7" s="1"/>
  <c r="AA13" i="7"/>
  <c r="AR13" i="7"/>
  <c r="AR15" i="7" s="1"/>
  <c r="U13" i="7"/>
  <c r="AD13" i="7"/>
  <c r="AD15" i="7" s="1"/>
  <c r="BU13" i="7"/>
  <c r="D39" i="5"/>
  <c r="C26" i="5"/>
  <c r="D33" i="5"/>
  <c r="J15" i="7" l="1"/>
  <c r="BR15" i="7"/>
  <c r="AA15" i="7"/>
  <c r="BP15" i="7"/>
  <c r="H15" i="7"/>
  <c r="D15" i="7"/>
  <c r="C14" i="7"/>
  <c r="C13" i="7"/>
  <c r="P15" i="7"/>
  <c r="R15" i="7"/>
  <c r="F15" i="7"/>
  <c r="Q15" i="7"/>
  <c r="Z15" i="7"/>
  <c r="X15" i="7"/>
  <c r="W15" i="7"/>
  <c r="E15" i="7"/>
  <c r="M15" i="7"/>
  <c r="BS15" i="7"/>
  <c r="T15" i="7"/>
  <c r="I15" i="7"/>
  <c r="N15" i="7"/>
  <c r="BQ15" i="7"/>
  <c r="D27" i="5"/>
  <c r="E27" i="5"/>
  <c r="F27" i="5"/>
  <c r="G27" i="5"/>
  <c r="H27" i="5"/>
  <c r="I27" i="5"/>
  <c r="J27" i="5"/>
  <c r="L27" i="5"/>
  <c r="K27" i="5"/>
  <c r="M27" i="5"/>
  <c r="N27" i="5"/>
  <c r="O27" i="5"/>
  <c r="P27" i="5"/>
  <c r="Q27" i="5"/>
  <c r="R27" i="5"/>
  <c r="S27" i="5"/>
  <c r="T27" i="5"/>
  <c r="U27" i="5"/>
  <c r="V27" i="5"/>
  <c r="W27" i="5"/>
  <c r="X27" i="5"/>
  <c r="Y27" i="5"/>
  <c r="Z27" i="5"/>
  <c r="AA27" i="5"/>
  <c r="AB27" i="5"/>
  <c r="AC27" i="5"/>
  <c r="AD27" i="5"/>
  <c r="AE27" i="5"/>
  <c r="AF27" i="5"/>
  <c r="AG27" i="5"/>
  <c r="AH27" i="5"/>
  <c r="AI27" i="5"/>
  <c r="AJ27" i="5"/>
  <c r="AK27" i="5"/>
  <c r="AL27" i="5"/>
  <c r="AM27" i="5"/>
  <c r="AN27" i="5"/>
  <c r="AO27" i="5"/>
  <c r="AP27" i="5"/>
  <c r="AQ27" i="5"/>
  <c r="AR27" i="5"/>
  <c r="AS27" i="5"/>
  <c r="AT27" i="5"/>
  <c r="AU27" i="5"/>
  <c r="AV27" i="5"/>
  <c r="AW27" i="5"/>
  <c r="AX27" i="5"/>
  <c r="AY27" i="5"/>
  <c r="AZ27" i="5"/>
  <c r="BA27" i="5"/>
  <c r="BB27" i="5"/>
  <c r="BC27" i="5"/>
  <c r="BD27" i="5"/>
  <c r="BE27" i="5"/>
  <c r="BF27" i="5"/>
  <c r="BG27" i="5"/>
  <c r="BH27" i="5"/>
  <c r="BI27" i="5"/>
  <c r="BJ27" i="5"/>
  <c r="BK27" i="5"/>
  <c r="BL27" i="5"/>
  <c r="BM27" i="5"/>
  <c r="BN27" i="5"/>
  <c r="BO27" i="5"/>
  <c r="BP27" i="5"/>
  <c r="BQ27" i="5"/>
  <c r="BR27" i="5"/>
  <c r="BS27" i="5"/>
  <c r="BT27" i="5"/>
  <c r="BU27" i="5"/>
  <c r="C39" i="5"/>
  <c r="C49" i="5" s="1"/>
  <c r="C15" i="7" l="1"/>
  <c r="C17" i="7" s="1"/>
  <c r="BK31" i="5"/>
  <c r="BK28" i="5"/>
  <c r="O31" i="5"/>
  <c r="O28" i="5"/>
  <c r="AX31" i="5"/>
  <c r="AX28" i="5"/>
  <c r="M31" i="5"/>
  <c r="M28" i="5"/>
  <c r="AM31" i="5"/>
  <c r="AM28" i="5"/>
  <c r="BJ31" i="5"/>
  <c r="BJ28" i="5"/>
  <c r="Z31" i="5"/>
  <c r="Z28" i="5"/>
  <c r="BI31" i="5"/>
  <c r="BI28" i="5"/>
  <c r="AK31" i="5"/>
  <c r="AK28" i="5"/>
  <c r="BT31" i="5"/>
  <c r="BT28" i="5"/>
  <c r="AV31" i="5"/>
  <c r="AV28" i="5"/>
  <c r="X31" i="5"/>
  <c r="X28" i="5"/>
  <c r="AU31" i="5"/>
  <c r="AU28" i="5"/>
  <c r="W31" i="5"/>
  <c r="W28" i="5"/>
  <c r="AH31" i="5"/>
  <c r="AH28" i="5"/>
  <c r="AS31" i="5"/>
  <c r="AS28" i="5"/>
  <c r="AY31" i="5"/>
  <c r="AY28" i="5"/>
  <c r="AA31" i="5"/>
  <c r="AA28" i="5"/>
  <c r="AL31" i="5"/>
  <c r="AL28" i="5"/>
  <c r="BU31" i="5"/>
  <c r="BU28" i="5"/>
  <c r="AW31" i="5"/>
  <c r="AW28" i="5"/>
  <c r="Y31" i="5"/>
  <c r="Y28" i="5"/>
  <c r="BH31" i="5"/>
  <c r="BH28" i="5"/>
  <c r="AJ31" i="5"/>
  <c r="AJ28" i="5"/>
  <c r="BS31" i="5"/>
  <c r="BS28" i="5"/>
  <c r="L31" i="5"/>
  <c r="L28" i="5"/>
  <c r="BF31" i="5"/>
  <c r="BF28" i="5"/>
  <c r="V31" i="5"/>
  <c r="V28" i="5"/>
  <c r="BQ31" i="5"/>
  <c r="BQ28" i="5"/>
  <c r="AG31" i="5"/>
  <c r="AG28" i="5"/>
  <c r="I31" i="5"/>
  <c r="I28" i="5"/>
  <c r="BD31" i="5"/>
  <c r="BD28" i="5"/>
  <c r="AF31" i="5"/>
  <c r="AF28" i="5"/>
  <c r="H31" i="5"/>
  <c r="H28" i="5"/>
  <c r="BC31" i="5"/>
  <c r="BC28" i="5"/>
  <c r="AE31" i="5"/>
  <c r="AE28" i="5"/>
  <c r="BB31" i="5"/>
  <c r="BB28" i="5"/>
  <c r="N31" i="5"/>
  <c r="N28" i="5"/>
  <c r="K31" i="5"/>
  <c r="K28" i="5"/>
  <c r="BG31" i="5"/>
  <c r="BG28" i="5"/>
  <c r="AI31" i="5"/>
  <c r="AI28" i="5"/>
  <c r="BR31" i="5"/>
  <c r="BR28" i="5"/>
  <c r="AT31" i="5"/>
  <c r="AT28" i="5"/>
  <c r="J31" i="5"/>
  <c r="J28" i="5"/>
  <c r="BE31" i="5"/>
  <c r="BE28" i="5"/>
  <c r="U31" i="5"/>
  <c r="U28" i="5"/>
  <c r="BP31" i="5"/>
  <c r="BP28" i="5"/>
  <c r="AR31" i="5"/>
  <c r="AR28" i="5"/>
  <c r="T31" i="5"/>
  <c r="T28" i="5"/>
  <c r="BO31" i="5"/>
  <c r="BO28" i="5"/>
  <c r="AQ31" i="5"/>
  <c r="AQ28" i="5"/>
  <c r="S31" i="5"/>
  <c r="S28" i="5"/>
  <c r="G31" i="5"/>
  <c r="G28" i="5"/>
  <c r="BN31" i="5"/>
  <c r="BN28" i="5"/>
  <c r="AP31" i="5"/>
  <c r="AP28" i="5"/>
  <c r="AD31" i="5"/>
  <c r="AD28" i="5"/>
  <c r="R31" i="5"/>
  <c r="R28" i="5"/>
  <c r="F31" i="5"/>
  <c r="F28" i="5"/>
  <c r="BM31" i="5"/>
  <c r="BM28" i="5"/>
  <c r="BA31" i="5"/>
  <c r="BA28" i="5"/>
  <c r="AO31" i="5"/>
  <c r="AO28" i="5"/>
  <c r="AC31" i="5"/>
  <c r="AC28" i="5"/>
  <c r="Q31" i="5"/>
  <c r="Q28" i="5"/>
  <c r="E31" i="5"/>
  <c r="E28" i="5"/>
  <c r="BL31" i="5"/>
  <c r="BL28" i="5"/>
  <c r="AZ31" i="5"/>
  <c r="AZ28" i="5"/>
  <c r="AN31" i="5"/>
  <c r="AN28" i="5"/>
  <c r="AB31" i="5"/>
  <c r="AB28" i="5"/>
  <c r="P31" i="5"/>
  <c r="P28" i="5"/>
  <c r="D31" i="5"/>
  <c r="D32" i="5" s="1"/>
  <c r="D28" i="5"/>
  <c r="C27" i="5"/>
  <c r="C55" i="5" s="1"/>
  <c r="E30" i="5" l="1"/>
  <c r="D38" i="5"/>
  <c r="C35" i="5"/>
  <c r="C12" i="13" s="1"/>
  <c r="C28" i="5"/>
  <c r="D41" i="5" l="1"/>
  <c r="D40" i="5"/>
  <c r="E32" i="5"/>
  <c r="F30" i="5" s="1"/>
  <c r="E33" i="5"/>
  <c r="F32" i="5" l="1"/>
  <c r="G30" i="5" s="1"/>
  <c r="F33" i="5"/>
  <c r="E38" i="5"/>
  <c r="D42" i="5"/>
  <c r="D19" i="7" s="1"/>
  <c r="D21" i="7" l="1"/>
  <c r="E41" i="5"/>
  <c r="E40" i="5"/>
  <c r="G32" i="5"/>
  <c r="G33" i="5"/>
  <c r="F38" i="5"/>
  <c r="D22" i="7" l="1"/>
  <c r="F41" i="5"/>
  <c r="F40" i="5"/>
  <c r="H30" i="5"/>
  <c r="C36" i="5"/>
  <c r="C13" i="13" s="1"/>
  <c r="G38" i="5"/>
  <c r="E42" i="5"/>
  <c r="E19" i="7" s="1"/>
  <c r="F42" i="5" l="1"/>
  <c r="F19" i="7"/>
  <c r="D26" i="7"/>
  <c r="D25" i="7"/>
  <c r="G41" i="5"/>
  <c r="G40" i="5"/>
  <c r="H32" i="5"/>
  <c r="I30" i="5" s="1"/>
  <c r="H38" i="5" l="1"/>
  <c r="H40" i="5" s="1"/>
  <c r="D28" i="7"/>
  <c r="D27" i="7"/>
  <c r="D31" i="7"/>
  <c r="D32" i="7" s="1"/>
  <c r="I32" i="5"/>
  <c r="J30" i="5" s="1"/>
  <c r="G42" i="5"/>
  <c r="G19" i="7" s="1"/>
  <c r="H41" i="5" l="1"/>
  <c r="H42" i="5" s="1"/>
  <c r="H19" i="7" s="1"/>
  <c r="H21" i="7" s="1"/>
  <c r="H22" i="7" s="1"/>
  <c r="I38" i="5"/>
  <c r="D29" i="7"/>
  <c r="E24" i="7" s="1"/>
  <c r="D33" i="7"/>
  <c r="I41" i="5"/>
  <c r="I40" i="5"/>
  <c r="J32" i="5"/>
  <c r="K30" i="5" s="1"/>
  <c r="D8" i="8" l="1"/>
  <c r="D8" i="9"/>
  <c r="J38" i="5"/>
  <c r="D30" i="7"/>
  <c r="H25" i="7"/>
  <c r="J41" i="5"/>
  <c r="J40" i="5"/>
  <c r="K32" i="5"/>
  <c r="L30" i="5" s="1"/>
  <c r="I42" i="5"/>
  <c r="I19" i="7" s="1"/>
  <c r="K38" i="5" l="1"/>
  <c r="J42" i="5"/>
  <c r="D6" i="11"/>
  <c r="D7" i="10"/>
  <c r="D10" i="8"/>
  <c r="D25" i="8" s="1"/>
  <c r="J19" i="7"/>
  <c r="K41" i="5"/>
  <c r="K40" i="5"/>
  <c r="L32" i="5"/>
  <c r="M30" i="5" s="1"/>
  <c r="L38" i="5" l="1"/>
  <c r="L41" i="5" s="1"/>
  <c r="D12" i="8"/>
  <c r="D8" i="10"/>
  <c r="M32" i="5"/>
  <c r="N30" i="5" s="1"/>
  <c r="K42" i="5"/>
  <c r="K19" i="7" s="1"/>
  <c r="L40" i="5" l="1"/>
  <c r="L42" i="5" s="1"/>
  <c r="M38" i="5"/>
  <c r="D9" i="9"/>
  <c r="D10" i="9" s="1"/>
  <c r="D26" i="8"/>
  <c r="L19" i="7"/>
  <c r="M41" i="5"/>
  <c r="M40" i="5"/>
  <c r="N32" i="5"/>
  <c r="O30" i="5" s="1"/>
  <c r="M42" i="5" l="1"/>
  <c r="N38" i="5"/>
  <c r="N41" i="5" s="1"/>
  <c r="D17" i="9"/>
  <c r="M19" i="7"/>
  <c r="O32" i="5"/>
  <c r="P30" i="5" s="1"/>
  <c r="N40" i="5" l="1"/>
  <c r="N42" i="5" s="1"/>
  <c r="N19" i="7" s="1"/>
  <c r="O38" i="5"/>
  <c r="O41" i="5" s="1"/>
  <c r="P32" i="5"/>
  <c r="Q30" i="5" s="1"/>
  <c r="O40" i="5" l="1"/>
  <c r="O42" i="5" s="1"/>
  <c r="O19" i="7" s="1"/>
  <c r="P38" i="5"/>
  <c r="P41" i="5"/>
  <c r="P40" i="5"/>
  <c r="Q32" i="5"/>
  <c r="R30" i="5" s="1"/>
  <c r="Q38" i="5"/>
  <c r="P42" i="5" l="1"/>
  <c r="P19" i="7" s="1"/>
  <c r="Q41" i="5"/>
  <c r="Q40" i="5"/>
  <c r="R32" i="5"/>
  <c r="S30" i="5" s="1"/>
  <c r="Q42" i="5" l="1"/>
  <c r="R38" i="5"/>
  <c r="R41" i="5" s="1"/>
  <c r="Q19" i="7"/>
  <c r="S32" i="5"/>
  <c r="T30" i="5" s="1"/>
  <c r="R40" i="5" l="1"/>
  <c r="R42" i="5" s="1"/>
  <c r="S38" i="5"/>
  <c r="S41" i="5" s="1"/>
  <c r="R19" i="7"/>
  <c r="T32" i="5"/>
  <c r="U30" i="5" s="1"/>
  <c r="T38" i="5" l="1"/>
  <c r="T41" i="5" s="1"/>
  <c r="S40" i="5"/>
  <c r="S42" i="5" s="1"/>
  <c r="S19" i="7" s="1"/>
  <c r="U32" i="5"/>
  <c r="V30" i="5" s="1"/>
  <c r="T40" i="5" l="1"/>
  <c r="T42" i="5" s="1"/>
  <c r="T19" i="7" s="1"/>
  <c r="U38" i="5"/>
  <c r="U41" i="5" s="1"/>
  <c r="U40" i="5"/>
  <c r="V32" i="5"/>
  <c r="W30" i="5" s="1"/>
  <c r="U42" i="5" l="1"/>
  <c r="V38" i="5"/>
  <c r="V41" i="5" s="1"/>
  <c r="U19" i="7"/>
  <c r="W32" i="5"/>
  <c r="X30" i="5" s="1"/>
  <c r="V40" i="5" l="1"/>
  <c r="V42" i="5" s="1"/>
  <c r="V19" i="7" s="1"/>
  <c r="W38" i="5"/>
  <c r="W41" i="5" s="1"/>
  <c r="W40" i="5"/>
  <c r="X32" i="5"/>
  <c r="Y30" i="5" s="1"/>
  <c r="X38" i="5"/>
  <c r="W42" i="5" l="1"/>
  <c r="W19" i="7" s="1"/>
  <c r="X41" i="5"/>
  <c r="X40" i="5"/>
  <c r="Y32" i="5"/>
  <c r="Z30" i="5" s="1"/>
  <c r="Y38" i="5" l="1"/>
  <c r="Y41" i="5" s="1"/>
  <c r="X42" i="5"/>
  <c r="Z32" i="5"/>
  <c r="AA30" i="5" s="1"/>
  <c r="Z38" i="5"/>
  <c r="Y40" i="5" l="1"/>
  <c r="Y42" i="5" s="1"/>
  <c r="Y19" i="7" s="1"/>
  <c r="X19" i="7"/>
  <c r="Z41" i="5"/>
  <c r="Z40" i="5"/>
  <c r="AA32" i="5"/>
  <c r="AB30" i="5" s="1"/>
  <c r="Z42" i="5" l="1"/>
  <c r="AA38" i="5"/>
  <c r="AA41" i="5" s="1"/>
  <c r="AB32" i="5"/>
  <c r="AC30" i="5" s="1"/>
  <c r="AA40" i="5" l="1"/>
  <c r="AA42" i="5" s="1"/>
  <c r="AB38" i="5"/>
  <c r="Z19" i="7"/>
  <c r="AB41" i="5"/>
  <c r="AB40" i="5"/>
  <c r="AC32" i="5"/>
  <c r="AD30" i="5" s="1"/>
  <c r="AB42" i="5" l="1"/>
  <c r="AB19" i="7" s="1"/>
  <c r="AC38" i="5"/>
  <c r="AA19" i="7"/>
  <c r="AC41" i="5"/>
  <c r="AC40" i="5"/>
  <c r="AC42" i="5" s="1"/>
  <c r="AD32" i="5"/>
  <c r="AE30" i="5" s="1"/>
  <c r="AD38" i="5" l="1"/>
  <c r="AD41" i="5" s="1"/>
  <c r="AC19" i="7"/>
  <c r="AE32" i="5"/>
  <c r="AF30" i="5" s="1"/>
  <c r="AE38" i="5" l="1"/>
  <c r="AE41" i="5" s="1"/>
  <c r="AD40" i="5"/>
  <c r="AD42" i="5" s="1"/>
  <c r="AD19" i="7" s="1"/>
  <c r="AF32" i="5"/>
  <c r="AG30" i="5" s="1"/>
  <c r="AE40" i="5" l="1"/>
  <c r="AE42" i="5" s="1"/>
  <c r="AF38" i="5"/>
  <c r="AF41" i="5"/>
  <c r="AF40" i="5"/>
  <c r="AG32" i="5"/>
  <c r="AH30" i="5" s="1"/>
  <c r="AG38" i="5" l="1"/>
  <c r="AG41" i="5" s="1"/>
  <c r="AE19" i="7"/>
  <c r="AF42" i="5"/>
  <c r="AH32" i="5"/>
  <c r="AI30" i="5" s="1"/>
  <c r="AG40" i="5" l="1"/>
  <c r="AG42" i="5" s="1"/>
  <c r="AG19" i="7" s="1"/>
  <c r="AH38" i="5"/>
  <c r="AF19" i="7"/>
  <c r="AH41" i="5"/>
  <c r="AH40" i="5"/>
  <c r="AI32" i="5"/>
  <c r="AJ30" i="5" s="1"/>
  <c r="AH42" i="5" l="1"/>
  <c r="AI38" i="5"/>
  <c r="AH19" i="7"/>
  <c r="AI41" i="5"/>
  <c r="AI40" i="5"/>
  <c r="AI42" i="5" s="1"/>
  <c r="AJ32" i="5"/>
  <c r="AK30" i="5" s="1"/>
  <c r="AJ38" i="5" l="1"/>
  <c r="AI19" i="7"/>
  <c r="AJ41" i="5"/>
  <c r="AJ40" i="5"/>
  <c r="AJ42" i="5" s="1"/>
  <c r="AK32" i="5"/>
  <c r="AL30" i="5" s="1"/>
  <c r="AJ19" i="7" l="1"/>
  <c r="AK38" i="5"/>
  <c r="AK41" i="5"/>
  <c r="AK40" i="5"/>
  <c r="AK42" i="5" s="1"/>
  <c r="AL32" i="5"/>
  <c r="AM30" i="5" s="1"/>
  <c r="AL38" i="5" l="1"/>
  <c r="AL41" i="5" s="1"/>
  <c r="AK19" i="7"/>
  <c r="AM32" i="5"/>
  <c r="AN30" i="5" s="1"/>
  <c r="AL40" i="5" l="1"/>
  <c r="AL42" i="5" s="1"/>
  <c r="AM38" i="5"/>
  <c r="AM41" i="5"/>
  <c r="AM40" i="5"/>
  <c r="AN32" i="5"/>
  <c r="AO30" i="5" s="1"/>
  <c r="AM42" i="5" l="1"/>
  <c r="AN38" i="5"/>
  <c r="AM19" i="7"/>
  <c r="AL19" i="7"/>
  <c r="AN41" i="5"/>
  <c r="AN40" i="5"/>
  <c r="AN42" i="5" s="1"/>
  <c r="AO32" i="5"/>
  <c r="AP30" i="5" s="1"/>
  <c r="AN19" i="7" l="1"/>
  <c r="AO38" i="5"/>
  <c r="AO41" i="5"/>
  <c r="AO40" i="5"/>
  <c r="AP32" i="5"/>
  <c r="AQ30" i="5" s="1"/>
  <c r="AP38" i="5" l="1"/>
  <c r="AP41" i="5" s="1"/>
  <c r="AQ32" i="5"/>
  <c r="AR30" i="5" s="1"/>
  <c r="AO42" i="5"/>
  <c r="AP40" i="5" l="1"/>
  <c r="AP42" i="5" s="1"/>
  <c r="AP19" i="7" s="1"/>
  <c r="AQ38" i="5"/>
  <c r="AQ41" i="5" s="1"/>
  <c r="AO19" i="7"/>
  <c r="AR32" i="5"/>
  <c r="AS30" i="5" s="1"/>
  <c r="AR38" i="5" l="1"/>
  <c r="AR41" i="5" s="1"/>
  <c r="AQ40" i="5"/>
  <c r="AQ42" i="5" s="1"/>
  <c r="AQ19" i="7" s="1"/>
  <c r="AS32" i="5"/>
  <c r="AT30" i="5" s="1"/>
  <c r="AR40" i="5" l="1"/>
  <c r="AS38" i="5"/>
  <c r="AR42" i="5"/>
  <c r="AR19" i="7"/>
  <c r="AT32" i="5"/>
  <c r="AU30" i="5" s="1"/>
  <c r="AS41" i="5"/>
  <c r="AS40" i="5"/>
  <c r="AS42" i="5" l="1"/>
  <c r="AS19" i="7" s="1"/>
  <c r="AT38" i="5"/>
  <c r="AT41" i="5"/>
  <c r="AT40" i="5"/>
  <c r="AU32" i="5"/>
  <c r="AV30" i="5" s="1"/>
  <c r="AT42" i="5" l="1"/>
  <c r="AT19" i="7" s="1"/>
  <c r="AU38" i="5"/>
  <c r="AU41" i="5" s="1"/>
  <c r="AV32" i="5"/>
  <c r="AW30" i="5" s="1"/>
  <c r="AU40" i="5" l="1"/>
  <c r="AU42" i="5" s="1"/>
  <c r="AU19" i="7" s="1"/>
  <c r="AV38" i="5"/>
  <c r="AV41" i="5" s="1"/>
  <c r="AW32" i="5"/>
  <c r="AX30" i="5" s="1"/>
  <c r="AV40" i="5" l="1"/>
  <c r="AV42" i="5" s="1"/>
  <c r="AV19" i="7" s="1"/>
  <c r="AW38" i="5"/>
  <c r="AW41" i="5" s="1"/>
  <c r="AX32" i="5"/>
  <c r="AY30" i="5" s="1"/>
  <c r="AW40" i="5" l="1"/>
  <c r="AX38" i="5"/>
  <c r="AX41" i="5" s="1"/>
  <c r="AW42" i="5"/>
  <c r="AY32" i="5"/>
  <c r="AZ30" i="5" s="1"/>
  <c r="AX40" i="5" l="1"/>
  <c r="AX42" i="5" s="1"/>
  <c r="AW19" i="7"/>
  <c r="AX19" i="7"/>
  <c r="AY38" i="5"/>
  <c r="AY41" i="5"/>
  <c r="AY40" i="5"/>
  <c r="AZ32" i="5"/>
  <c r="BA30" i="5" s="1"/>
  <c r="AY42" i="5" l="1"/>
  <c r="AY19" i="7"/>
  <c r="AZ38" i="5"/>
  <c r="AZ41" i="5" s="1"/>
  <c r="AZ40" i="5"/>
  <c r="BA32" i="5"/>
  <c r="BB30" i="5" s="1"/>
  <c r="BA38" i="5" l="1"/>
  <c r="BA41" i="5" s="1"/>
  <c r="AZ42" i="5"/>
  <c r="BB32" i="5"/>
  <c r="BC30" i="5" s="1"/>
  <c r="BA40" i="5" l="1"/>
  <c r="BA42" i="5" s="1"/>
  <c r="BB38" i="5"/>
  <c r="AZ19" i="7"/>
  <c r="BB41" i="5"/>
  <c r="BB40" i="5"/>
  <c r="BC32" i="5"/>
  <c r="BD30" i="5" s="1"/>
  <c r="BB42" i="5" l="1"/>
  <c r="BB19" i="7" s="1"/>
  <c r="BA19" i="7"/>
  <c r="BC38" i="5"/>
  <c r="BC41" i="5" s="1"/>
  <c r="BC40" i="5"/>
  <c r="BD32" i="5"/>
  <c r="BE30" i="5" s="1"/>
  <c r="BC42" i="5" l="1"/>
  <c r="BC19" i="7" s="1"/>
  <c r="BD38" i="5"/>
  <c r="BD41" i="5" s="1"/>
  <c r="BE32" i="5"/>
  <c r="BF30" i="5" s="1"/>
  <c r="BD40" i="5" l="1"/>
  <c r="BD42" i="5" s="1"/>
  <c r="BD19" i="7" s="1"/>
  <c r="BE38" i="5"/>
  <c r="BE41" i="5" s="1"/>
  <c r="BF32" i="5"/>
  <c r="BG30" i="5" s="1"/>
  <c r="BE40" i="5" l="1"/>
  <c r="BE42" i="5" s="1"/>
  <c r="BE19" i="7" s="1"/>
  <c r="BF38" i="5"/>
  <c r="BF41" i="5" s="1"/>
  <c r="BG32" i="5"/>
  <c r="BH30" i="5" s="1"/>
  <c r="BF40" i="5" l="1"/>
  <c r="BF42" i="5" s="1"/>
  <c r="BG38" i="5"/>
  <c r="BG41" i="5" s="1"/>
  <c r="BG40" i="5"/>
  <c r="BH32" i="5"/>
  <c r="BI30" i="5" s="1"/>
  <c r="BH38" i="5" l="1"/>
  <c r="BF19" i="7"/>
  <c r="BG42" i="5"/>
  <c r="BH41" i="5"/>
  <c r="BH40" i="5"/>
  <c r="BI32" i="5"/>
  <c r="BJ30" i="5" s="1"/>
  <c r="BH42" i="5" l="1"/>
  <c r="BH19" i="7" s="1"/>
  <c r="BI38" i="5"/>
  <c r="BG19" i="7"/>
  <c r="BI41" i="5"/>
  <c r="BI40" i="5"/>
  <c r="BI42" i="5" s="1"/>
  <c r="BJ32" i="5"/>
  <c r="BK30" i="5" s="1"/>
  <c r="BJ38" i="5" l="1"/>
  <c r="BJ41" i="5" s="1"/>
  <c r="BI19" i="7"/>
  <c r="BK32" i="5"/>
  <c r="BL30" i="5" s="1"/>
  <c r="BJ40" i="5" l="1"/>
  <c r="BJ42" i="5" s="1"/>
  <c r="BK38" i="5"/>
  <c r="BJ19" i="7"/>
  <c r="BK41" i="5"/>
  <c r="BK40" i="5"/>
  <c r="BK42" i="5" s="1"/>
  <c r="BL32" i="5"/>
  <c r="BM30" i="5" s="1"/>
  <c r="BL38" i="5" l="1"/>
  <c r="BK19" i="7"/>
  <c r="BL41" i="5"/>
  <c r="BL40" i="5"/>
  <c r="BL42" i="5" s="1"/>
  <c r="BM32" i="5"/>
  <c r="BN30" i="5" s="1"/>
  <c r="BL19" i="7" l="1"/>
  <c r="BM38" i="5"/>
  <c r="BM41" i="5" s="1"/>
  <c r="BM40" i="5"/>
  <c r="BN32" i="5"/>
  <c r="BO30" i="5" s="1"/>
  <c r="BM42" i="5" l="1"/>
  <c r="BN38" i="5"/>
  <c r="BN41" i="5" s="1"/>
  <c r="BN40" i="5"/>
  <c r="BO32" i="5"/>
  <c r="BP30" i="5" s="1"/>
  <c r="BO38" i="5" l="1"/>
  <c r="BO41" i="5" s="1"/>
  <c r="BM19" i="7"/>
  <c r="BN42" i="5"/>
  <c r="BO40" i="5"/>
  <c r="BP32" i="5"/>
  <c r="BQ30" i="5" s="1"/>
  <c r="BO42" i="5" l="1"/>
  <c r="BO19" i="7" s="1"/>
  <c r="BP38" i="5"/>
  <c r="BP41" i="5" s="1"/>
  <c r="BN19" i="7"/>
  <c r="BQ32" i="5"/>
  <c r="BR30" i="5" s="1"/>
  <c r="BP40" i="5" l="1"/>
  <c r="BP42" i="5" s="1"/>
  <c r="BP19" i="7" s="1"/>
  <c r="BQ38" i="5"/>
  <c r="BQ41" i="5" s="1"/>
  <c r="BR32" i="5"/>
  <c r="BS30" i="5" s="1"/>
  <c r="BR38" i="5" l="1"/>
  <c r="BR41" i="5" s="1"/>
  <c r="BQ40" i="5"/>
  <c r="BQ42" i="5" s="1"/>
  <c r="BQ19" i="7" s="1"/>
  <c r="BS32" i="5"/>
  <c r="BT30" i="5" s="1"/>
  <c r="BR40" i="5" l="1"/>
  <c r="BR42" i="5" s="1"/>
  <c r="BR19" i="7" s="1"/>
  <c r="BS38" i="5"/>
  <c r="BS41" i="5" s="1"/>
  <c r="BT32" i="5"/>
  <c r="BU30" i="5" s="1"/>
  <c r="BS40" i="5" l="1"/>
  <c r="BS42" i="5" s="1"/>
  <c r="BS19" i="7" s="1"/>
  <c r="BT38" i="5"/>
  <c r="BT41" i="5"/>
  <c r="BT40" i="5"/>
  <c r="BU32" i="5"/>
  <c r="BU38" i="5" s="1"/>
  <c r="BT42" i="5" l="1"/>
  <c r="BT19" i="7"/>
  <c r="BU41" i="5"/>
  <c r="C41" i="5" s="1"/>
  <c r="C51" i="5" s="1"/>
  <c r="BU40" i="5"/>
  <c r="BU42" i="5" l="1"/>
  <c r="C40" i="5"/>
  <c r="C50" i="5" s="1"/>
  <c r="BU19" i="7" l="1"/>
  <c r="C19" i="7" s="1"/>
  <c r="BU44" i="5"/>
  <c r="C42" i="5"/>
  <c r="D27" i="8" l="1"/>
  <c r="E23" i="8" s="1"/>
  <c r="E9" i="10" s="1"/>
  <c r="E24" i="8" l="1"/>
  <c r="E20" i="7" s="1"/>
  <c r="E21" i="7" s="1"/>
  <c r="E22" i="7" s="1"/>
  <c r="E26" i="7" l="1"/>
  <c r="E31" i="7" s="1"/>
  <c r="E32" i="7" s="1"/>
  <c r="E33" i="7" s="1"/>
  <c r="E25" i="7"/>
  <c r="E8" i="8" l="1"/>
  <c r="E8" i="9"/>
  <c r="E28" i="7"/>
  <c r="E27" i="7"/>
  <c r="E10" i="8" l="1"/>
  <c r="E25" i="8" s="1"/>
  <c r="E6" i="11"/>
  <c r="E7" i="10"/>
  <c r="E29" i="7"/>
  <c r="F24" i="7" s="1"/>
  <c r="E12" i="8" l="1"/>
  <c r="E30" i="7"/>
  <c r="E8" i="10" l="1"/>
  <c r="E26" i="8"/>
  <c r="E27" i="8" s="1"/>
  <c r="F23" i="8" s="1"/>
  <c r="E9" i="9"/>
  <c r="E10" i="9" s="1"/>
  <c r="F24" i="8" l="1"/>
  <c r="F20" i="7" s="1"/>
  <c r="F21" i="7" s="1"/>
  <c r="F22" i="7" s="1"/>
  <c r="F9" i="10"/>
  <c r="F25" i="7" l="1"/>
  <c r="F26" i="7"/>
  <c r="F31" i="7" s="1"/>
  <c r="F32" i="7" s="1"/>
  <c r="F33" i="7" s="1"/>
  <c r="F8" i="9" s="1"/>
  <c r="F8" i="8" l="1"/>
  <c r="F10" i="8" s="1"/>
  <c r="F25" i="8" s="1"/>
  <c r="F28" i="7"/>
  <c r="F27" i="7"/>
  <c r="F12" i="8" l="1"/>
  <c r="F8" i="10"/>
  <c r="F7" i="10"/>
  <c r="F6" i="11"/>
  <c r="F29" i="7"/>
  <c r="G24" i="7" s="1"/>
  <c r="F26" i="8"/>
  <c r="F27" i="8" s="1"/>
  <c r="G23" i="8" s="1"/>
  <c r="F9" i="9"/>
  <c r="F30" i="7" l="1"/>
  <c r="G24" i="8"/>
  <c r="G9" i="10"/>
  <c r="D12" i="9"/>
  <c r="D15" i="9" s="1"/>
  <c r="D43" i="5" s="1"/>
  <c r="F10" i="9"/>
  <c r="G20" i="7"/>
  <c r="G21" i="7" s="1"/>
  <c r="G22" i="7" s="1"/>
  <c r="D44" i="5" l="1"/>
  <c r="D18" i="9"/>
  <c r="G25" i="7"/>
  <c r="G26" i="7"/>
  <c r="G31" i="7" s="1"/>
  <c r="G32" i="7" s="1"/>
  <c r="D19" i="9" l="1"/>
  <c r="E14" i="9" s="1"/>
  <c r="E17" i="9" s="1"/>
  <c r="D24" i="9"/>
  <c r="D30" i="9" s="1"/>
  <c r="D31" i="9" s="1"/>
  <c r="G33" i="7"/>
  <c r="G8" i="9" s="1"/>
  <c r="H28" i="7"/>
  <c r="G28" i="7"/>
  <c r="G27" i="7"/>
  <c r="G29" i="7" l="1"/>
  <c r="H24" i="7" s="1"/>
  <c r="G8" i="8"/>
  <c r="G10" i="8" l="1"/>
  <c r="G25" i="8" s="1"/>
  <c r="G6" i="11"/>
  <c r="G7" i="10"/>
  <c r="G30" i="7"/>
  <c r="H26" i="7"/>
  <c r="H27" i="7" s="1"/>
  <c r="G12" i="8" l="1"/>
  <c r="G8" i="10"/>
  <c r="G26" i="8"/>
  <c r="G27" i="8" s="1"/>
  <c r="G9" i="9"/>
  <c r="H29" i="7"/>
  <c r="I24" i="7" s="1"/>
  <c r="H31" i="7"/>
  <c r="H32" i="7" s="1"/>
  <c r="E12" i="9" l="1"/>
  <c r="E15" i="9" s="1"/>
  <c r="E43" i="5" s="1"/>
  <c r="G10" i="9"/>
  <c r="H30" i="7"/>
  <c r="H33" i="7"/>
  <c r="H8" i="9" s="1"/>
  <c r="E44" i="5" l="1"/>
  <c r="E18" i="9"/>
  <c r="E24" i="9" s="1"/>
  <c r="E30" i="9" s="1"/>
  <c r="H8" i="8"/>
  <c r="H10" i="8" l="1"/>
  <c r="H25" i="8" s="1"/>
  <c r="H6" i="11"/>
  <c r="H7" i="10"/>
  <c r="E19" i="9"/>
  <c r="H12" i="8" l="1"/>
  <c r="H8" i="10"/>
  <c r="H11" i="10"/>
  <c r="F14" i="9"/>
  <c r="F17" i="9" s="1"/>
  <c r="H26" i="8"/>
  <c r="H27" i="8" s="1"/>
  <c r="I23" i="8" s="1"/>
  <c r="H9" i="9"/>
  <c r="H25" i="9" s="1"/>
  <c r="H10" i="10" l="1"/>
  <c r="H26" i="9"/>
  <c r="H27" i="9"/>
  <c r="I24" i="8"/>
  <c r="I20" i="7" s="1"/>
  <c r="I21" i="7" s="1"/>
  <c r="I22" i="7" s="1"/>
  <c r="I9" i="10"/>
  <c r="F12" i="9"/>
  <c r="F15" i="9" s="1"/>
  <c r="F43" i="5" s="1"/>
  <c r="H10" i="9"/>
  <c r="F44" i="5" l="1"/>
  <c r="F18" i="9"/>
  <c r="F24" i="9" s="1"/>
  <c r="F30" i="9" s="1"/>
  <c r="I25" i="7"/>
  <c r="I26" i="7"/>
  <c r="I31" i="7" s="1"/>
  <c r="I32" i="7" s="1"/>
  <c r="F19" i="9" l="1"/>
  <c r="I33" i="7"/>
  <c r="I8" i="9" s="1"/>
  <c r="I28" i="7"/>
  <c r="I27" i="7"/>
  <c r="G14" i="9" l="1"/>
  <c r="G17" i="9" s="1"/>
  <c r="I29" i="7"/>
  <c r="J24" i="7" s="1"/>
  <c r="I8" i="8"/>
  <c r="I10" i="8" l="1"/>
  <c r="I25" i="8" s="1"/>
  <c r="I6" i="11"/>
  <c r="I7" i="10"/>
  <c r="I30" i="7"/>
  <c r="I8" i="10" l="1"/>
  <c r="I11" i="10" s="1"/>
  <c r="I12" i="8"/>
  <c r="I26" i="8"/>
  <c r="I9" i="9"/>
  <c r="I25" i="9" s="1"/>
  <c r="I27" i="8"/>
  <c r="J23" i="8" s="1"/>
  <c r="J24" i="8" l="1"/>
  <c r="J20" i="7" s="1"/>
  <c r="J9" i="10"/>
  <c r="I10" i="10"/>
  <c r="I26" i="9"/>
  <c r="I27" i="9"/>
  <c r="G12" i="9"/>
  <c r="G15" i="9" s="1"/>
  <c r="G43" i="5" s="1"/>
  <c r="I10" i="9"/>
  <c r="G44" i="5" l="1"/>
  <c r="G18" i="9"/>
  <c r="G24" i="9" s="1"/>
  <c r="G30" i="9" s="1"/>
  <c r="J21" i="7"/>
  <c r="G19" i="9" l="1"/>
  <c r="J22" i="7"/>
  <c r="H14" i="9" l="1"/>
  <c r="H17" i="9" s="1"/>
  <c r="J25" i="7"/>
  <c r="J26" i="7"/>
  <c r="J31" i="7" s="1"/>
  <c r="J32" i="7" s="1"/>
  <c r="J33" i="7" l="1"/>
  <c r="J8" i="9" s="1"/>
  <c r="J28" i="7"/>
  <c r="J27" i="7"/>
  <c r="J29" i="7" l="1"/>
  <c r="K24" i="7" s="1"/>
  <c r="J8" i="8"/>
  <c r="J10" i="8" l="1"/>
  <c r="J25" i="8" s="1"/>
  <c r="J8" i="10" s="1"/>
  <c r="J6" i="11"/>
  <c r="J7" i="10"/>
  <c r="J30" i="7"/>
  <c r="J12" i="8" l="1"/>
  <c r="J11" i="10"/>
  <c r="J26" i="8"/>
  <c r="J27" i="8" s="1"/>
  <c r="K23" i="8" s="1"/>
  <c r="K9" i="10" s="1"/>
  <c r="J9" i="9"/>
  <c r="J25" i="9" s="1"/>
  <c r="K24" i="8"/>
  <c r="J10" i="10" l="1"/>
  <c r="J27" i="9"/>
  <c r="J26" i="9"/>
  <c r="H12" i="9"/>
  <c r="J10" i="9"/>
  <c r="K20" i="7"/>
  <c r="H15" i="9" l="1"/>
  <c r="H43" i="5" s="1"/>
  <c r="H16" i="9"/>
  <c r="K21" i="7"/>
  <c r="H44" i="5" l="1"/>
  <c r="H18" i="9"/>
  <c r="H19" i="9" s="1"/>
  <c r="K22" i="7"/>
  <c r="H24" i="9" l="1"/>
  <c r="H30" i="9" s="1"/>
  <c r="I14" i="9"/>
  <c r="I17" i="9"/>
  <c r="K25" i="7"/>
  <c r="K26" i="7"/>
  <c r="K31" i="7" s="1"/>
  <c r="K32" i="7" s="1"/>
  <c r="K33" i="7" s="1"/>
  <c r="K8" i="8" l="1"/>
  <c r="K8" i="9"/>
  <c r="K28" i="7"/>
  <c r="K27" i="7"/>
  <c r="K10" i="8" l="1"/>
  <c r="K25" i="8" s="1"/>
  <c r="K6" i="11"/>
  <c r="K7" i="10"/>
  <c r="K29" i="7"/>
  <c r="L24" i="7" s="1"/>
  <c r="K12" i="8" l="1"/>
  <c r="K30" i="7"/>
  <c r="K8" i="10" l="1"/>
  <c r="K11" i="10" s="1"/>
  <c r="K26" i="8"/>
  <c r="K27" i="8" s="1"/>
  <c r="L23" i="8" s="1"/>
  <c r="K9" i="9"/>
  <c r="L9" i="10" l="1"/>
  <c r="L24" i="8"/>
  <c r="L20" i="7" s="1"/>
  <c r="L21" i="7" s="1"/>
  <c r="L22" i="7" s="1"/>
  <c r="K25" i="9"/>
  <c r="K10" i="9"/>
  <c r="I12" i="9"/>
  <c r="I15" i="9" l="1"/>
  <c r="I16" i="9"/>
  <c r="K10" i="10"/>
  <c r="K26" i="9"/>
  <c r="K27" i="9"/>
  <c r="L25" i="7"/>
  <c r="L26" i="7"/>
  <c r="L31" i="7" s="1"/>
  <c r="L32" i="7" s="1"/>
  <c r="L33" i="7" s="1"/>
  <c r="L8" i="8" l="1"/>
  <c r="L8" i="9"/>
  <c r="L27" i="7"/>
  <c r="I43" i="5"/>
  <c r="I44" i="5" s="1"/>
  <c r="I18" i="9"/>
  <c r="I19" i="9" s="1"/>
  <c r="J14" i="9" s="1"/>
  <c r="J17" i="9" s="1"/>
  <c r="I24" i="9" l="1"/>
  <c r="I30" i="9" s="1"/>
  <c r="L10" i="8"/>
  <c r="L25" i="8" s="1"/>
  <c r="L6" i="11"/>
  <c r="L7" i="10"/>
  <c r="L28" i="7"/>
  <c r="L29" i="7" s="1"/>
  <c r="M24" i="7" s="1"/>
  <c r="L12" i="8" l="1"/>
  <c r="L30" i="7"/>
  <c r="L8" i="10" l="1"/>
  <c r="L11" i="10" s="1"/>
  <c r="L26" i="8"/>
  <c r="L27" i="8" s="1"/>
  <c r="M23" i="8" s="1"/>
  <c r="L9" i="9"/>
  <c r="J12" i="9" l="1"/>
  <c r="L25" i="9"/>
  <c r="L10" i="9"/>
  <c r="M9" i="10"/>
  <c r="M24" i="8"/>
  <c r="M20" i="7" s="1"/>
  <c r="M21" i="7" s="1"/>
  <c r="M22" i="7" s="1"/>
  <c r="M25" i="7" l="1"/>
  <c r="M28" i="7" s="1"/>
  <c r="M26" i="7"/>
  <c r="L10" i="10"/>
  <c r="L26" i="9"/>
  <c r="L27" i="9"/>
  <c r="J15" i="9"/>
  <c r="J16" i="9"/>
  <c r="J43" i="5" l="1"/>
  <c r="J44" i="5" s="1"/>
  <c r="J18" i="9"/>
  <c r="J19" i="9" s="1"/>
  <c r="K14" i="9" s="1"/>
  <c r="K17" i="9" s="1"/>
  <c r="M27" i="7"/>
  <c r="M31" i="7"/>
  <c r="M32" i="7" s="1"/>
  <c r="M33" i="7" s="1"/>
  <c r="M8" i="9" l="1"/>
  <c r="M8" i="8"/>
  <c r="M29" i="7"/>
  <c r="N24" i="7" s="1"/>
  <c r="J24" i="9"/>
  <c r="J30" i="9" s="1"/>
  <c r="M30" i="7" l="1"/>
  <c r="M10" i="8"/>
  <c r="M25" i="8" s="1"/>
  <c r="M6" i="11"/>
  <c r="M7" i="10"/>
  <c r="M12" i="8" l="1"/>
  <c r="M9" i="9" l="1"/>
  <c r="M8" i="10"/>
  <c r="M11" i="10" s="1"/>
  <c r="M26" i="8"/>
  <c r="M27" i="8" s="1"/>
  <c r="N23" i="8" s="1"/>
  <c r="N9" i="10" l="1"/>
  <c r="N24" i="8"/>
  <c r="N20" i="7" s="1"/>
  <c r="N21" i="7" s="1"/>
  <c r="N22" i="7" s="1"/>
  <c r="N25" i="7" s="1"/>
  <c r="K12" i="9"/>
  <c r="M10" i="9"/>
  <c r="M25" i="9"/>
  <c r="N26" i="7" l="1"/>
  <c r="N31" i="7" s="1"/>
  <c r="N32" i="7" s="1"/>
  <c r="M10" i="10"/>
  <c r="M26" i="9"/>
  <c r="M27" i="9"/>
  <c r="K15" i="9"/>
  <c r="K16" i="9"/>
  <c r="N28" i="7"/>
  <c r="N27" i="7" l="1"/>
  <c r="N29" i="7" s="1"/>
  <c r="O24" i="7" s="1"/>
  <c r="K43" i="5"/>
  <c r="K44" i="5" s="1"/>
  <c r="K18" i="9"/>
  <c r="K24" i="9" s="1"/>
  <c r="K30" i="9" s="1"/>
  <c r="N33" i="7"/>
  <c r="N8" i="9" s="1"/>
  <c r="K19" i="9" l="1"/>
  <c r="L14" i="9" s="1"/>
  <c r="L17" i="9" s="1"/>
  <c r="N30" i="7"/>
  <c r="N8" i="8"/>
  <c r="N10" i="8" l="1"/>
  <c r="N25" i="8" s="1"/>
  <c r="N6" i="11"/>
  <c r="N7" i="10"/>
  <c r="N12" i="8" l="1"/>
  <c r="N9" i="9"/>
  <c r="N25" i="9" s="1"/>
  <c r="N8" i="10"/>
  <c r="N11" i="10" s="1"/>
  <c r="N26" i="8"/>
  <c r="N27" i="8" s="1"/>
  <c r="O23" i="8" s="1"/>
  <c r="O9" i="10" s="1"/>
  <c r="N10" i="9" l="1"/>
  <c r="L12" i="9"/>
  <c r="N10" i="10"/>
  <c r="N27" i="9"/>
  <c r="N26" i="9"/>
  <c r="L15" i="9"/>
  <c r="L43" i="5" s="1"/>
  <c r="L44" i="5" s="1"/>
  <c r="L16" i="9"/>
  <c r="O24" i="8"/>
  <c r="O20" i="7" s="1"/>
  <c r="L18" i="9" l="1"/>
  <c r="L24" i="9" s="1"/>
  <c r="L30" i="9" s="1"/>
  <c r="O21" i="7"/>
  <c r="L19" i="9" l="1"/>
  <c r="M14" i="9" s="1"/>
  <c r="M17" i="9" s="1"/>
  <c r="O22" i="7"/>
  <c r="O26" i="7" l="1"/>
  <c r="O25" i="7"/>
  <c r="O28" i="7" l="1"/>
  <c r="O27" i="7"/>
  <c r="O31" i="7"/>
  <c r="O32" i="7" s="1"/>
  <c r="O29" i="7" l="1"/>
  <c r="P24" i="7" s="1"/>
  <c r="O33" i="7"/>
  <c r="O8" i="9" s="1"/>
  <c r="O8" i="8" l="1"/>
  <c r="O30" i="7"/>
  <c r="O10" i="8" l="1"/>
  <c r="O25" i="8" s="1"/>
  <c r="O6" i="11"/>
  <c r="O7" i="10"/>
  <c r="O12" i="8" l="1"/>
  <c r="O9" i="9"/>
  <c r="O25" i="9" s="1"/>
  <c r="O8" i="10"/>
  <c r="O11" i="10" s="1"/>
  <c r="M12" i="9"/>
  <c r="O10" i="9"/>
  <c r="O26" i="8"/>
  <c r="O27" i="8" s="1"/>
  <c r="P23" i="8" s="1"/>
  <c r="P9" i="10" s="1"/>
  <c r="O10" i="10" l="1"/>
  <c r="O27" i="9"/>
  <c r="O26" i="9"/>
  <c r="M15" i="9"/>
  <c r="M43" i="5" s="1"/>
  <c r="M44" i="5" s="1"/>
  <c r="M16" i="9"/>
  <c r="P24" i="8"/>
  <c r="P20" i="7" s="1"/>
  <c r="M18" i="9" l="1"/>
  <c r="M24" i="9" s="1"/>
  <c r="M30" i="9" s="1"/>
  <c r="P21" i="7"/>
  <c r="M19" i="9" l="1"/>
  <c r="N14" i="9" s="1"/>
  <c r="N17" i="9" s="1"/>
  <c r="P22" i="7"/>
  <c r="P26" i="7" l="1"/>
  <c r="P25" i="7"/>
  <c r="P28" i="7" l="1"/>
  <c r="P27" i="7"/>
  <c r="P31" i="7"/>
  <c r="P32" i="7" s="1"/>
  <c r="P29" i="7" l="1"/>
  <c r="Q24" i="7" s="1"/>
  <c r="P33" i="7"/>
  <c r="P8" i="9" s="1"/>
  <c r="P30" i="7" l="1"/>
  <c r="P8" i="8"/>
  <c r="P10" i="8" l="1"/>
  <c r="P25" i="8" s="1"/>
  <c r="P6" i="11"/>
  <c r="P7" i="10"/>
  <c r="P12" i="8" l="1"/>
  <c r="P9" i="9"/>
  <c r="P25" i="9" s="1"/>
  <c r="P8" i="10"/>
  <c r="P11" i="10" s="1"/>
  <c r="P26" i="8"/>
  <c r="P27" i="8" s="1"/>
  <c r="Q23" i="8" s="1"/>
  <c r="Q9" i="10" s="1"/>
  <c r="P10" i="9" l="1"/>
  <c r="N12" i="9"/>
  <c r="P10" i="10"/>
  <c r="P27" i="9"/>
  <c r="P26" i="9"/>
  <c r="N15" i="9"/>
  <c r="N43" i="5" s="1"/>
  <c r="N44" i="5" s="1"/>
  <c r="N16" i="9"/>
  <c r="Q24" i="8"/>
  <c r="Q20" i="7" s="1"/>
  <c r="N18" i="9" l="1"/>
  <c r="N19" i="9" s="1"/>
  <c r="O14" i="9" s="1"/>
  <c r="O17" i="9" s="1"/>
  <c r="Q21" i="7"/>
  <c r="N24" i="9" l="1"/>
  <c r="N30" i="9" s="1"/>
  <c r="Q22" i="7"/>
  <c r="Q26" i="7" l="1"/>
  <c r="Q25" i="7"/>
  <c r="Q28" i="7" l="1"/>
  <c r="Q27" i="7"/>
  <c r="Q31" i="7"/>
  <c r="Q32" i="7" s="1"/>
  <c r="Q29" i="7" l="1"/>
  <c r="R24" i="7" s="1"/>
  <c r="Q33" i="7"/>
  <c r="Q8" i="9" s="1"/>
  <c r="Q30" i="7" l="1"/>
  <c r="Q8" i="8"/>
  <c r="Q10" i="8" l="1"/>
  <c r="Q25" i="8" s="1"/>
  <c r="Q6" i="11"/>
  <c r="Q7" i="10"/>
  <c r="Q12" i="8" l="1"/>
  <c r="Q9" i="9"/>
  <c r="Q25" i="9" s="1"/>
  <c r="Q8" i="10"/>
  <c r="Q11" i="10" s="1"/>
  <c r="O12" i="9"/>
  <c r="Q10" i="9"/>
  <c r="Q26" i="8"/>
  <c r="Q27" i="8" s="1"/>
  <c r="R23" i="8" s="1"/>
  <c r="R9" i="10" s="1"/>
  <c r="Q10" i="10" l="1"/>
  <c r="Q26" i="9"/>
  <c r="Q27" i="9"/>
  <c r="O15" i="9"/>
  <c r="O43" i="5" s="1"/>
  <c r="O44" i="5" s="1"/>
  <c r="O16" i="9"/>
  <c r="R24" i="8"/>
  <c r="R20" i="7" s="1"/>
  <c r="O18" i="9" l="1"/>
  <c r="O19" i="9" s="1"/>
  <c r="P14" i="9" s="1"/>
  <c r="P17" i="9" s="1"/>
  <c r="R21" i="7"/>
  <c r="O24" i="9" l="1"/>
  <c r="O30" i="9" s="1"/>
  <c r="R22" i="7"/>
  <c r="R26" i="7" l="1"/>
  <c r="R31" i="7" s="1"/>
  <c r="R32" i="7" s="1"/>
  <c r="R33" i="7" s="1"/>
  <c r="R25" i="7"/>
  <c r="R8" i="8" l="1"/>
  <c r="R8" i="9"/>
  <c r="R28" i="7"/>
  <c r="R27" i="7"/>
  <c r="R10" i="8" l="1"/>
  <c r="R25" i="8" s="1"/>
  <c r="R6" i="11"/>
  <c r="R7" i="10"/>
  <c r="R29" i="7"/>
  <c r="S24" i="7" s="1"/>
  <c r="R12" i="8" l="1"/>
  <c r="R30" i="7"/>
  <c r="R8" i="10" l="1"/>
  <c r="R11" i="10" s="1"/>
  <c r="R26" i="8"/>
  <c r="R27" i="8" s="1"/>
  <c r="S23" i="8" s="1"/>
  <c r="R9" i="9"/>
  <c r="R10" i="9" l="1"/>
  <c r="R25" i="9"/>
  <c r="P12" i="9"/>
  <c r="S9" i="10"/>
  <c r="S24" i="8"/>
  <c r="S20" i="7" s="1"/>
  <c r="S21" i="7" s="1"/>
  <c r="S22" i="7" s="1"/>
  <c r="S26" i="7" l="1"/>
  <c r="S31" i="7" s="1"/>
  <c r="S32" i="7" s="1"/>
  <c r="S33" i="7" s="1"/>
  <c r="S25" i="7"/>
  <c r="P15" i="9"/>
  <c r="P43" i="5" s="1"/>
  <c r="P44" i="5" s="1"/>
  <c r="P16" i="9"/>
  <c r="R10" i="10"/>
  <c r="R27" i="9"/>
  <c r="R26" i="9"/>
  <c r="S28" i="7"/>
  <c r="S27" i="7" l="1"/>
  <c r="S29" i="7" s="1"/>
  <c r="P18" i="9"/>
  <c r="P19" i="9" s="1"/>
  <c r="Q14" i="9" s="1"/>
  <c r="Q17" i="9" s="1"/>
  <c r="S8" i="8"/>
  <c r="S8" i="9"/>
  <c r="S30" i="7" l="1"/>
  <c r="T24" i="7"/>
  <c r="P24" i="9"/>
  <c r="P30" i="9" s="1"/>
  <c r="S10" i="8"/>
  <c r="S25" i="8" s="1"/>
  <c r="S6" i="11"/>
  <c r="S7" i="10"/>
  <c r="S12" i="8" l="1"/>
  <c r="S8" i="10" l="1"/>
  <c r="S11" i="10" s="1"/>
  <c r="S26" i="8"/>
  <c r="S27" i="8" s="1"/>
  <c r="T23" i="8" s="1"/>
  <c r="S9" i="9"/>
  <c r="Q12" i="9" l="1"/>
  <c r="S25" i="9"/>
  <c r="S10" i="9"/>
  <c r="T9" i="10"/>
  <c r="T24" i="8"/>
  <c r="T20" i="7" s="1"/>
  <c r="T21" i="7" s="1"/>
  <c r="T22" i="7" s="1"/>
  <c r="T25" i="7" l="1"/>
  <c r="T28" i="7" s="1"/>
  <c r="T26" i="7"/>
  <c r="S10" i="10"/>
  <c r="S26" i="9"/>
  <c r="S27" i="9"/>
  <c r="Q15" i="9"/>
  <c r="Q16" i="9"/>
  <c r="Q43" i="5" l="1"/>
  <c r="Q44" i="5" s="1"/>
  <c r="Q18" i="9"/>
  <c r="Q19" i="9" s="1"/>
  <c r="R14" i="9" s="1"/>
  <c r="R17" i="9" s="1"/>
  <c r="T27" i="7"/>
  <c r="T31" i="7"/>
  <c r="T32" i="7" s="1"/>
  <c r="T33" i="7" s="1"/>
  <c r="T29" i="7" l="1"/>
  <c r="U24" i="7" s="1"/>
  <c r="T8" i="9"/>
  <c r="T8" i="8"/>
  <c r="Q24" i="9"/>
  <c r="Q30" i="9" s="1"/>
  <c r="T30" i="7" l="1"/>
  <c r="T10" i="8"/>
  <c r="T25" i="8" s="1"/>
  <c r="T6" i="11"/>
  <c r="T7" i="10"/>
  <c r="T12" i="8" l="1"/>
  <c r="T9" i="9" l="1"/>
  <c r="T8" i="10"/>
  <c r="T11" i="10" s="1"/>
  <c r="T26" i="8"/>
  <c r="T27" i="8" s="1"/>
  <c r="U23" i="8" s="1"/>
  <c r="U9" i="10" l="1"/>
  <c r="U24" i="8"/>
  <c r="U20" i="7" s="1"/>
  <c r="U21" i="7" s="1"/>
  <c r="U22" i="7" s="1"/>
  <c r="R12" i="9"/>
  <c r="T25" i="9"/>
  <c r="T10" i="9"/>
  <c r="T10" i="10" l="1"/>
  <c r="T27" i="9"/>
  <c r="T26" i="9"/>
  <c r="R15" i="9"/>
  <c r="R16" i="9"/>
  <c r="U26" i="7"/>
  <c r="U31" i="7" s="1"/>
  <c r="U32" i="7" s="1"/>
  <c r="U33" i="7" s="1"/>
  <c r="U8" i="9" s="1"/>
  <c r="U25" i="7"/>
  <c r="U28" i="7" l="1"/>
  <c r="U27" i="7"/>
  <c r="R43" i="5"/>
  <c r="R44" i="5" s="1"/>
  <c r="R18" i="9"/>
  <c r="R19" i="9" s="1"/>
  <c r="S14" i="9" s="1"/>
  <c r="S17" i="9" s="1"/>
  <c r="U8" i="8"/>
  <c r="U10" i="8" l="1"/>
  <c r="U25" i="8" s="1"/>
  <c r="U6" i="11"/>
  <c r="U7" i="10"/>
  <c r="R24" i="9"/>
  <c r="R30" i="9" s="1"/>
  <c r="U29" i="7"/>
  <c r="U12" i="8" l="1"/>
  <c r="V24" i="7"/>
  <c r="U30" i="7"/>
  <c r="U9" i="9"/>
  <c r="U25" i="9" s="1"/>
  <c r="U8" i="10"/>
  <c r="U11" i="10" s="1"/>
  <c r="S12" i="9"/>
  <c r="U10" i="9"/>
  <c r="U26" i="8"/>
  <c r="U27" i="8" s="1"/>
  <c r="V23" i="8" s="1"/>
  <c r="V9" i="10" s="1"/>
  <c r="U10" i="10" l="1"/>
  <c r="U26" i="9"/>
  <c r="U27" i="9"/>
  <c r="S15" i="9"/>
  <c r="S43" i="5" s="1"/>
  <c r="S44" i="5" s="1"/>
  <c r="S16" i="9"/>
  <c r="V24" i="8"/>
  <c r="V20" i="7" s="1"/>
  <c r="S18" i="9" l="1"/>
  <c r="S19" i="9" s="1"/>
  <c r="T14" i="9" s="1"/>
  <c r="V21" i="7"/>
  <c r="S24" i="9" l="1"/>
  <c r="S30" i="9" s="1"/>
  <c r="T17" i="9"/>
  <c r="V22" i="7"/>
  <c r="V25" i="7" l="1"/>
  <c r="V26" i="7"/>
  <c r="V31" i="7" s="1"/>
  <c r="V32" i="7" s="1"/>
  <c r="V33" i="7" l="1"/>
  <c r="V8" i="9" s="1"/>
  <c r="V28" i="7"/>
  <c r="V27" i="7"/>
  <c r="V29" i="7" l="1"/>
  <c r="W24" i="7" s="1"/>
  <c r="V8" i="8"/>
  <c r="V10" i="8" l="1"/>
  <c r="V25" i="8" s="1"/>
  <c r="V6" i="11"/>
  <c r="V7" i="10"/>
  <c r="V30" i="7"/>
  <c r="V12" i="8" l="1"/>
  <c r="V9" i="9"/>
  <c r="V25" i="9" s="1"/>
  <c r="V8" i="10"/>
  <c r="V11" i="10" s="1"/>
  <c r="V26" i="8"/>
  <c r="V27" i="8" s="1"/>
  <c r="W23" i="8" s="1"/>
  <c r="W9" i="10" s="1"/>
  <c r="V10" i="9" l="1"/>
  <c r="T12" i="9"/>
  <c r="V10" i="10"/>
  <c r="V26" i="9"/>
  <c r="V27" i="9"/>
  <c r="T15" i="9"/>
  <c r="T43" i="5" s="1"/>
  <c r="T44" i="5" s="1"/>
  <c r="T16" i="9"/>
  <c r="W24" i="8"/>
  <c r="W20" i="7" s="1"/>
  <c r="T18" i="9" l="1"/>
  <c r="T24" i="9" s="1"/>
  <c r="T30" i="9" s="1"/>
  <c r="W21" i="7"/>
  <c r="T19" i="9" l="1"/>
  <c r="U14" i="9" s="1"/>
  <c r="U17" i="9" s="1"/>
  <c r="W22" i="7"/>
  <c r="W26" i="7" l="1"/>
  <c r="W31" i="7" s="1"/>
  <c r="W32" i="7" s="1"/>
  <c r="W25" i="7"/>
  <c r="W28" i="7" l="1"/>
  <c r="W27" i="7"/>
  <c r="W33" i="7"/>
  <c r="W8" i="9" s="1"/>
  <c r="W29" i="7" l="1"/>
  <c r="X24" i="7" s="1"/>
  <c r="W8" i="8"/>
  <c r="W10" i="8" l="1"/>
  <c r="W25" i="8" s="1"/>
  <c r="W6" i="11"/>
  <c r="W7" i="10"/>
  <c r="W30" i="7"/>
  <c r="W12" i="8" l="1"/>
  <c r="W9" i="9"/>
  <c r="W25" i="9" s="1"/>
  <c r="W8" i="10"/>
  <c r="W11" i="10" s="1"/>
  <c r="W26" i="8"/>
  <c r="W27" i="8" s="1"/>
  <c r="X23" i="8" s="1"/>
  <c r="X9" i="10" s="1"/>
  <c r="W10" i="9" l="1"/>
  <c r="U12" i="9"/>
  <c r="W10" i="10"/>
  <c r="W26" i="9"/>
  <c r="W27" i="9"/>
  <c r="U15" i="9"/>
  <c r="U43" i="5" s="1"/>
  <c r="U44" i="5" s="1"/>
  <c r="U16" i="9"/>
  <c r="X24" i="8"/>
  <c r="X20" i="7" s="1"/>
  <c r="U18" i="9" l="1"/>
  <c r="U19" i="9" s="1"/>
  <c r="V14" i="9" s="1"/>
  <c r="V17" i="9" s="1"/>
  <c r="X21" i="7"/>
  <c r="U24" i="9" l="1"/>
  <c r="U30" i="9" s="1"/>
  <c r="X22" i="7"/>
  <c r="X25" i="7" l="1"/>
  <c r="X26" i="7"/>
  <c r="X31" i="7" s="1"/>
  <c r="X32" i="7" s="1"/>
  <c r="X33" i="7" l="1"/>
  <c r="X8" i="9" s="1"/>
  <c r="X28" i="7"/>
  <c r="X27" i="7"/>
  <c r="X29" i="7" l="1"/>
  <c r="Y24" i="7" s="1"/>
  <c r="X8" i="8"/>
  <c r="X30" i="7" l="1"/>
  <c r="X10" i="8"/>
  <c r="X25" i="8" s="1"/>
  <c r="X6" i="11"/>
  <c r="X7" i="10"/>
  <c r="X12" i="8"/>
  <c r="X9" i="9" l="1"/>
  <c r="X25" i="9" s="1"/>
  <c r="X8" i="10"/>
  <c r="X11" i="10" s="1"/>
  <c r="X26" i="8"/>
  <c r="X27" i="8" s="1"/>
  <c r="Y23" i="8" s="1"/>
  <c r="Y9" i="10" s="1"/>
  <c r="X10" i="9" l="1"/>
  <c r="V12" i="9"/>
  <c r="X10" i="10"/>
  <c r="X26" i="9"/>
  <c r="X27" i="9"/>
  <c r="V15" i="9"/>
  <c r="V43" i="5" s="1"/>
  <c r="V44" i="5" s="1"/>
  <c r="V16" i="9"/>
  <c r="Y24" i="8"/>
  <c r="Y20" i="7" s="1"/>
  <c r="V18" i="9" l="1"/>
  <c r="V24" i="9" s="1"/>
  <c r="V30" i="9" s="1"/>
  <c r="Y21" i="7"/>
  <c r="V19" i="9" l="1"/>
  <c r="W14" i="9" s="1"/>
  <c r="W17" i="9" s="1"/>
  <c r="Y22" i="7"/>
  <c r="Y26" i="7" l="1"/>
  <c r="Y31" i="7" s="1"/>
  <c r="Y32" i="7" s="1"/>
  <c r="Y33" i="7" s="1"/>
  <c r="Y25" i="7"/>
  <c r="Y8" i="8" l="1"/>
  <c r="Y8" i="9"/>
  <c r="Y28" i="7"/>
  <c r="Y27" i="7"/>
  <c r="Y10" i="8" l="1"/>
  <c r="Y25" i="8" s="1"/>
  <c r="Y6" i="11"/>
  <c r="Y7" i="10"/>
  <c r="Y29" i="7"/>
  <c r="Z24" i="7" s="1"/>
  <c r="Y12" i="8" l="1"/>
  <c r="Y30" i="7"/>
  <c r="Y8" i="10" l="1"/>
  <c r="Y11" i="10" s="1"/>
  <c r="Y9" i="9"/>
  <c r="Y26" i="8"/>
  <c r="Y27" i="8" s="1"/>
  <c r="Z23" i="8" s="1"/>
  <c r="Z9" i="10" l="1"/>
  <c r="Z24" i="8"/>
  <c r="Z20" i="7" s="1"/>
  <c r="Z21" i="7" s="1"/>
  <c r="Z22" i="7" s="1"/>
  <c r="Y25" i="9"/>
  <c r="Y10" i="9"/>
  <c r="W12" i="9"/>
  <c r="W15" i="9" l="1"/>
  <c r="W16" i="9"/>
  <c r="Y10" i="10"/>
  <c r="Y27" i="9"/>
  <c r="Y26" i="9"/>
  <c r="Z25" i="7"/>
  <c r="Z26" i="7"/>
  <c r="Z31" i="7" s="1"/>
  <c r="Z32" i="7" s="1"/>
  <c r="Z33" i="7" s="1"/>
  <c r="Z28" i="7"/>
  <c r="Z27" i="7" l="1"/>
  <c r="Z29" i="7" s="1"/>
  <c r="W43" i="5"/>
  <c r="W44" i="5" s="1"/>
  <c r="W18" i="9"/>
  <c r="W19" i="9" s="1"/>
  <c r="X14" i="9" s="1"/>
  <c r="X17" i="9" s="1"/>
  <c r="Z8" i="8"/>
  <c r="Z8" i="9"/>
  <c r="AA24" i="7" l="1"/>
  <c r="Z30" i="7"/>
  <c r="Z10" i="8"/>
  <c r="Z25" i="8" s="1"/>
  <c r="Z6" i="11"/>
  <c r="Z7" i="10"/>
  <c r="W24" i="9"/>
  <c r="W30" i="9" s="1"/>
  <c r="Z12" i="8" l="1"/>
  <c r="Z8" i="10" l="1"/>
  <c r="Z11" i="10" s="1"/>
  <c r="Z26" i="8"/>
  <c r="Z27" i="8" s="1"/>
  <c r="AA23" i="8" s="1"/>
  <c r="Z9" i="9"/>
  <c r="X12" i="9" l="1"/>
  <c r="Z25" i="9"/>
  <c r="Z10" i="9"/>
  <c r="AA9" i="10"/>
  <c r="AA24" i="8"/>
  <c r="AA20" i="7" s="1"/>
  <c r="AA21" i="7" s="1"/>
  <c r="AA22" i="7" s="1"/>
  <c r="AA25" i="7" l="1"/>
  <c r="AA28" i="7" s="1"/>
  <c r="AA26" i="7"/>
  <c r="Z10" i="10"/>
  <c r="Z27" i="9"/>
  <c r="Z26" i="9"/>
  <c r="X15" i="9"/>
  <c r="X16" i="9"/>
  <c r="X43" i="5" l="1"/>
  <c r="X44" i="5" s="1"/>
  <c r="X18" i="9"/>
  <c r="X24" i="9" s="1"/>
  <c r="X30" i="9" s="1"/>
  <c r="AA27" i="7"/>
  <c r="AA31" i="7"/>
  <c r="AA32" i="7" s="1"/>
  <c r="AA33" i="7" s="1"/>
  <c r="AA8" i="9" l="1"/>
  <c r="AA8" i="8"/>
  <c r="AA29" i="7"/>
  <c r="AB24" i="7" s="1"/>
  <c r="X19" i="9"/>
  <c r="Y14" i="9" s="1"/>
  <c r="Y17" i="9" s="1"/>
  <c r="AA30" i="7" l="1"/>
  <c r="AA10" i="8"/>
  <c r="AA25" i="8" s="1"/>
  <c r="AA6" i="11"/>
  <c r="AA7" i="10"/>
  <c r="AA12" i="8" l="1"/>
  <c r="AA9" i="9" l="1"/>
  <c r="AA8" i="10"/>
  <c r="AA11" i="10" s="1"/>
  <c r="AA26" i="8"/>
  <c r="AA27" i="8" s="1"/>
  <c r="AB23" i="8" s="1"/>
  <c r="AB9" i="10" l="1"/>
  <c r="AB24" i="8"/>
  <c r="AB20" i="7" s="1"/>
  <c r="AB21" i="7" s="1"/>
  <c r="AB22" i="7" s="1"/>
  <c r="Y12" i="9"/>
  <c r="AA10" i="9"/>
  <c r="AA25" i="9"/>
  <c r="AA10" i="10" l="1"/>
  <c r="AA27" i="9"/>
  <c r="AA26" i="9"/>
  <c r="Y15" i="9"/>
  <c r="Y16" i="9"/>
  <c r="AB25" i="7"/>
  <c r="AB26" i="7"/>
  <c r="AB31" i="7" s="1"/>
  <c r="AB32" i="7" s="1"/>
  <c r="AB33" i="7" s="1"/>
  <c r="AB8" i="9" s="1"/>
  <c r="Y18" i="9" l="1"/>
  <c r="Y24" i="9" s="1"/>
  <c r="Y30" i="9" s="1"/>
  <c r="Y43" i="5"/>
  <c r="Y44" i="5" s="1"/>
  <c r="AB28" i="7"/>
  <c r="AB27" i="7"/>
  <c r="AB8" i="8"/>
  <c r="Y19" i="9" l="1"/>
  <c r="Z14" i="9" s="1"/>
  <c r="Z17" i="9" s="1"/>
  <c r="AB10" i="8"/>
  <c r="AB25" i="8" s="1"/>
  <c r="AB6" i="11"/>
  <c r="AB7" i="10"/>
  <c r="AB29" i="7"/>
  <c r="AB12" i="8" l="1"/>
  <c r="AB9" i="9"/>
  <c r="AB25" i="9" s="1"/>
  <c r="AB8" i="10"/>
  <c r="AC24" i="7"/>
  <c r="AB30" i="7"/>
  <c r="AB11" i="10"/>
  <c r="AB26" i="8"/>
  <c r="AB27" i="8" s="1"/>
  <c r="AC23" i="8" s="1"/>
  <c r="AC9" i="10" s="1"/>
  <c r="AB10" i="9" l="1"/>
  <c r="Z12" i="9"/>
  <c r="AB10" i="10"/>
  <c r="AB26" i="9"/>
  <c r="AB27" i="9"/>
  <c r="Z15" i="9"/>
  <c r="Z43" i="5" s="1"/>
  <c r="Z44" i="5" s="1"/>
  <c r="Z16" i="9"/>
  <c r="AC24" i="8"/>
  <c r="AC20" i="7" s="1"/>
  <c r="Z18" i="9" l="1"/>
  <c r="Z19" i="9" s="1"/>
  <c r="AA14" i="9" s="1"/>
  <c r="AC21" i="7"/>
  <c r="Z24" i="9" l="1"/>
  <c r="Z30" i="9" s="1"/>
  <c r="AA17" i="9"/>
  <c r="AC22" i="7"/>
  <c r="AC25" i="7" l="1"/>
  <c r="AC26" i="7"/>
  <c r="AC31" i="7" s="1"/>
  <c r="AC32" i="7" s="1"/>
  <c r="AC28" i="7" l="1"/>
  <c r="AC27" i="7"/>
  <c r="AC33" i="7"/>
  <c r="AC8" i="9" s="1"/>
  <c r="AC29" i="7" l="1"/>
  <c r="AD24" i="7" s="1"/>
  <c r="AC8" i="8"/>
  <c r="AC10" i="8" l="1"/>
  <c r="AC25" i="8" s="1"/>
  <c r="AC6" i="11"/>
  <c r="AC7" i="10"/>
  <c r="AC30" i="7"/>
  <c r="AC12" i="8" l="1"/>
  <c r="AC9" i="9"/>
  <c r="AC25" i="9" s="1"/>
  <c r="AC8" i="10"/>
  <c r="AC11" i="10" s="1"/>
  <c r="AC26" i="8"/>
  <c r="AC27" i="8" s="1"/>
  <c r="AD23" i="8" s="1"/>
  <c r="AD9" i="10" s="1"/>
  <c r="AC10" i="9" l="1"/>
  <c r="AA12" i="9"/>
  <c r="AC10" i="10"/>
  <c r="AC27" i="9"/>
  <c r="AC26" i="9"/>
  <c r="AA15" i="9"/>
  <c r="AA43" i="5" s="1"/>
  <c r="AA44" i="5" s="1"/>
  <c r="AA16" i="9"/>
  <c r="AD24" i="8"/>
  <c r="AD20" i="7" s="1"/>
  <c r="AA18" i="9" l="1"/>
  <c r="AA24" i="9" s="1"/>
  <c r="AA30" i="9" s="1"/>
  <c r="AD21" i="7"/>
  <c r="AA19" i="9" l="1"/>
  <c r="AB14" i="9" s="1"/>
  <c r="AB17" i="9" s="1"/>
  <c r="AD22" i="7"/>
  <c r="AD26" i="7" l="1"/>
  <c r="AD31" i="7" s="1"/>
  <c r="AD32" i="7" s="1"/>
  <c r="AD25" i="7"/>
  <c r="AD28" i="7" l="1"/>
  <c r="AD27" i="7"/>
  <c r="AD33" i="7"/>
  <c r="AD8" i="9" s="1"/>
  <c r="AD29" i="7" l="1"/>
  <c r="AE24" i="7" s="1"/>
  <c r="AD8" i="8"/>
  <c r="AD10" i="8" l="1"/>
  <c r="AD25" i="8" s="1"/>
  <c r="AD6" i="11"/>
  <c r="AD7" i="10"/>
  <c r="AD30" i="7"/>
  <c r="AD12" i="8" l="1"/>
  <c r="AD9" i="9"/>
  <c r="AD25" i="9" s="1"/>
  <c r="AD8" i="10"/>
  <c r="AD11" i="10"/>
  <c r="AD26" i="8"/>
  <c r="AD27" i="8" s="1"/>
  <c r="AE23" i="8" s="1"/>
  <c r="AE9" i="10" s="1"/>
  <c r="AD10" i="9" l="1"/>
  <c r="AB12" i="9"/>
  <c r="AD10" i="10"/>
  <c r="AD27" i="9"/>
  <c r="AD26" i="9"/>
  <c r="AB15" i="9"/>
  <c r="AB43" i="5" s="1"/>
  <c r="AB44" i="5" s="1"/>
  <c r="AB16" i="9"/>
  <c r="AE24" i="8"/>
  <c r="AE20" i="7" s="1"/>
  <c r="AB18" i="9" l="1"/>
  <c r="AB24" i="9" s="1"/>
  <c r="AB30" i="9" s="1"/>
  <c r="AE21" i="7"/>
  <c r="AB19" i="9" l="1"/>
  <c r="AC14" i="9" s="1"/>
  <c r="AC17" i="9" s="1"/>
  <c r="AE22" i="7"/>
  <c r="AE25" i="7" l="1"/>
  <c r="AE26" i="7"/>
  <c r="AE31" i="7" s="1"/>
  <c r="AE32" i="7" s="1"/>
  <c r="AE33" i="7" l="1"/>
  <c r="AE8" i="9" s="1"/>
  <c r="AE28" i="7"/>
  <c r="AE27" i="7"/>
  <c r="AE29" i="7" l="1"/>
  <c r="AF24" i="7" s="1"/>
  <c r="AE8" i="8"/>
  <c r="AE10" i="8" l="1"/>
  <c r="AE25" i="8" s="1"/>
  <c r="AE6" i="11"/>
  <c r="AE7" i="10"/>
  <c r="AE30" i="7"/>
  <c r="AE12" i="8" l="1"/>
  <c r="AE9" i="9"/>
  <c r="AE25" i="9" s="1"/>
  <c r="AE8" i="10"/>
  <c r="AE11" i="10" s="1"/>
  <c r="AE26" i="8"/>
  <c r="AE27" i="8" s="1"/>
  <c r="AF23" i="8" s="1"/>
  <c r="AF9" i="10" s="1"/>
  <c r="AE10" i="9" l="1"/>
  <c r="AC12" i="9"/>
  <c r="C14" i="10"/>
  <c r="C17" i="10"/>
  <c r="AE10" i="10"/>
  <c r="C15" i="10" s="1"/>
  <c r="AE27" i="9"/>
  <c r="C37" i="9" s="1"/>
  <c r="C39" i="13" s="1"/>
  <c r="AE26" i="9"/>
  <c r="AC15" i="9"/>
  <c r="AC43" i="5" s="1"/>
  <c r="AC44" i="5" s="1"/>
  <c r="AC16" i="9"/>
  <c r="AF24" i="8"/>
  <c r="AF20" i="7" s="1"/>
  <c r="C36" i="9" l="1"/>
  <c r="C38" i="13" s="1"/>
  <c r="AC18" i="9"/>
  <c r="AC19" i="9" s="1"/>
  <c r="AD14" i="9" s="1"/>
  <c r="AF21" i="7"/>
  <c r="AC24" i="9" l="1"/>
  <c r="AC30" i="9" s="1"/>
  <c r="AD17" i="9"/>
  <c r="AF22" i="7"/>
  <c r="AF26" i="7" l="1"/>
  <c r="AF31" i="7" s="1"/>
  <c r="AF32" i="7" s="1"/>
  <c r="AF33" i="7" s="1"/>
  <c r="AF25" i="7"/>
  <c r="AF8" i="8" l="1"/>
  <c r="AF8" i="9"/>
  <c r="AF28" i="7"/>
  <c r="AF27" i="7"/>
  <c r="AF10" i="8" l="1"/>
  <c r="AF25" i="8" s="1"/>
  <c r="AF6" i="11"/>
  <c r="AF7" i="10"/>
  <c r="AF29" i="7"/>
  <c r="AG24" i="7" s="1"/>
  <c r="AF12" i="8" l="1"/>
  <c r="AF30" i="7"/>
  <c r="AF8" i="10" l="1"/>
  <c r="AF26" i="8"/>
  <c r="AF27" i="8" s="1"/>
  <c r="AG23" i="8" s="1"/>
  <c r="AF9" i="9"/>
  <c r="AF10" i="9" l="1"/>
  <c r="AD12" i="9"/>
  <c r="AG9" i="10"/>
  <c r="AG24" i="8"/>
  <c r="AG20" i="7" s="1"/>
  <c r="AG21" i="7" s="1"/>
  <c r="AG22" i="7" s="1"/>
  <c r="AG25" i="7" l="1"/>
  <c r="AG26" i="7"/>
  <c r="AG31" i="7" s="1"/>
  <c r="AG32" i="7" s="1"/>
  <c r="AG33" i="7" s="1"/>
  <c r="AD16" i="9"/>
  <c r="AD15" i="9"/>
  <c r="AG28" i="7"/>
  <c r="AD43" i="5" l="1"/>
  <c r="AD44" i="5" s="1"/>
  <c r="AD18" i="9"/>
  <c r="AD19" i="9" s="1"/>
  <c r="AE14" i="9" s="1"/>
  <c r="AE17" i="9" s="1"/>
  <c r="AG8" i="8"/>
  <c r="AG8" i="9"/>
  <c r="AG27" i="7"/>
  <c r="AG29" i="7" s="1"/>
  <c r="AH24" i="7" l="1"/>
  <c r="AG30" i="7"/>
  <c r="AG10" i="8"/>
  <c r="AG25" i="8" s="1"/>
  <c r="AG6" i="11"/>
  <c r="AG7" i="10"/>
  <c r="AD24" i="9"/>
  <c r="AD30" i="9" s="1"/>
  <c r="AG12" i="8" l="1"/>
  <c r="AG8" i="10" l="1"/>
  <c r="AG26" i="8"/>
  <c r="AG27" i="8" s="1"/>
  <c r="AH23" i="8" s="1"/>
  <c r="AG9" i="9"/>
  <c r="AE12" i="9" l="1"/>
  <c r="AG10" i="9"/>
  <c r="AH24" i="8"/>
  <c r="AH20" i="7" s="1"/>
  <c r="AH21" i="7" s="1"/>
  <c r="AH22" i="7" s="1"/>
  <c r="AH9" i="10"/>
  <c r="AH25" i="7" l="1"/>
  <c r="AH28" i="7" s="1"/>
  <c r="AH26" i="7"/>
  <c r="AE15" i="9"/>
  <c r="AE16" i="9"/>
  <c r="C16" i="9" l="1"/>
  <c r="AE43" i="5"/>
  <c r="AE44" i="5" s="1"/>
  <c r="AE18" i="9"/>
  <c r="AE24" i="9" s="1"/>
  <c r="AE30" i="9" s="1"/>
  <c r="AH27" i="7"/>
  <c r="AH31" i="7"/>
  <c r="AH32" i="7" s="1"/>
  <c r="AH33" i="7" s="1"/>
  <c r="AE19" i="9" l="1"/>
  <c r="AF14" i="9" s="1"/>
  <c r="AF17" i="9" s="1"/>
  <c r="AH8" i="9"/>
  <c r="AH8" i="8"/>
  <c r="AH29" i="7"/>
  <c r="AI24" i="7" s="1"/>
  <c r="AH30" i="7" l="1"/>
  <c r="AH10" i="8"/>
  <c r="AH25" i="8" s="1"/>
  <c r="AH6" i="11"/>
  <c r="AH7" i="10"/>
  <c r="AH12" i="8" l="1"/>
  <c r="AH9" i="9" l="1"/>
  <c r="AH8" i="10"/>
  <c r="AH26" i="8"/>
  <c r="AH27" i="8" s="1"/>
  <c r="AI23" i="8" s="1"/>
  <c r="AI9" i="10" l="1"/>
  <c r="AI24" i="8"/>
  <c r="AI20" i="7" s="1"/>
  <c r="AI21" i="7" s="1"/>
  <c r="AI22" i="7" s="1"/>
  <c r="AF12" i="9"/>
  <c r="AF15" i="9" s="1"/>
  <c r="AH10" i="9"/>
  <c r="AF43" i="5" l="1"/>
  <c r="AF44" i="5" s="1"/>
  <c r="AF18" i="9"/>
  <c r="AI25" i="7"/>
  <c r="AI26" i="7"/>
  <c r="AI31" i="7" s="1"/>
  <c r="AI32" i="7" s="1"/>
  <c r="AI33" i="7" s="1"/>
  <c r="AI8" i="9" s="1"/>
  <c r="AI28" i="7" l="1"/>
  <c r="AI27" i="7"/>
  <c r="AF19" i="9"/>
  <c r="AG14" i="9" s="1"/>
  <c r="AG17" i="9" s="1"/>
  <c r="AF24" i="9"/>
  <c r="AF30" i="9" s="1"/>
  <c r="AI8" i="8"/>
  <c r="AI10" i="8" l="1"/>
  <c r="AI25" i="8" s="1"/>
  <c r="AI6" i="11"/>
  <c r="AI7" i="10"/>
  <c r="AI29" i="7"/>
  <c r="AI12" i="8" l="1"/>
  <c r="AI9" i="9"/>
  <c r="AG12" i="9" s="1"/>
  <c r="AG15" i="9" s="1"/>
  <c r="AG43" i="5" s="1"/>
  <c r="AG44" i="5" s="1"/>
  <c r="AI8" i="10"/>
  <c r="AJ24" i="7"/>
  <c r="AI30" i="7"/>
  <c r="AI26" i="8"/>
  <c r="AI27" i="8" s="1"/>
  <c r="AJ23" i="8" s="1"/>
  <c r="AJ9" i="10" s="1"/>
  <c r="AI10" i="9" l="1"/>
  <c r="AG18" i="9"/>
  <c r="AG24" i="9" s="1"/>
  <c r="AG30" i="9" s="1"/>
  <c r="AJ24" i="8"/>
  <c r="AJ20" i="7" s="1"/>
  <c r="AG19" i="9" l="1"/>
  <c r="AH14" i="9" s="1"/>
  <c r="AH17" i="9" s="1"/>
  <c r="AJ21" i="7"/>
  <c r="AJ22" i="7" l="1"/>
  <c r="AJ25" i="7" l="1"/>
  <c r="AJ26" i="7"/>
  <c r="AJ31" i="7"/>
  <c r="AJ32" i="7" s="1"/>
  <c r="AJ33" i="7" l="1"/>
  <c r="AJ8" i="9" s="1"/>
  <c r="AJ28" i="7"/>
  <c r="AJ27" i="7"/>
  <c r="AJ29" i="7" l="1"/>
  <c r="AK24" i="7" s="1"/>
  <c r="AJ8" i="8"/>
  <c r="AJ10" i="8" l="1"/>
  <c r="AJ25" i="8" s="1"/>
  <c r="AJ6" i="11"/>
  <c r="AJ7" i="10"/>
  <c r="AJ30" i="7"/>
  <c r="AJ12" i="8" l="1"/>
  <c r="AJ9" i="9"/>
  <c r="AH12" i="9" s="1"/>
  <c r="AH15" i="9" s="1"/>
  <c r="AJ8" i="10"/>
  <c r="AJ26" i="8"/>
  <c r="AJ27" i="8" s="1"/>
  <c r="AK23" i="8" s="1"/>
  <c r="AK9" i="10" s="1"/>
  <c r="AJ10" i="9" l="1"/>
  <c r="AH18" i="9"/>
  <c r="AH43" i="5"/>
  <c r="AH44" i="5" s="1"/>
  <c r="AK24" i="8"/>
  <c r="AK20" i="7" s="1"/>
  <c r="AH19" i="9" l="1"/>
  <c r="AI14" i="9" s="1"/>
  <c r="AI17" i="9" s="1"/>
  <c r="AH24" i="9"/>
  <c r="AH30" i="9" s="1"/>
  <c r="AK21" i="7"/>
  <c r="AK22" i="7" l="1"/>
  <c r="AK26" i="7" l="1"/>
  <c r="AK31" i="7" s="1"/>
  <c r="AK32" i="7" s="1"/>
  <c r="AK25" i="7"/>
  <c r="AK28" i="7" l="1"/>
  <c r="AK27" i="7"/>
  <c r="AK33" i="7"/>
  <c r="AK8" i="9" s="1"/>
  <c r="AK29" i="7" l="1"/>
  <c r="AL24" i="7" s="1"/>
  <c r="AK8" i="8"/>
  <c r="AK10" i="8" l="1"/>
  <c r="AK25" i="8" s="1"/>
  <c r="AK6" i="11"/>
  <c r="AK7" i="10"/>
  <c r="AK30" i="7"/>
  <c r="AK12" i="8" l="1"/>
  <c r="AK9" i="9"/>
  <c r="AI12" i="9" s="1"/>
  <c r="AI15" i="9" s="1"/>
  <c r="AI43" i="5" s="1"/>
  <c r="AI44" i="5" s="1"/>
  <c r="AK8" i="10"/>
  <c r="AK26" i="8"/>
  <c r="AK27" i="8" s="1"/>
  <c r="AL23" i="8" s="1"/>
  <c r="AL9" i="10" s="1"/>
  <c r="AK10" i="9" l="1"/>
  <c r="AI18" i="9"/>
  <c r="AI24" i="9" s="1"/>
  <c r="AI30" i="9" s="1"/>
  <c r="AL24" i="8"/>
  <c r="AL20" i="7" s="1"/>
  <c r="AI19" i="9" l="1"/>
  <c r="AJ14" i="9" s="1"/>
  <c r="AJ17" i="9" s="1"/>
  <c r="AL21" i="7"/>
  <c r="AL22" i="7" l="1"/>
  <c r="AL25" i="7" l="1"/>
  <c r="AL26" i="7"/>
  <c r="AL31" i="7" s="1"/>
  <c r="AL32" i="7" s="1"/>
  <c r="AL33" i="7" l="1"/>
  <c r="AL8" i="9" s="1"/>
  <c r="AL28" i="7"/>
  <c r="AL27" i="7"/>
  <c r="AL29" i="7" l="1"/>
  <c r="AM24" i="7" s="1"/>
  <c r="AL8" i="8"/>
  <c r="AL10" i="8" l="1"/>
  <c r="AL25" i="8" s="1"/>
  <c r="AL6" i="11"/>
  <c r="AL7" i="10"/>
  <c r="AL30" i="7"/>
  <c r="AL12" i="8" l="1"/>
  <c r="AL9" i="9"/>
  <c r="AL8" i="10"/>
  <c r="AJ12" i="9"/>
  <c r="AJ15" i="9" s="1"/>
  <c r="AJ43" i="5" s="1"/>
  <c r="AJ44" i="5" s="1"/>
  <c r="AL10" i="9"/>
  <c r="AL26" i="8"/>
  <c r="AL27" i="8" s="1"/>
  <c r="AM23" i="8" s="1"/>
  <c r="AM9" i="10" s="1"/>
  <c r="AJ18" i="9" l="1"/>
  <c r="AM24" i="8"/>
  <c r="AM20" i="7" s="1"/>
  <c r="AJ19" i="9" l="1"/>
  <c r="AK14" i="9" s="1"/>
  <c r="AK17" i="9" s="1"/>
  <c r="AJ24" i="9"/>
  <c r="AJ30" i="9" s="1"/>
  <c r="AM21" i="7"/>
  <c r="AM22" i="7" l="1"/>
  <c r="AM26" i="7" l="1"/>
  <c r="AM31" i="7" s="1"/>
  <c r="AM32" i="7" s="1"/>
  <c r="AM33" i="7" s="1"/>
  <c r="AM25" i="7"/>
  <c r="AM8" i="8" l="1"/>
  <c r="AM8" i="9"/>
  <c r="AM28" i="7"/>
  <c r="AM27" i="7"/>
  <c r="AM10" i="8" l="1"/>
  <c r="AM25" i="8" s="1"/>
  <c r="AM6" i="11"/>
  <c r="AM7" i="10"/>
  <c r="AM29" i="7"/>
  <c r="AN24" i="7" s="1"/>
  <c r="AM12" i="8" l="1"/>
  <c r="AM30" i="7"/>
  <c r="AM8" i="10" l="1"/>
  <c r="AM26" i="8"/>
  <c r="AM27" i="8" s="1"/>
  <c r="AN23" i="8" s="1"/>
  <c r="AM9" i="9"/>
  <c r="AM10" i="9" l="1"/>
  <c r="AK12" i="9"/>
  <c r="AK15" i="9" s="1"/>
  <c r="AN24" i="8"/>
  <c r="AN20" i="7" s="1"/>
  <c r="AN21" i="7" s="1"/>
  <c r="AN22" i="7" s="1"/>
  <c r="AN9" i="10"/>
  <c r="AN25" i="7" l="1"/>
  <c r="AN26" i="7"/>
  <c r="AN31" i="7" s="1"/>
  <c r="AN32" i="7" s="1"/>
  <c r="AN33" i="7" s="1"/>
  <c r="AK43" i="5"/>
  <c r="AK44" i="5" s="1"/>
  <c r="AK18" i="9"/>
  <c r="AN28" i="7"/>
  <c r="AK19" i="9" l="1"/>
  <c r="AL14" i="9" s="1"/>
  <c r="AL17" i="9" s="1"/>
  <c r="AK24" i="9"/>
  <c r="AK30" i="9" s="1"/>
  <c r="AN8" i="8"/>
  <c r="AN8" i="9"/>
  <c r="AN27" i="7"/>
  <c r="AN29" i="7" s="1"/>
  <c r="AO24" i="7" l="1"/>
  <c r="AN30" i="7"/>
  <c r="AN10" i="8"/>
  <c r="AN25" i="8" s="1"/>
  <c r="AN6" i="11"/>
  <c r="AN7" i="10"/>
  <c r="AN12" i="8" l="1"/>
  <c r="AN8" i="10" l="1"/>
  <c r="AN26" i="8"/>
  <c r="AN27" i="8" s="1"/>
  <c r="AO23" i="8" s="1"/>
  <c r="AN9" i="9"/>
  <c r="AN10" i="9" l="1"/>
  <c r="AL12" i="9"/>
  <c r="AL15" i="9" s="1"/>
  <c r="AO24" i="8"/>
  <c r="AO20" i="7" s="1"/>
  <c r="AO21" i="7" s="1"/>
  <c r="AO22" i="7" s="1"/>
  <c r="AO9" i="10"/>
  <c r="AO25" i="7" l="1"/>
  <c r="AO28" i="7" s="1"/>
  <c r="AO26" i="7"/>
  <c r="AL18" i="9"/>
  <c r="AL43" i="5"/>
  <c r="AL44" i="5" s="1"/>
  <c r="AL19" i="9" l="1"/>
  <c r="AM14" i="9" s="1"/>
  <c r="AM17" i="9" s="1"/>
  <c r="AL24" i="9"/>
  <c r="AL30" i="9" s="1"/>
  <c r="AO27" i="7"/>
  <c r="AO31" i="7"/>
  <c r="AO32" i="7" s="1"/>
  <c r="AO33" i="7" s="1"/>
  <c r="AO8" i="9" l="1"/>
  <c r="AO8" i="8"/>
  <c r="AO29" i="7"/>
  <c r="AP24" i="7" s="1"/>
  <c r="AO30" i="7" l="1"/>
  <c r="AO10" i="8"/>
  <c r="AO25" i="8" s="1"/>
  <c r="AO6" i="11"/>
  <c r="AO7" i="10"/>
  <c r="AO12" i="8" l="1"/>
  <c r="AO9" i="9" l="1"/>
  <c r="AO8" i="10"/>
  <c r="AO26" i="8"/>
  <c r="AO27" i="8" s="1"/>
  <c r="AP23" i="8" s="1"/>
  <c r="AP9" i="10" l="1"/>
  <c r="AP24" i="8"/>
  <c r="AP20" i="7" s="1"/>
  <c r="AP21" i="7" s="1"/>
  <c r="AP22" i="7" s="1"/>
  <c r="AM12" i="9"/>
  <c r="AM15" i="9" s="1"/>
  <c r="AO10" i="9"/>
  <c r="AM43" i="5" l="1"/>
  <c r="AM44" i="5" s="1"/>
  <c r="AM18" i="9"/>
  <c r="AP26" i="7"/>
  <c r="AP31" i="7" s="1"/>
  <c r="AP32" i="7" s="1"/>
  <c r="AP33" i="7" s="1"/>
  <c r="AP8" i="9" s="1"/>
  <c r="AP25" i="7"/>
  <c r="AP28" i="7" l="1"/>
  <c r="AP27" i="7"/>
  <c r="AM19" i="9"/>
  <c r="AN14" i="9" s="1"/>
  <c r="AN17" i="9" s="1"/>
  <c r="AM24" i="9"/>
  <c r="AM30" i="9" s="1"/>
  <c r="AP8" i="8"/>
  <c r="AP10" i="8" l="1"/>
  <c r="AP25" i="8" s="1"/>
  <c r="AP6" i="11"/>
  <c r="AP7" i="10"/>
  <c r="AP29" i="7"/>
  <c r="AP12" i="8" l="1"/>
  <c r="AQ24" i="7"/>
  <c r="AP30" i="7"/>
  <c r="AP9" i="9"/>
  <c r="AP8" i="10"/>
  <c r="AN12" i="9"/>
  <c r="AN15" i="9" s="1"/>
  <c r="AN43" i="5" s="1"/>
  <c r="AN44" i="5" s="1"/>
  <c r="AP10" i="9"/>
  <c r="AP26" i="8"/>
  <c r="AP27" i="8" s="1"/>
  <c r="AQ23" i="8" s="1"/>
  <c r="AQ9" i="10" s="1"/>
  <c r="AN18" i="9" l="1"/>
  <c r="AQ24" i="8"/>
  <c r="AQ20" i="7" s="1"/>
  <c r="AN19" i="9" l="1"/>
  <c r="AO14" i="9" s="1"/>
  <c r="AO17" i="9" s="1"/>
  <c r="AN24" i="9"/>
  <c r="AN30" i="9" s="1"/>
  <c r="AQ21" i="7"/>
  <c r="AQ22" i="7" l="1"/>
  <c r="AQ25" i="7" l="1"/>
  <c r="AQ26" i="7"/>
  <c r="AQ31" i="7" s="1"/>
  <c r="AQ32" i="7" s="1"/>
  <c r="AQ33" i="7" l="1"/>
  <c r="AQ8" i="9" s="1"/>
  <c r="AQ28" i="7"/>
  <c r="AQ27" i="7"/>
  <c r="AQ29" i="7" l="1"/>
  <c r="AR24" i="7" s="1"/>
  <c r="AQ8" i="8"/>
  <c r="AQ10" i="8" l="1"/>
  <c r="AQ25" i="8" s="1"/>
  <c r="AQ6" i="11"/>
  <c r="AQ7" i="10"/>
  <c r="AQ30" i="7"/>
  <c r="AQ12" i="8" l="1"/>
  <c r="AQ9" i="9"/>
  <c r="AO12" i="9" s="1"/>
  <c r="AO15" i="9" s="1"/>
  <c r="AQ26" i="8" l="1"/>
  <c r="AQ27" i="8" s="1"/>
  <c r="AR23" i="8" s="1"/>
  <c r="AR9" i="10" s="1"/>
  <c r="AQ8" i="10"/>
  <c r="AQ10" i="9"/>
  <c r="AO18" i="9"/>
  <c r="AO43" i="5"/>
  <c r="AO44" i="5" s="1"/>
  <c r="AR24" i="8" l="1"/>
  <c r="AR20" i="7" s="1"/>
  <c r="AR21" i="7" s="1"/>
  <c r="AO19" i="9"/>
  <c r="AP14" i="9" s="1"/>
  <c r="AP17" i="9" s="1"/>
  <c r="AO24" i="9"/>
  <c r="AO30" i="9" s="1"/>
  <c r="AR22" i="7" l="1"/>
  <c r="AR26" i="7" l="1"/>
  <c r="AR31" i="7" s="1"/>
  <c r="AR32" i="7" s="1"/>
  <c r="AR25" i="7"/>
  <c r="AR28" i="7" l="1"/>
  <c r="AR27" i="7"/>
  <c r="AR33" i="7"/>
  <c r="AR8" i="9" s="1"/>
  <c r="AR8" i="8" l="1"/>
  <c r="AR29" i="7"/>
  <c r="AS24" i="7" s="1"/>
  <c r="AR10" i="8" l="1"/>
  <c r="AR25" i="8" s="1"/>
  <c r="AR6" i="11"/>
  <c r="AR7" i="10"/>
  <c r="AR30" i="7"/>
  <c r="AR12" i="8" l="1"/>
  <c r="AR9" i="9"/>
  <c r="AR8" i="10"/>
  <c r="AP12" i="9"/>
  <c r="AP15" i="9" s="1"/>
  <c r="AR10" i="9"/>
  <c r="AR26" i="8"/>
  <c r="AR27" i="8" s="1"/>
  <c r="AS23" i="8" s="1"/>
  <c r="AS9" i="10" s="1"/>
  <c r="AP18" i="9" l="1"/>
  <c r="AP43" i="5"/>
  <c r="AP44" i="5" s="1"/>
  <c r="AS24" i="8"/>
  <c r="AS20" i="7" s="1"/>
  <c r="AP19" i="9" l="1"/>
  <c r="AQ14" i="9" s="1"/>
  <c r="AQ17" i="9" s="1"/>
  <c r="AP24" i="9"/>
  <c r="AP30" i="9" s="1"/>
  <c r="AS21" i="7"/>
  <c r="AS22" i="7" l="1"/>
  <c r="AS25" i="7" l="1"/>
  <c r="AS26" i="7"/>
  <c r="AS31" i="7" s="1"/>
  <c r="AS32" i="7" s="1"/>
  <c r="AS33" i="7" l="1"/>
  <c r="AS8" i="9" s="1"/>
  <c r="AS28" i="7"/>
  <c r="AS27" i="7"/>
  <c r="AS29" i="7" l="1"/>
  <c r="AT24" i="7" s="1"/>
  <c r="AS8" i="8"/>
  <c r="AS30" i="7" l="1"/>
  <c r="AS10" i="8"/>
  <c r="AS25" i="8" s="1"/>
  <c r="AS6" i="11"/>
  <c r="AS7" i="10"/>
  <c r="AS12" i="8"/>
  <c r="AS9" i="9" l="1"/>
  <c r="AQ12" i="9" s="1"/>
  <c r="AQ15" i="9" s="1"/>
  <c r="AS8" i="10"/>
  <c r="AS26" i="8"/>
  <c r="AS27" i="8" s="1"/>
  <c r="AT23" i="8" s="1"/>
  <c r="AT9" i="10" s="1"/>
  <c r="AS10" i="9" l="1"/>
  <c r="AQ18" i="9"/>
  <c r="AQ43" i="5"/>
  <c r="AQ44" i="5" s="1"/>
  <c r="AT24" i="8"/>
  <c r="AT20" i="7" s="1"/>
  <c r="AQ19" i="9" l="1"/>
  <c r="AR14" i="9" s="1"/>
  <c r="AR17" i="9" s="1"/>
  <c r="AQ24" i="9"/>
  <c r="AQ30" i="9" s="1"/>
  <c r="AT21" i="7"/>
  <c r="AT22" i="7" l="1"/>
  <c r="AT26" i="7" l="1"/>
  <c r="AT31" i="7" s="1"/>
  <c r="AT32" i="7" s="1"/>
  <c r="AT33" i="7" s="1"/>
  <c r="AT25" i="7"/>
  <c r="AT8" i="8" l="1"/>
  <c r="AT8" i="9"/>
  <c r="AT28" i="7"/>
  <c r="AT27" i="7"/>
  <c r="AT10" i="8" l="1"/>
  <c r="AT25" i="8" s="1"/>
  <c r="AT6" i="11"/>
  <c r="AT7" i="10"/>
  <c r="AT29" i="7"/>
  <c r="AU24" i="7" s="1"/>
  <c r="AT12" i="8" l="1"/>
  <c r="AT8" i="10"/>
  <c r="AT26" i="8"/>
  <c r="AT27" i="8" s="1"/>
  <c r="AU23" i="8" s="1"/>
  <c r="AT9" i="9"/>
  <c r="AT30" i="7"/>
  <c r="AU24" i="8" l="1"/>
  <c r="AU20" i="7" s="1"/>
  <c r="AU21" i="7" s="1"/>
  <c r="AU22" i="7" s="1"/>
  <c r="AU9" i="10"/>
  <c r="AR12" i="9"/>
  <c r="AR15" i="9" s="1"/>
  <c r="AT10" i="9"/>
  <c r="AU25" i="7" l="1"/>
  <c r="AU26" i="7"/>
  <c r="AU31" i="7" s="1"/>
  <c r="AU32" i="7" s="1"/>
  <c r="AU33" i="7" s="1"/>
  <c r="AR18" i="9"/>
  <c r="AR43" i="5"/>
  <c r="AR44" i="5" s="1"/>
  <c r="AR19" i="9" l="1"/>
  <c r="AS14" i="9" s="1"/>
  <c r="AS17" i="9" s="1"/>
  <c r="AR24" i="9"/>
  <c r="AR30" i="9" s="1"/>
  <c r="AU8" i="8"/>
  <c r="AU8" i="9"/>
  <c r="AU27" i="7"/>
  <c r="AU28" i="7"/>
  <c r="AU29" i="7" s="1"/>
  <c r="AU10" i="8" l="1"/>
  <c r="AU25" i="8" s="1"/>
  <c r="AU6" i="11"/>
  <c r="AU7" i="10"/>
  <c r="AU30" i="7"/>
  <c r="AV24" i="7"/>
  <c r="AU12" i="8" l="1"/>
  <c r="AU8" i="10" l="1"/>
  <c r="AU9" i="9"/>
  <c r="AU26" i="8"/>
  <c r="AU27" i="8" s="1"/>
  <c r="AV23" i="8" s="1"/>
  <c r="AV9" i="10" l="1"/>
  <c r="AV24" i="8"/>
  <c r="AV20" i="7" s="1"/>
  <c r="AV21" i="7" s="1"/>
  <c r="AV22" i="7" s="1"/>
  <c r="AS12" i="9"/>
  <c r="AS15" i="9" s="1"/>
  <c r="AU10" i="9"/>
  <c r="AS18" i="9" l="1"/>
  <c r="AS43" i="5"/>
  <c r="AS44" i="5" s="1"/>
  <c r="AV25" i="7"/>
  <c r="AV26" i="7"/>
  <c r="AV31" i="7" s="1"/>
  <c r="AV32" i="7" s="1"/>
  <c r="AV33" i="7" s="1"/>
  <c r="AV8" i="9" s="1"/>
  <c r="AV8" i="8" l="1"/>
  <c r="AV28" i="7"/>
  <c r="AV27" i="7"/>
  <c r="AS19" i="9"/>
  <c r="AT14" i="9" s="1"/>
  <c r="AT17" i="9" s="1"/>
  <c r="AS24" i="9"/>
  <c r="AS30" i="9" s="1"/>
  <c r="AV29" i="7" l="1"/>
  <c r="AW24" i="7" s="1"/>
  <c r="AV10" i="8"/>
  <c r="AV25" i="8" s="1"/>
  <c r="AV6" i="11"/>
  <c r="AV7" i="10"/>
  <c r="AV30" i="7" l="1"/>
  <c r="AV12" i="8"/>
  <c r="AV9" i="9" l="1"/>
  <c r="AV8" i="10"/>
  <c r="AV26" i="8"/>
  <c r="AV27" i="8" s="1"/>
  <c r="AW23" i="8" s="1"/>
  <c r="AW9" i="10" l="1"/>
  <c r="AW24" i="8"/>
  <c r="AW20" i="7" s="1"/>
  <c r="AW21" i="7" s="1"/>
  <c r="AW22" i="7" s="1"/>
  <c r="AT12" i="9"/>
  <c r="AT15" i="9" s="1"/>
  <c r="AV10" i="9"/>
  <c r="AT43" i="5" l="1"/>
  <c r="AT44" i="5" s="1"/>
  <c r="AT18" i="9"/>
  <c r="AW25" i="7"/>
  <c r="AW26" i="7"/>
  <c r="AT19" i="9" l="1"/>
  <c r="AU14" i="9" s="1"/>
  <c r="AU17" i="9" s="1"/>
  <c r="AT24" i="9"/>
  <c r="AT30" i="9" s="1"/>
  <c r="AW28" i="7"/>
  <c r="AW27" i="7"/>
  <c r="AW31" i="7"/>
  <c r="AW32" i="7" s="1"/>
  <c r="AW33" i="7" l="1"/>
  <c r="AW8" i="9" s="1"/>
  <c r="AW29" i="7"/>
  <c r="AX24" i="7" s="1"/>
  <c r="AW30" i="7" l="1"/>
  <c r="AW8" i="8"/>
  <c r="AW10" i="8" l="1"/>
  <c r="AW25" i="8" s="1"/>
  <c r="AW6" i="11"/>
  <c r="AW7" i="10"/>
  <c r="AW12" i="8" l="1"/>
  <c r="AW9" i="9"/>
  <c r="AW8" i="10"/>
  <c r="AU12" i="9"/>
  <c r="AU15" i="9" s="1"/>
  <c r="AW10" i="9"/>
  <c r="AW26" i="8"/>
  <c r="AW27" i="8" s="1"/>
  <c r="AX23" i="8" s="1"/>
  <c r="AX9" i="10" s="1"/>
  <c r="AU18" i="9" l="1"/>
  <c r="AU43" i="5"/>
  <c r="AU44" i="5" s="1"/>
  <c r="AX24" i="8"/>
  <c r="AX20" i="7" s="1"/>
  <c r="AU19" i="9" l="1"/>
  <c r="AV14" i="9" s="1"/>
  <c r="AV17" i="9" s="1"/>
  <c r="AU24" i="9"/>
  <c r="AU30" i="9" s="1"/>
  <c r="AX21" i="7"/>
  <c r="AX22" i="7" l="1"/>
  <c r="AX25" i="7" l="1"/>
  <c r="AX26" i="7"/>
  <c r="AX31" i="7" s="1"/>
  <c r="AX32" i="7" s="1"/>
  <c r="AX33" i="7" l="1"/>
  <c r="AX8" i="9" s="1"/>
  <c r="AX28" i="7"/>
  <c r="AX27" i="7"/>
  <c r="AX29" i="7" l="1"/>
  <c r="AY24" i="7" s="1"/>
  <c r="AX8" i="8"/>
  <c r="AX10" i="8" l="1"/>
  <c r="AX25" i="8" s="1"/>
  <c r="AX6" i="11"/>
  <c r="AX7" i="10"/>
  <c r="AX30" i="7"/>
  <c r="AX12" i="8" l="1"/>
  <c r="AX9" i="9"/>
  <c r="AV12" i="9" s="1"/>
  <c r="AV15" i="9" s="1"/>
  <c r="AV43" i="5" s="1"/>
  <c r="AV44" i="5" s="1"/>
  <c r="AX8" i="10"/>
  <c r="AX26" i="8"/>
  <c r="AX27" i="8" s="1"/>
  <c r="AY23" i="8" s="1"/>
  <c r="AY9" i="10" s="1"/>
  <c r="AX10" i="9" l="1"/>
  <c r="AV18" i="9"/>
  <c r="AY24" i="8"/>
  <c r="AY20" i="7" s="1"/>
  <c r="AV19" i="9" l="1"/>
  <c r="AW14" i="9" s="1"/>
  <c r="AW17" i="9" s="1"/>
  <c r="AV24" i="9"/>
  <c r="AV30" i="9" s="1"/>
  <c r="AY21" i="7"/>
  <c r="AY22" i="7" l="1"/>
  <c r="AY26" i="7" l="1"/>
  <c r="AY31" i="7" s="1"/>
  <c r="AY32" i="7" s="1"/>
  <c r="AY25" i="7"/>
  <c r="AY28" i="7" l="1"/>
  <c r="AY27" i="7"/>
  <c r="AY33" i="7"/>
  <c r="AY8" i="9" s="1"/>
  <c r="AY29" i="7" l="1"/>
  <c r="AZ24" i="7" s="1"/>
  <c r="AY8" i="8"/>
  <c r="AY10" i="8" l="1"/>
  <c r="AY25" i="8" s="1"/>
  <c r="AY6" i="11"/>
  <c r="AY7" i="10"/>
  <c r="AY30" i="7"/>
  <c r="AY12" i="8" l="1"/>
  <c r="AY9" i="9"/>
  <c r="AY10" i="9" s="1"/>
  <c r="AY8" i="10"/>
  <c r="AY26" i="8"/>
  <c r="AY27" i="8" s="1"/>
  <c r="AZ23" i="8" s="1"/>
  <c r="AZ9" i="10" s="1"/>
  <c r="AW12" i="9" l="1"/>
  <c r="AW15" i="9" s="1"/>
  <c r="AW18" i="9" s="1"/>
  <c r="AZ24" i="8"/>
  <c r="AZ20" i="7" s="1"/>
  <c r="AW43" i="5" l="1"/>
  <c r="AW44" i="5" s="1"/>
  <c r="AW19" i="9"/>
  <c r="AX14" i="9" s="1"/>
  <c r="AX17" i="9" s="1"/>
  <c r="AW24" i="9"/>
  <c r="AW30" i="9" s="1"/>
  <c r="AZ21" i="7"/>
  <c r="AZ22" i="7" l="1"/>
  <c r="AZ25" i="7" l="1"/>
  <c r="AZ26" i="7"/>
  <c r="AZ31" i="7" s="1"/>
  <c r="AZ32" i="7" s="1"/>
  <c r="AZ33" i="7" l="1"/>
  <c r="AZ8" i="9" s="1"/>
  <c r="AZ28" i="7"/>
  <c r="AZ27" i="7"/>
  <c r="AZ29" i="7" l="1"/>
  <c r="BA24" i="7" s="1"/>
  <c r="AZ8" i="8"/>
  <c r="AZ10" i="8" l="1"/>
  <c r="AZ25" i="8" s="1"/>
  <c r="AZ6" i="11"/>
  <c r="AZ7" i="10"/>
  <c r="AZ30" i="7"/>
  <c r="AZ12" i="8" l="1"/>
  <c r="AZ9" i="9"/>
  <c r="AX12" i="9" s="1"/>
  <c r="AX15" i="9" s="1"/>
  <c r="AZ8" i="10"/>
  <c r="AZ26" i="8"/>
  <c r="AZ27" i="8" s="1"/>
  <c r="BA23" i="8" s="1"/>
  <c r="BA9" i="10" s="1"/>
  <c r="AZ10" i="9" l="1"/>
  <c r="AX18" i="9"/>
  <c r="AX43" i="5"/>
  <c r="AX44" i="5" s="1"/>
  <c r="BA24" i="8"/>
  <c r="BA20" i="7" s="1"/>
  <c r="AX19" i="9" l="1"/>
  <c r="AY14" i="9" s="1"/>
  <c r="AY17" i="9" s="1"/>
  <c r="AX24" i="9"/>
  <c r="AX30" i="9" s="1"/>
  <c r="BA21" i="7"/>
  <c r="BA22" i="7" l="1"/>
  <c r="BA26" i="7" l="1"/>
  <c r="BA31" i="7" s="1"/>
  <c r="BA32" i="7" s="1"/>
  <c r="BA33" i="7" s="1"/>
  <c r="BA25" i="7"/>
  <c r="BA8" i="8" l="1"/>
  <c r="BA8" i="9"/>
  <c r="BA28" i="7"/>
  <c r="BA27" i="7"/>
  <c r="BA10" i="8" l="1"/>
  <c r="BA25" i="8" s="1"/>
  <c r="BA6" i="11"/>
  <c r="BA7" i="10"/>
  <c r="BA29" i="7"/>
  <c r="BB24" i="7" s="1"/>
  <c r="BA12" i="8" l="1"/>
  <c r="BA30" i="7"/>
  <c r="BA8" i="10" l="1"/>
  <c r="BA26" i="8"/>
  <c r="BA27" i="8" s="1"/>
  <c r="BB23" i="8" s="1"/>
  <c r="BA9" i="9"/>
  <c r="BA10" i="9" l="1"/>
  <c r="AY12" i="9"/>
  <c r="AY15" i="9" s="1"/>
  <c r="BB9" i="10"/>
  <c r="BB24" i="8"/>
  <c r="BB20" i="7" s="1"/>
  <c r="BB21" i="7" s="1"/>
  <c r="BB22" i="7" s="1"/>
  <c r="BB25" i="7" l="1"/>
  <c r="BB26" i="7"/>
  <c r="BB31" i="7" s="1"/>
  <c r="BB32" i="7" s="1"/>
  <c r="BB33" i="7" s="1"/>
  <c r="AY43" i="5"/>
  <c r="AY44" i="5" s="1"/>
  <c r="AY18" i="9"/>
  <c r="BB28" i="7"/>
  <c r="BB8" i="8" l="1"/>
  <c r="BB8" i="9"/>
  <c r="AY19" i="9"/>
  <c r="AZ14" i="9" s="1"/>
  <c r="AZ17" i="9" s="1"/>
  <c r="AY24" i="9"/>
  <c r="AY30" i="9" s="1"/>
  <c r="BB27" i="7"/>
  <c r="BB29" i="7" s="1"/>
  <c r="BC24" i="7" l="1"/>
  <c r="BB30" i="7"/>
  <c r="BB10" i="8"/>
  <c r="BB25" i="8" s="1"/>
  <c r="BB6" i="11"/>
  <c r="BB7" i="10"/>
  <c r="BB12" i="8" l="1"/>
  <c r="BB8" i="10" l="1"/>
  <c r="BB26" i="8"/>
  <c r="BB27" i="8" s="1"/>
  <c r="BC23" i="8" s="1"/>
  <c r="BB9" i="9"/>
  <c r="AZ12" i="9" l="1"/>
  <c r="AZ15" i="9" s="1"/>
  <c r="BB10" i="9"/>
  <c r="BC9" i="10"/>
  <c r="BC24" i="8"/>
  <c r="BC20" i="7" s="1"/>
  <c r="BC21" i="7" s="1"/>
  <c r="BC22" i="7" s="1"/>
  <c r="BC25" i="7" l="1"/>
  <c r="BC28" i="7" s="1"/>
  <c r="BC26" i="7"/>
  <c r="AZ18" i="9"/>
  <c r="AZ43" i="5"/>
  <c r="AZ44" i="5" s="1"/>
  <c r="AZ19" i="9" l="1"/>
  <c r="BA14" i="9" s="1"/>
  <c r="BA17" i="9" s="1"/>
  <c r="AZ24" i="9"/>
  <c r="AZ30" i="9" s="1"/>
  <c r="BC27" i="7"/>
  <c r="BC31" i="7"/>
  <c r="BC32" i="7" s="1"/>
  <c r="BC33" i="7" s="1"/>
  <c r="BC8" i="9" l="1"/>
  <c r="BC8" i="8"/>
  <c r="BC29" i="7"/>
  <c r="BD24" i="7" s="1"/>
  <c r="BC30" i="7" l="1"/>
  <c r="BC10" i="8"/>
  <c r="BC25" i="8" s="1"/>
  <c r="BC6" i="11"/>
  <c r="BC7" i="10"/>
  <c r="BC12" i="8" l="1"/>
  <c r="BC9" i="9" l="1"/>
  <c r="BC8" i="10"/>
  <c r="BC26" i="8"/>
  <c r="BC27" i="8" s="1"/>
  <c r="BD23" i="8" s="1"/>
  <c r="BD9" i="10" l="1"/>
  <c r="BD24" i="8"/>
  <c r="BD20" i="7" s="1"/>
  <c r="BD21" i="7" s="1"/>
  <c r="BD22" i="7" s="1"/>
  <c r="BA12" i="9"/>
  <c r="BA15" i="9" s="1"/>
  <c r="BC10" i="9"/>
  <c r="BA43" i="5" l="1"/>
  <c r="BA44" i="5" s="1"/>
  <c r="BA18" i="9"/>
  <c r="BD25" i="7"/>
  <c r="BD26" i="7"/>
  <c r="BD31" i="7" s="1"/>
  <c r="BD32" i="7" s="1"/>
  <c r="BD33" i="7" s="1"/>
  <c r="BD8" i="9" s="1"/>
  <c r="BD27" i="7" l="1"/>
  <c r="BD28" i="7"/>
  <c r="BA19" i="9"/>
  <c r="BB14" i="9" s="1"/>
  <c r="BB17" i="9" s="1"/>
  <c r="BA24" i="9"/>
  <c r="BA30" i="9" s="1"/>
  <c r="BD8" i="8"/>
  <c r="BD10" i="8" l="1"/>
  <c r="BD25" i="8" s="1"/>
  <c r="BD6" i="11"/>
  <c r="BD7" i="10"/>
  <c r="BD29" i="7"/>
  <c r="BD12" i="8" l="1"/>
  <c r="BD9" i="9"/>
  <c r="BB12" i="9" s="1"/>
  <c r="BB15" i="9" s="1"/>
  <c r="BD8" i="10"/>
  <c r="BE24" i="7"/>
  <c r="BD30" i="7"/>
  <c r="BD26" i="8"/>
  <c r="BD27" i="8" s="1"/>
  <c r="BE23" i="8" s="1"/>
  <c r="BE9" i="10" s="1"/>
  <c r="BD10" i="9" l="1"/>
  <c r="BB18" i="9"/>
  <c r="BB43" i="5"/>
  <c r="BB44" i="5" s="1"/>
  <c r="BE24" i="8"/>
  <c r="BE20" i="7" s="1"/>
  <c r="BB19" i="9" l="1"/>
  <c r="BC14" i="9" s="1"/>
  <c r="BC17" i="9" s="1"/>
  <c r="BB24" i="9"/>
  <c r="BB30" i="9" s="1"/>
  <c r="BE21" i="7"/>
  <c r="BE22" i="7" l="1"/>
  <c r="BE25" i="7" l="1"/>
  <c r="BE26" i="7"/>
  <c r="BE31" i="7" s="1"/>
  <c r="BE32" i="7" s="1"/>
  <c r="BE33" i="7" l="1"/>
  <c r="BE8" i="9" s="1"/>
  <c r="BE28" i="7"/>
  <c r="BE27" i="7"/>
  <c r="BE29" i="7" l="1"/>
  <c r="BF24" i="7" s="1"/>
  <c r="BE8" i="8"/>
  <c r="BE10" i="8" l="1"/>
  <c r="BE25" i="8" s="1"/>
  <c r="BE6" i="11"/>
  <c r="BE7" i="10"/>
  <c r="BE30" i="7"/>
  <c r="BE12" i="8" l="1"/>
  <c r="BE9" i="9"/>
  <c r="BC12" i="9" s="1"/>
  <c r="BC15" i="9" s="1"/>
  <c r="BE8" i="10"/>
  <c r="BE26" i="8"/>
  <c r="BE27" i="8" s="1"/>
  <c r="BF23" i="8" s="1"/>
  <c r="BF9" i="10" s="1"/>
  <c r="BE10" i="9" l="1"/>
  <c r="BC18" i="9"/>
  <c r="BC43" i="5"/>
  <c r="BC44" i="5" s="1"/>
  <c r="BF24" i="8"/>
  <c r="BF20" i="7" s="1"/>
  <c r="BC19" i="9" l="1"/>
  <c r="BD14" i="9" s="1"/>
  <c r="BD17" i="9" s="1"/>
  <c r="BC24" i="9"/>
  <c r="BC30" i="9" s="1"/>
  <c r="BF21" i="7"/>
  <c r="BF22" i="7" l="1"/>
  <c r="BF26" i="7" l="1"/>
  <c r="BF31" i="7"/>
  <c r="BF32" i="7" s="1"/>
  <c r="BF25" i="7"/>
  <c r="BF28" i="7" l="1"/>
  <c r="BF27" i="7"/>
  <c r="BF33" i="7"/>
  <c r="BF8" i="9" s="1"/>
  <c r="BF29" i="7" l="1"/>
  <c r="BG24" i="7" s="1"/>
  <c r="BF8" i="8"/>
  <c r="BF10" i="8" l="1"/>
  <c r="BF25" i="8" s="1"/>
  <c r="BF6" i="11"/>
  <c r="BF7" i="10"/>
  <c r="BF30" i="7"/>
  <c r="BF12" i="8" l="1"/>
  <c r="BF9" i="9"/>
  <c r="BD12" i="9" s="1"/>
  <c r="BD15" i="9" s="1"/>
  <c r="BF8" i="10"/>
  <c r="BF26" i="8"/>
  <c r="BF27" i="8" s="1"/>
  <c r="BG23" i="8" s="1"/>
  <c r="BG9" i="10" s="1"/>
  <c r="BF10" i="9" l="1"/>
  <c r="BD18" i="9"/>
  <c r="BD43" i="5"/>
  <c r="BD44" i="5" s="1"/>
  <c r="BG24" i="8"/>
  <c r="BG20" i="7" s="1"/>
  <c r="BD19" i="9" l="1"/>
  <c r="BE14" i="9" s="1"/>
  <c r="BE17" i="9" s="1"/>
  <c r="BD24" i="9"/>
  <c r="BD30" i="9" s="1"/>
  <c r="BG21" i="7"/>
  <c r="BG22" i="7" l="1"/>
  <c r="BG26" i="7" l="1"/>
  <c r="BG31" i="7" s="1"/>
  <c r="BG32" i="7" s="1"/>
  <c r="BG25" i="7"/>
  <c r="BG33" i="7" l="1"/>
  <c r="BG8" i="9" s="1"/>
  <c r="BG28" i="7"/>
  <c r="BG27" i="7"/>
  <c r="BG29" i="7" l="1"/>
  <c r="BH24" i="7" s="1"/>
  <c r="BG8" i="8"/>
  <c r="BG30" i="7" l="1"/>
  <c r="BG10" i="8"/>
  <c r="BG25" i="8" s="1"/>
  <c r="BG6" i="11"/>
  <c r="BG7" i="10"/>
  <c r="BG12" i="8"/>
  <c r="BG9" i="9" l="1"/>
  <c r="BE12" i="9" s="1"/>
  <c r="BE15" i="9" s="1"/>
  <c r="BG8" i="10"/>
  <c r="BG26" i="8"/>
  <c r="BG27" i="8" s="1"/>
  <c r="BH23" i="8" s="1"/>
  <c r="BH9" i="10" s="1"/>
  <c r="BG10" i="9" l="1"/>
  <c r="BE18" i="9"/>
  <c r="BE43" i="5"/>
  <c r="BE44" i="5" s="1"/>
  <c r="BH24" i="8"/>
  <c r="BH20" i="7" s="1"/>
  <c r="BE19" i="9" l="1"/>
  <c r="BF14" i="9" s="1"/>
  <c r="BF17" i="9" s="1"/>
  <c r="BE24" i="9"/>
  <c r="BE30" i="9" s="1"/>
  <c r="BH21" i="7"/>
  <c r="BH22" i="7" l="1"/>
  <c r="BH26" i="7" l="1"/>
  <c r="BH31" i="7" s="1"/>
  <c r="BH32" i="7" s="1"/>
  <c r="BH33" i="7" s="1"/>
  <c r="BH25" i="7"/>
  <c r="BH8" i="8" l="1"/>
  <c r="BH8" i="9"/>
  <c r="BH28" i="7"/>
  <c r="BH27" i="7"/>
  <c r="BH10" i="8" l="1"/>
  <c r="BH25" i="8" s="1"/>
  <c r="BH6" i="11"/>
  <c r="BH7" i="10"/>
  <c r="BH29" i="7"/>
  <c r="BI24" i="7" s="1"/>
  <c r="BH30" i="7" l="1"/>
  <c r="BH12" i="8"/>
  <c r="BH8" i="10" l="1"/>
  <c r="BH26" i="8"/>
  <c r="BH27" i="8" s="1"/>
  <c r="BI23" i="8" s="1"/>
  <c r="BH9" i="9"/>
  <c r="BH10" i="9" l="1"/>
  <c r="BF12" i="9"/>
  <c r="BF15" i="9" s="1"/>
  <c r="BI9" i="10"/>
  <c r="BI24" i="8"/>
  <c r="BI20" i="7" s="1"/>
  <c r="BI21" i="7" s="1"/>
  <c r="BI22" i="7" s="1"/>
  <c r="BI25" i="7" l="1"/>
  <c r="BI26" i="7"/>
  <c r="BI31" i="7" s="1"/>
  <c r="BI32" i="7" s="1"/>
  <c r="BI33" i="7" s="1"/>
  <c r="BF18" i="9"/>
  <c r="BF43" i="5"/>
  <c r="BF44" i="5" s="1"/>
  <c r="BI28" i="7"/>
  <c r="BF19" i="9" l="1"/>
  <c r="BG14" i="9" s="1"/>
  <c r="BG17" i="9" s="1"/>
  <c r="BF24" i="9"/>
  <c r="BF30" i="9" s="1"/>
  <c r="BI8" i="8"/>
  <c r="BI8" i="9"/>
  <c r="BI27" i="7"/>
  <c r="BI29" i="7" s="1"/>
  <c r="BJ24" i="7" l="1"/>
  <c r="BI30" i="7"/>
  <c r="BI10" i="8"/>
  <c r="BI25" i="8" s="1"/>
  <c r="BI6" i="11"/>
  <c r="BI7" i="10"/>
  <c r="BI12" i="8" l="1"/>
  <c r="BI8" i="10" l="1"/>
  <c r="BI26" i="8"/>
  <c r="BI27" i="8" s="1"/>
  <c r="BJ23" i="8" s="1"/>
  <c r="BI9" i="9"/>
  <c r="BG12" i="9" l="1"/>
  <c r="BG15" i="9" s="1"/>
  <c r="BI10" i="9"/>
  <c r="BJ9" i="10"/>
  <c r="BJ24" i="8"/>
  <c r="BJ20" i="7" s="1"/>
  <c r="BJ21" i="7" s="1"/>
  <c r="BJ22" i="7" s="1"/>
  <c r="BJ25" i="7" l="1"/>
  <c r="BJ28" i="7" s="1"/>
  <c r="BJ26" i="7"/>
  <c r="BG43" i="5"/>
  <c r="BG44" i="5" s="1"/>
  <c r="BG18" i="9"/>
  <c r="BG24" i="9" s="1"/>
  <c r="BG30" i="9" s="1"/>
  <c r="BG19" i="9" l="1"/>
  <c r="BH14" i="9" s="1"/>
  <c r="BH17" i="9" s="1"/>
  <c r="BJ27" i="7"/>
  <c r="BJ31" i="7"/>
  <c r="BJ32" i="7" s="1"/>
  <c r="BJ33" i="7" s="1"/>
  <c r="BJ8" i="9" l="1"/>
  <c r="BJ8" i="8"/>
  <c r="BJ29" i="7"/>
  <c r="BK24" i="7" s="1"/>
  <c r="BJ30" i="7" l="1"/>
  <c r="BJ10" i="8"/>
  <c r="BJ25" i="8" s="1"/>
  <c r="BJ6" i="11"/>
  <c r="BJ7" i="10"/>
  <c r="BJ12" i="8" l="1"/>
  <c r="BJ9" i="9" l="1"/>
  <c r="BJ8" i="10"/>
  <c r="BJ26" i="8"/>
  <c r="BJ27" i="8" s="1"/>
  <c r="BK23" i="8" s="1"/>
  <c r="BK9" i="10" l="1"/>
  <c r="BK24" i="8"/>
  <c r="BK20" i="7" s="1"/>
  <c r="BK21" i="7" s="1"/>
  <c r="BK22" i="7" s="1"/>
  <c r="BH12" i="9"/>
  <c r="BH15" i="9" s="1"/>
  <c r="BJ10" i="9"/>
  <c r="BH43" i="5" l="1"/>
  <c r="BH44" i="5" s="1"/>
  <c r="BH18" i="9"/>
  <c r="BK25" i="7"/>
  <c r="BK26" i="7"/>
  <c r="BK31" i="7" s="1"/>
  <c r="BK32" i="7" s="1"/>
  <c r="BK33" i="7" s="1"/>
  <c r="BK8" i="9" s="1"/>
  <c r="BK28" i="7" l="1"/>
  <c r="BK27" i="7"/>
  <c r="BH19" i="9"/>
  <c r="BI14" i="9" s="1"/>
  <c r="BI17" i="9" s="1"/>
  <c r="BH24" i="9"/>
  <c r="BH30" i="9" s="1"/>
  <c r="BK8" i="8"/>
  <c r="BK10" i="8" l="1"/>
  <c r="BK25" i="8" s="1"/>
  <c r="BK6" i="11"/>
  <c r="BK7" i="10"/>
  <c r="BK29" i="7"/>
  <c r="BK12" i="8" l="1"/>
  <c r="BK9" i="9"/>
  <c r="BK8" i="10"/>
  <c r="BL24" i="7"/>
  <c r="BK30" i="7"/>
  <c r="BI12" i="9"/>
  <c r="BI15" i="9" s="1"/>
  <c r="BK10" i="9"/>
  <c r="BK26" i="8"/>
  <c r="BK27" i="8" s="1"/>
  <c r="BL23" i="8" s="1"/>
  <c r="BL9" i="10" s="1"/>
  <c r="BI18" i="9" l="1"/>
  <c r="BI43" i="5"/>
  <c r="BI44" i="5" s="1"/>
  <c r="BL24" i="8"/>
  <c r="BL20" i="7" s="1"/>
  <c r="BI19" i="9" l="1"/>
  <c r="BJ14" i="9" s="1"/>
  <c r="BJ17" i="9" s="1"/>
  <c r="BI24" i="9"/>
  <c r="BI30" i="9" s="1"/>
  <c r="BL21" i="7"/>
  <c r="BL22" i="7" l="1"/>
  <c r="BL25" i="7" l="1"/>
  <c r="BL26" i="7"/>
  <c r="BL31" i="7"/>
  <c r="BL32" i="7" s="1"/>
  <c r="BL33" i="7" l="1"/>
  <c r="BL8" i="9" s="1"/>
  <c r="BL28" i="7"/>
  <c r="BL27" i="7"/>
  <c r="BL29" i="7" l="1"/>
  <c r="BM24" i="7" s="1"/>
  <c r="BL8" i="8"/>
  <c r="BL10" i="8" l="1"/>
  <c r="BL25" i="8" s="1"/>
  <c r="BL6" i="11"/>
  <c r="BL7" i="10"/>
  <c r="BL30" i="7"/>
  <c r="BL12" i="8" l="1"/>
  <c r="BL9" i="9"/>
  <c r="BJ12" i="9" s="1"/>
  <c r="BJ15" i="9" s="1"/>
  <c r="BJ43" i="5" s="1"/>
  <c r="BJ44" i="5" s="1"/>
  <c r="BL8" i="10"/>
  <c r="BL26" i="8"/>
  <c r="BL27" i="8" s="1"/>
  <c r="BM23" i="8" s="1"/>
  <c r="BM9" i="10" s="1"/>
  <c r="BL10" i="9" l="1"/>
  <c r="BJ18" i="9"/>
  <c r="BM24" i="8"/>
  <c r="BM20" i="7" s="1"/>
  <c r="BJ19" i="9" l="1"/>
  <c r="BK14" i="9" s="1"/>
  <c r="BK17" i="9" s="1"/>
  <c r="BJ24" i="9"/>
  <c r="BJ30" i="9" s="1"/>
  <c r="BM21" i="7"/>
  <c r="BM22" i="7" l="1"/>
  <c r="BM26" i="7" l="1"/>
  <c r="BM31" i="7" s="1"/>
  <c r="BM32" i="7" s="1"/>
  <c r="BM25" i="7"/>
  <c r="BM28" i="7" l="1"/>
  <c r="BM27" i="7"/>
  <c r="BM33" i="7"/>
  <c r="BM8" i="9" s="1"/>
  <c r="BM8" i="8" l="1"/>
  <c r="BM29" i="7"/>
  <c r="BN24" i="7" s="1"/>
  <c r="BM10" i="8" l="1"/>
  <c r="BM25" i="8" s="1"/>
  <c r="BM6" i="11"/>
  <c r="BM7" i="10"/>
  <c r="BM30" i="7"/>
  <c r="BM12" i="8" l="1"/>
  <c r="BM9" i="9"/>
  <c r="BM8" i="10"/>
  <c r="BM26" i="8"/>
  <c r="BM27" i="8" s="1"/>
  <c r="BN23" i="8" s="1"/>
  <c r="BN9" i="10" s="1"/>
  <c r="BM10" i="9" l="1"/>
  <c r="BK12" i="9"/>
  <c r="BK15" i="9" s="1"/>
  <c r="BK18" i="9" s="1"/>
  <c r="BK43" i="5"/>
  <c r="BK44" i="5" s="1"/>
  <c r="BN24" i="8"/>
  <c r="BN20" i="7" s="1"/>
  <c r="BK19" i="9" l="1"/>
  <c r="BL14" i="9" s="1"/>
  <c r="BL17" i="9" s="1"/>
  <c r="BK24" i="9"/>
  <c r="BK30" i="9" s="1"/>
  <c r="BN21" i="7"/>
  <c r="BN22" i="7" l="1"/>
  <c r="BN25" i="7" l="1"/>
  <c r="BN26" i="7"/>
  <c r="BN31" i="7" s="1"/>
  <c r="BN32" i="7" s="1"/>
  <c r="BN33" i="7" l="1"/>
  <c r="BN8" i="9" s="1"/>
  <c r="BN28" i="7"/>
  <c r="BN27" i="7"/>
  <c r="BN29" i="7" l="1"/>
  <c r="BO24" i="7" s="1"/>
  <c r="BN8" i="8"/>
  <c r="BN30" i="7" l="1"/>
  <c r="BN10" i="8"/>
  <c r="BN25" i="8" s="1"/>
  <c r="BN6" i="11"/>
  <c r="BN7" i="10"/>
  <c r="BN12" i="8"/>
  <c r="BN9" i="9" l="1"/>
  <c r="BL12" i="9" s="1"/>
  <c r="BL15" i="9" s="1"/>
  <c r="BN8" i="10"/>
  <c r="BN26" i="8"/>
  <c r="BN27" i="8" s="1"/>
  <c r="BO23" i="8" s="1"/>
  <c r="BO9" i="10" s="1"/>
  <c r="BN10" i="9" l="1"/>
  <c r="BL18" i="9"/>
  <c r="BL43" i="5"/>
  <c r="BL44" i="5" s="1"/>
  <c r="BO24" i="8"/>
  <c r="BO20" i="7" s="1"/>
  <c r="BL19" i="9" l="1"/>
  <c r="BM14" i="9" s="1"/>
  <c r="BM17" i="9" s="1"/>
  <c r="BL24" i="9"/>
  <c r="BL30" i="9" s="1"/>
  <c r="BO21" i="7"/>
  <c r="BO22" i="7" l="1"/>
  <c r="BO26" i="7" l="1"/>
  <c r="BO31" i="7" s="1"/>
  <c r="BO32" i="7" s="1"/>
  <c r="BO33" i="7" s="1"/>
  <c r="BO25" i="7"/>
  <c r="BO8" i="8" l="1"/>
  <c r="BO8" i="9"/>
  <c r="BO28" i="7"/>
  <c r="BO27" i="7"/>
  <c r="BO10" i="8" l="1"/>
  <c r="BO25" i="8" s="1"/>
  <c r="BO6" i="11"/>
  <c r="BO7" i="10"/>
  <c r="BO29" i="7"/>
  <c r="BP24" i="7" s="1"/>
  <c r="BO12" i="8" l="1"/>
  <c r="BO26" i="8"/>
  <c r="BO27" i="8" s="1"/>
  <c r="BP23" i="8" s="1"/>
  <c r="BO8" i="10"/>
  <c r="BO9" i="9"/>
  <c r="BO10" i="9" s="1"/>
  <c r="BO30" i="7"/>
  <c r="BM12" i="9" l="1"/>
  <c r="BM15" i="9" s="1"/>
  <c r="BM43" i="5" s="1"/>
  <c r="BM44" i="5" s="1"/>
  <c r="BP24" i="8"/>
  <c r="BP20" i="7" s="1"/>
  <c r="BP21" i="7" s="1"/>
  <c r="BP22" i="7" s="1"/>
  <c r="BP9" i="10"/>
  <c r="BM18" i="9" l="1"/>
  <c r="BM24" i="9" s="1"/>
  <c r="BM30" i="9" s="1"/>
  <c r="BM19" i="9"/>
  <c r="BN14" i="9" s="1"/>
  <c r="BN17" i="9" s="1"/>
  <c r="BP25" i="7"/>
  <c r="BP26" i="7"/>
  <c r="BP31" i="7" s="1"/>
  <c r="BP32" i="7" s="1"/>
  <c r="BP33" i="7" s="1"/>
  <c r="BP8" i="9" l="1"/>
  <c r="BP8" i="8"/>
  <c r="BP27" i="7"/>
  <c r="BP28" i="7"/>
  <c r="BP29" i="7" s="1"/>
  <c r="BP10" i="8" l="1"/>
  <c r="BP25" i="8" s="1"/>
  <c r="BP6" i="11"/>
  <c r="BP7" i="10"/>
  <c r="BP30" i="7"/>
  <c r="BQ24" i="7"/>
  <c r="BP12" i="8" l="1"/>
  <c r="BP8" i="10" l="1"/>
  <c r="BP26" i="8"/>
  <c r="BP27" i="8" s="1"/>
  <c r="BQ23" i="8" s="1"/>
  <c r="BP9" i="9"/>
  <c r="BN12" i="9" l="1"/>
  <c r="BN15" i="9" s="1"/>
  <c r="BP10" i="9"/>
  <c r="BQ9" i="10"/>
  <c r="BQ24" i="8"/>
  <c r="BQ20" i="7" s="1"/>
  <c r="BQ21" i="7" s="1"/>
  <c r="BQ22" i="7" s="1"/>
  <c r="BQ25" i="7" l="1"/>
  <c r="BQ28" i="7" s="1"/>
  <c r="BQ26" i="7"/>
  <c r="BN18" i="9"/>
  <c r="BN43" i="5"/>
  <c r="BN44" i="5" s="1"/>
  <c r="BN19" i="9" l="1"/>
  <c r="BO14" i="9" s="1"/>
  <c r="BO17" i="9" s="1"/>
  <c r="BN24" i="9"/>
  <c r="BN30" i="9" s="1"/>
  <c r="BQ27" i="7"/>
  <c r="BQ31" i="7"/>
  <c r="BQ32" i="7" s="1"/>
  <c r="BQ33" i="7" s="1"/>
  <c r="BQ8" i="9" l="1"/>
  <c r="BQ8" i="8"/>
  <c r="BQ29" i="7"/>
  <c r="BR24" i="7" s="1"/>
  <c r="BQ30" i="7" l="1"/>
  <c r="BQ10" i="8"/>
  <c r="BQ25" i="8" s="1"/>
  <c r="BQ6" i="11"/>
  <c r="BQ7" i="10"/>
  <c r="BQ12" i="8" l="1"/>
  <c r="BQ9" i="9" l="1"/>
  <c r="BQ8" i="10"/>
  <c r="BQ26" i="8"/>
  <c r="BQ27" i="8" s="1"/>
  <c r="BR23" i="8" s="1"/>
  <c r="BR9" i="10" l="1"/>
  <c r="BR24" i="8"/>
  <c r="BR20" i="7" s="1"/>
  <c r="BR21" i="7" s="1"/>
  <c r="BR22" i="7" s="1"/>
  <c r="BO12" i="9"/>
  <c r="BO15" i="9" s="1"/>
  <c r="BQ10" i="9"/>
  <c r="BR26" i="7"/>
  <c r="BR25" i="7"/>
  <c r="BO43" i="5" l="1"/>
  <c r="BO44" i="5" s="1"/>
  <c r="BO18" i="9"/>
  <c r="BR28" i="7"/>
  <c r="BR27" i="7"/>
  <c r="BR31" i="7"/>
  <c r="BR32" i="7" s="1"/>
  <c r="BO19" i="9" l="1"/>
  <c r="BP14" i="9" s="1"/>
  <c r="BP17" i="9" s="1"/>
  <c r="BO24" i="9"/>
  <c r="BO30" i="9" s="1"/>
  <c r="BR33" i="7"/>
  <c r="BR8" i="9" s="1"/>
  <c r="BR29" i="7"/>
  <c r="BS24" i="7" s="1"/>
  <c r="BR30" i="7" l="1"/>
  <c r="BR8" i="8"/>
  <c r="BR10" i="8" l="1"/>
  <c r="BR25" i="8" s="1"/>
  <c r="BR6" i="11"/>
  <c r="BR7" i="10"/>
  <c r="BR12" i="8" l="1"/>
  <c r="BR9" i="9"/>
  <c r="BP12" i="9" s="1"/>
  <c r="BP15" i="9" s="1"/>
  <c r="BP43" i="5" s="1"/>
  <c r="BP44" i="5" s="1"/>
  <c r="BR8" i="10"/>
  <c r="BR26" i="8"/>
  <c r="BR27" i="8" s="1"/>
  <c r="BS23" i="8" s="1"/>
  <c r="BS9" i="10" s="1"/>
  <c r="BR10" i="9" l="1"/>
  <c r="BP18" i="9"/>
  <c r="BP24" i="9" s="1"/>
  <c r="BP30" i="9" s="1"/>
  <c r="BS24" i="8"/>
  <c r="BS20" i="7" s="1"/>
  <c r="BP19" i="9" l="1"/>
  <c r="BQ14" i="9" s="1"/>
  <c r="BQ17" i="9" s="1"/>
  <c r="BS21" i="7"/>
  <c r="BS22" i="7" l="1"/>
  <c r="BS25" i="7" l="1"/>
  <c r="BS26" i="7"/>
  <c r="BS31" i="7"/>
  <c r="BS32" i="7" s="1"/>
  <c r="BS33" i="7" l="1"/>
  <c r="BS8" i="9" s="1"/>
  <c r="BS28" i="7"/>
  <c r="BS27" i="7"/>
  <c r="BS29" i="7" l="1"/>
  <c r="BT24" i="7" s="1"/>
  <c r="BS8" i="8"/>
  <c r="BS10" i="8" l="1"/>
  <c r="BS25" i="8" s="1"/>
  <c r="BS6" i="11"/>
  <c r="BS7" i="10"/>
  <c r="BS30" i="7"/>
  <c r="BS12" i="8" l="1"/>
  <c r="BS9" i="9"/>
  <c r="BQ12" i="9" s="1"/>
  <c r="BQ15" i="9" s="1"/>
  <c r="BS8" i="10"/>
  <c r="BS26" i="8"/>
  <c r="BS27" i="8" s="1"/>
  <c r="BT23" i="8" s="1"/>
  <c r="BT9" i="10" s="1"/>
  <c r="BS10" i="9" l="1"/>
  <c r="BQ18" i="9"/>
  <c r="BQ43" i="5"/>
  <c r="BQ44" i="5" s="1"/>
  <c r="BT24" i="8"/>
  <c r="BT20" i="7" s="1"/>
  <c r="BQ19" i="9" l="1"/>
  <c r="BR14" i="9" s="1"/>
  <c r="BR17" i="9" s="1"/>
  <c r="BQ24" i="9"/>
  <c r="BQ30" i="9" s="1"/>
  <c r="BT21" i="7"/>
  <c r="BT22" i="7" l="1"/>
  <c r="BT26" i="7" l="1"/>
  <c r="BT31" i="7" s="1"/>
  <c r="BT32" i="7" s="1"/>
  <c r="BT25" i="7"/>
  <c r="BT28" i="7" l="1"/>
  <c r="BT27" i="7"/>
  <c r="BT33" i="7"/>
  <c r="BT8" i="9" s="1"/>
  <c r="BT8" i="8" l="1"/>
  <c r="BT29" i="7"/>
  <c r="BU24" i="7" s="1"/>
  <c r="BT10" i="8" l="1"/>
  <c r="BT25" i="8" s="1"/>
  <c r="BT6" i="11"/>
  <c r="BT7" i="10"/>
  <c r="BT30" i="7"/>
  <c r="BT12" i="8" l="1"/>
  <c r="BT9" i="9"/>
  <c r="BR12" i="9" s="1"/>
  <c r="BR15" i="9" s="1"/>
  <c r="BT8" i="10"/>
  <c r="BT26" i="8"/>
  <c r="BT27" i="8" s="1"/>
  <c r="BU23" i="8" s="1"/>
  <c r="BU9" i="10" s="1"/>
  <c r="BT10" i="9" l="1"/>
  <c r="BR18" i="9"/>
  <c r="BR43" i="5"/>
  <c r="BR44" i="5" s="1"/>
  <c r="BU24" i="8"/>
  <c r="BR19" i="9" l="1"/>
  <c r="BS14" i="9" s="1"/>
  <c r="BS17" i="9" s="1"/>
  <c r="BR24" i="9"/>
  <c r="BR30" i="9" s="1"/>
  <c r="BU20" i="7"/>
  <c r="C24" i="8"/>
  <c r="BU21" i="7"/>
  <c r="C20" i="7"/>
  <c r="BU22" i="7" l="1"/>
  <c r="C21" i="7"/>
  <c r="BU26" i="7" l="1"/>
  <c r="C26" i="7" s="1"/>
  <c r="BU25" i="7"/>
  <c r="C25" i="7" l="1"/>
  <c r="BU28" i="7"/>
  <c r="BU27" i="7"/>
  <c r="BU31" i="7"/>
  <c r="BU32" i="7" s="1"/>
  <c r="BU33" i="7" l="1"/>
  <c r="BU8" i="9" s="1"/>
  <c r="C35" i="7"/>
  <c r="C21" i="13" s="1"/>
  <c r="C32" i="7"/>
  <c r="BU29" i="7"/>
  <c r="BU30" i="7" s="1"/>
  <c r="C30" i="7" s="1"/>
  <c r="C36" i="7" s="1"/>
  <c r="C22" i="13" s="1"/>
  <c r="BU8" i="8" l="1"/>
  <c r="C33" i="7"/>
  <c r="BU10" i="8" l="1"/>
  <c r="BU25" i="8" s="1"/>
  <c r="BU6" i="11"/>
  <c r="BU7" i="10"/>
  <c r="BU12" i="10" s="1"/>
  <c r="BT12" i="10" s="1"/>
  <c r="BS12" i="10" s="1"/>
  <c r="BR12" i="10" s="1"/>
  <c r="BQ12" i="10" s="1"/>
  <c r="BP12" i="10" s="1"/>
  <c r="BO12" i="10" s="1"/>
  <c r="BN12" i="10" s="1"/>
  <c r="BM12" i="10" s="1"/>
  <c r="BL12" i="10" s="1"/>
  <c r="BK12" i="10" s="1"/>
  <c r="BJ12" i="10" s="1"/>
  <c r="BI12" i="10" s="1"/>
  <c r="BH12" i="10" s="1"/>
  <c r="BG12" i="10" s="1"/>
  <c r="BF12" i="10" s="1"/>
  <c r="BE12" i="10" s="1"/>
  <c r="BD12" i="10" s="1"/>
  <c r="BC12" i="10" s="1"/>
  <c r="BB12" i="10" s="1"/>
  <c r="BA12" i="10" s="1"/>
  <c r="AZ12" i="10" s="1"/>
  <c r="AY12" i="10" s="1"/>
  <c r="AX12" i="10" s="1"/>
  <c r="AW12" i="10" s="1"/>
  <c r="AV12" i="10" s="1"/>
  <c r="AU12" i="10" s="1"/>
  <c r="AT12" i="10" s="1"/>
  <c r="AS12" i="10" s="1"/>
  <c r="AR12" i="10" s="1"/>
  <c r="AQ12" i="10" s="1"/>
  <c r="AP12" i="10" s="1"/>
  <c r="AO12" i="10" s="1"/>
  <c r="AN12" i="10" s="1"/>
  <c r="AM12" i="10" s="1"/>
  <c r="AL12" i="10" s="1"/>
  <c r="AK12" i="10" s="1"/>
  <c r="AJ12" i="10" s="1"/>
  <c r="AI12" i="10" s="1"/>
  <c r="AH12" i="10" s="1"/>
  <c r="AG12" i="10" s="1"/>
  <c r="AF12" i="10" s="1"/>
  <c r="AE12" i="10" s="1"/>
  <c r="C8" i="8"/>
  <c r="C7" i="10" s="1"/>
  <c r="C8" i="9"/>
  <c r="BU12" i="8" l="1"/>
  <c r="C13" i="8" s="1"/>
  <c r="BU26" i="8"/>
  <c r="C10" i="8"/>
  <c r="BU9" i="9"/>
  <c r="BU8" i="10"/>
  <c r="AD12" i="10"/>
  <c r="AE13" i="10"/>
  <c r="C8" i="11"/>
  <c r="C9" i="11" s="1"/>
  <c r="C6" i="11"/>
  <c r="BT12" i="9"/>
  <c r="BT15" i="9" s="1"/>
  <c r="BT43" i="5" s="1"/>
  <c r="BS12" i="9"/>
  <c r="BS15" i="9" s="1"/>
  <c r="BS43" i="5" s="1"/>
  <c r="BS44" i="5" s="1"/>
  <c r="BU10" i="9"/>
  <c r="C25" i="8" l="1"/>
  <c r="C9" i="9" s="1"/>
  <c r="AC12" i="10"/>
  <c r="AD13" i="10"/>
  <c r="BT44" i="5"/>
  <c r="C44" i="5" s="1"/>
  <c r="C56" i="5" s="1"/>
  <c r="C43" i="5"/>
  <c r="BS18" i="9"/>
  <c r="C15" i="9"/>
  <c r="C52" i="5" s="1"/>
  <c r="C53" i="5" s="1"/>
  <c r="BU27" i="8"/>
  <c r="C32" i="8" s="1"/>
  <c r="C26" i="13" s="1"/>
  <c r="C26" i="8"/>
  <c r="C8" i="10" l="1"/>
  <c r="BS19" i="9"/>
  <c r="BT14" i="9" s="1"/>
  <c r="BT17" i="9" s="1"/>
  <c r="BS24" i="9"/>
  <c r="BS30" i="9" s="1"/>
  <c r="AB12" i="10"/>
  <c r="AC13" i="10"/>
  <c r="C57" i="5"/>
  <c r="C59" i="5" s="1"/>
  <c r="C30" i="8"/>
  <c r="C24" i="13" s="1"/>
  <c r="C62" i="5" l="1"/>
  <c r="C14" i="13" s="1"/>
  <c r="C60" i="5"/>
  <c r="BT18" i="9"/>
  <c r="BT19" i="9" s="1"/>
  <c r="BU14" i="9" s="1"/>
  <c r="BU17" i="9" s="1"/>
  <c r="AA12" i="10"/>
  <c r="AB13" i="10"/>
  <c r="C16" i="8"/>
  <c r="C17" i="8"/>
  <c r="C31" i="8" s="1"/>
  <c r="C25" i="13" s="1"/>
  <c r="BT24" i="9" l="1"/>
  <c r="BT30" i="9" s="1"/>
  <c r="Z12" i="10"/>
  <c r="AA13" i="10"/>
  <c r="BU18" i="9"/>
  <c r="BU24" i="9" s="1"/>
  <c r="BU30" i="9" s="1"/>
  <c r="C17" i="9"/>
  <c r="AG18" i="8"/>
  <c r="BI18" i="8"/>
  <c r="AL18" i="8"/>
  <c r="AB18" i="8"/>
  <c r="AD18" i="8"/>
  <c r="BT18" i="8"/>
  <c r="AS18" i="8"/>
  <c r="AA18" i="8"/>
  <c r="O18" i="8"/>
  <c r="AZ18" i="8"/>
  <c r="S18" i="8"/>
  <c r="BU18" i="8"/>
  <c r="BE18" i="8"/>
  <c r="AO18" i="8"/>
  <c r="D18" i="8"/>
  <c r="Q18" i="8"/>
  <c r="BC18" i="8"/>
  <c r="K18" i="8"/>
  <c r="X18" i="8"/>
  <c r="BL18" i="8"/>
  <c r="BB18" i="8"/>
  <c r="P18" i="8"/>
  <c r="H18" i="8"/>
  <c r="W18" i="8"/>
  <c r="AX18" i="8"/>
  <c r="BN18" i="8"/>
  <c r="BO18" i="8"/>
  <c r="F18" i="8"/>
  <c r="T18" i="8"/>
  <c r="AU18" i="8"/>
  <c r="AY18" i="8"/>
  <c r="AE18" i="8"/>
  <c r="AP18" i="8"/>
  <c r="AF18" i="8"/>
  <c r="J18" i="8"/>
  <c r="L18" i="8"/>
  <c r="BK18" i="8"/>
  <c r="AQ18" i="8"/>
  <c r="AR18" i="8"/>
  <c r="AV18" i="8"/>
  <c r="V18" i="8"/>
  <c r="AJ18" i="8"/>
  <c r="R18" i="8"/>
  <c r="AH18" i="8"/>
  <c r="AK18" i="8"/>
  <c r="G18" i="8"/>
  <c r="AT18" i="8"/>
  <c r="Z18" i="8"/>
  <c r="BQ18" i="8"/>
  <c r="BF18" i="8"/>
  <c r="BJ18" i="8"/>
  <c r="U18" i="8"/>
  <c r="AI18" i="8"/>
  <c r="AM18" i="8"/>
  <c r="BG18" i="8"/>
  <c r="AN18" i="8"/>
  <c r="BH18" i="8"/>
  <c r="BM18" i="8"/>
  <c r="BP18" i="8"/>
  <c r="E18" i="8"/>
  <c r="Y18" i="8"/>
  <c r="AC18" i="8"/>
  <c r="AW18" i="8"/>
  <c r="BS18" i="8"/>
  <c r="N18" i="8"/>
  <c r="BD18" i="8"/>
  <c r="M18" i="8"/>
  <c r="I18" i="8"/>
  <c r="BR18" i="8"/>
  <c r="BA18" i="8"/>
  <c r="Y12" i="10" l="1"/>
  <c r="Z13" i="10"/>
  <c r="BU19" i="9"/>
  <c r="C18" i="9"/>
  <c r="C18" i="8"/>
  <c r="X12" i="10" l="1"/>
  <c r="Y13" i="10"/>
  <c r="C22" i="9"/>
  <c r="C29" i="13" s="1"/>
  <c r="C21" i="9"/>
  <c r="C28" i="13" s="1"/>
  <c r="W12" i="10" l="1"/>
  <c r="X13" i="10"/>
  <c r="V12" i="10" l="1"/>
  <c r="W13" i="10"/>
  <c r="U12" i="10" l="1"/>
  <c r="V13" i="10"/>
  <c r="T12" i="10" l="1"/>
  <c r="U13" i="10"/>
  <c r="S12" i="10" l="1"/>
  <c r="T13" i="10"/>
  <c r="R12" i="10" l="1"/>
  <c r="S13" i="10"/>
  <c r="Q12" i="10" l="1"/>
  <c r="R13" i="10"/>
  <c r="P12" i="10" l="1"/>
  <c r="Q13" i="10"/>
  <c r="O12" i="10" l="1"/>
  <c r="P13" i="10"/>
  <c r="N12" i="10" l="1"/>
  <c r="O13" i="10"/>
  <c r="M12" i="10" l="1"/>
  <c r="N13" i="10"/>
  <c r="L12" i="10" l="1"/>
  <c r="M13" i="10"/>
  <c r="K12" i="10" l="1"/>
  <c r="L13" i="10"/>
  <c r="J12" i="10" l="1"/>
  <c r="K13" i="10"/>
  <c r="I12" i="10" l="1"/>
  <c r="J13" i="10"/>
  <c r="H12" i="10" l="1"/>
  <c r="I13" i="10"/>
  <c r="G12" i="10" l="1"/>
  <c r="F12" i="10" s="1"/>
  <c r="E12" i="10" s="1"/>
  <c r="D12" i="10" s="1"/>
  <c r="H13" i="10"/>
  <c r="C19" i="10" s="1"/>
  <c r="C33" i="13" s="1"/>
  <c r="C16" i="10" l="1"/>
  <c r="D7" i="11"/>
  <c r="D32" i="9"/>
  <c r="E29" i="9" s="1"/>
  <c r="E31" i="9" s="1"/>
  <c r="E7" i="11" l="1"/>
  <c r="E32" i="9"/>
  <c r="F29" i="9" l="1"/>
  <c r="F31" i="9" s="1"/>
  <c r="F32" i="9" l="1"/>
  <c r="G29" i="9" l="1"/>
  <c r="G31" i="9" s="1"/>
  <c r="F7" i="11"/>
  <c r="G7" i="11" l="1"/>
  <c r="G32" i="9"/>
  <c r="H29" i="9" l="1"/>
  <c r="H31" i="9" s="1"/>
  <c r="H32" i="9" l="1"/>
  <c r="I29" i="9" l="1"/>
  <c r="I31" i="9" s="1"/>
  <c r="H7" i="11"/>
  <c r="I32" i="9" l="1"/>
  <c r="J29" i="9" s="1"/>
  <c r="J31" i="9" s="1"/>
  <c r="J7" i="11" l="1"/>
  <c r="J32" i="9"/>
  <c r="K29" i="9" s="1"/>
  <c r="K31" i="9" s="1"/>
  <c r="I7" i="11"/>
  <c r="K7" i="11" l="1"/>
  <c r="K32" i="9" l="1"/>
  <c r="L29" i="9" s="1"/>
  <c r="L31" i="9" s="1"/>
  <c r="L7" i="11" l="1"/>
  <c r="L32" i="9"/>
  <c r="M29" i="9" s="1"/>
  <c r="M31" i="9" s="1"/>
  <c r="M7" i="11" l="1"/>
  <c r="M32" i="9" l="1"/>
  <c r="N29" i="9" s="1"/>
  <c r="N31" i="9" s="1"/>
  <c r="N7" i="11" l="1"/>
  <c r="N32" i="9" l="1"/>
  <c r="O29" i="9" s="1"/>
  <c r="O31" i="9" s="1"/>
  <c r="O7" i="11" l="1"/>
  <c r="O32" i="9"/>
  <c r="P29" i="9" s="1"/>
  <c r="P31" i="9" s="1"/>
  <c r="P7" i="11" l="1"/>
  <c r="P32" i="9" l="1"/>
  <c r="Q29" i="9" s="1"/>
  <c r="Q31" i="9" s="1"/>
  <c r="Q7" i="11" l="1"/>
  <c r="Q32" i="9" l="1"/>
  <c r="R29" i="9" s="1"/>
  <c r="R31" i="9" s="1"/>
  <c r="R7" i="11" l="1"/>
  <c r="R32" i="9"/>
  <c r="S29" i="9" s="1"/>
  <c r="S31" i="9" s="1"/>
  <c r="S7" i="11" l="1"/>
  <c r="S32" i="9" l="1"/>
  <c r="T29" i="9" s="1"/>
  <c r="T31" i="9" s="1"/>
  <c r="T7" i="11" l="1"/>
  <c r="T32" i="9" l="1"/>
  <c r="U29" i="9" s="1"/>
  <c r="U31" i="9" s="1"/>
  <c r="U7" i="11" l="1"/>
  <c r="U32" i="9" l="1"/>
  <c r="V29" i="9" s="1"/>
  <c r="V31" i="9" s="1"/>
  <c r="V7" i="11" l="1"/>
  <c r="V32" i="9"/>
  <c r="W29" i="9" s="1"/>
  <c r="W31" i="9" s="1"/>
  <c r="W7" i="11" l="1"/>
  <c r="W32" i="9" l="1"/>
  <c r="X29" i="9" s="1"/>
  <c r="X31" i="9" s="1"/>
  <c r="X7" i="11" l="1"/>
  <c r="X32" i="9" l="1"/>
  <c r="Y29" i="9" s="1"/>
  <c r="Y31" i="9" s="1"/>
  <c r="Y7" i="11" s="1"/>
  <c r="Y32" i="9" l="1"/>
  <c r="Z29" i="9" s="1"/>
  <c r="Z31" i="9" s="1"/>
  <c r="Z7" i="11"/>
  <c r="Z32" i="9"/>
  <c r="AA29" i="9" s="1"/>
  <c r="AA31" i="9" s="1"/>
  <c r="AA7" i="11" l="1"/>
  <c r="AA32" i="9"/>
  <c r="AB29" i="9" s="1"/>
  <c r="AB31" i="9" s="1"/>
  <c r="AB7" i="11" l="1"/>
  <c r="AB32" i="9"/>
  <c r="AC29" i="9" s="1"/>
  <c r="AC31" i="9" s="1"/>
  <c r="AC7" i="11" l="1"/>
  <c r="AC32" i="9"/>
  <c r="AD29" i="9" s="1"/>
  <c r="AD31" i="9" s="1"/>
  <c r="AD7" i="11" l="1"/>
  <c r="AD32" i="9"/>
  <c r="AE29" i="9" s="1"/>
  <c r="AE31" i="9" s="1"/>
  <c r="AE7" i="11" l="1"/>
  <c r="AE32" i="9"/>
  <c r="AF29" i="9" s="1"/>
  <c r="AF31" i="9" s="1"/>
  <c r="AF7" i="11" l="1"/>
  <c r="AF32" i="9"/>
  <c r="AG29" i="9" s="1"/>
  <c r="AG31" i="9" s="1"/>
  <c r="AG7" i="11" l="1"/>
  <c r="AG32" i="9"/>
  <c r="AH29" i="9" s="1"/>
  <c r="AH31" i="9" s="1"/>
  <c r="AH7" i="11" l="1"/>
  <c r="AH32" i="9" l="1"/>
  <c r="AI29" i="9" s="1"/>
  <c r="AI31" i="9" s="1"/>
  <c r="AI7" i="11" l="1"/>
  <c r="AI32" i="9" l="1"/>
  <c r="AJ29" i="9" s="1"/>
  <c r="AJ31" i="9" s="1"/>
  <c r="AJ7" i="11" l="1"/>
  <c r="AJ32" i="9"/>
  <c r="AK29" i="9" s="1"/>
  <c r="AK31" i="9" s="1"/>
  <c r="AK7" i="11" l="1"/>
  <c r="AK32" i="9"/>
  <c r="AL29" i="9" s="1"/>
  <c r="AL31" i="9" s="1"/>
  <c r="AL7" i="11" l="1"/>
  <c r="AL32" i="9" l="1"/>
  <c r="AM29" i="9" s="1"/>
  <c r="AM31" i="9" s="1"/>
  <c r="AM7" i="11" l="1"/>
  <c r="AM32" i="9"/>
  <c r="AN29" i="9" s="1"/>
  <c r="AN31" i="9" s="1"/>
  <c r="AN7" i="11" l="1"/>
  <c r="AN32" i="9" l="1"/>
  <c r="AO29" i="9" s="1"/>
  <c r="AO31" i="9" s="1"/>
  <c r="AO7" i="11"/>
  <c r="AO32" i="9" l="1"/>
  <c r="AP29" i="9" s="1"/>
  <c r="AP31" i="9" s="1"/>
  <c r="AP7" i="11" l="1"/>
  <c r="AP32" i="9" l="1"/>
  <c r="AQ29" i="9" s="1"/>
  <c r="AQ31" i="9" s="1"/>
  <c r="AQ7" i="11" l="1"/>
  <c r="AQ32" i="9" l="1"/>
  <c r="AR29" i="9" s="1"/>
  <c r="AR31" i="9" s="1"/>
  <c r="AR7" i="11" l="1"/>
  <c r="AR32" i="9"/>
  <c r="AS29" i="9" s="1"/>
  <c r="AS31" i="9" s="1"/>
  <c r="AS7" i="11" l="1"/>
  <c r="AS32" i="9"/>
  <c r="AT29" i="9" s="1"/>
  <c r="AT31" i="9" s="1"/>
  <c r="AT7" i="11" l="1"/>
  <c r="AT32" i="9" l="1"/>
  <c r="AU29" i="9" s="1"/>
  <c r="AU31" i="9" s="1"/>
  <c r="AU7" i="11" l="1"/>
  <c r="AU32" i="9"/>
  <c r="AV29" i="9" s="1"/>
  <c r="AV31" i="9" s="1"/>
  <c r="AV7" i="11" l="1"/>
  <c r="AV32" i="9" l="1"/>
  <c r="AW29" i="9" s="1"/>
  <c r="AW31" i="9" s="1"/>
  <c r="AW7" i="11" l="1"/>
  <c r="AW32" i="9"/>
  <c r="AX29" i="9" s="1"/>
  <c r="AX31" i="9" s="1"/>
  <c r="AX7" i="11" l="1"/>
  <c r="AX32" i="9" l="1"/>
  <c r="AY29" i="9" s="1"/>
  <c r="AY31" i="9" s="1"/>
  <c r="AY7" i="11" l="1"/>
  <c r="AY32" i="9" l="1"/>
  <c r="AZ29" i="9" s="1"/>
  <c r="AZ31" i="9" s="1"/>
  <c r="AZ7" i="11" l="1"/>
  <c r="AZ32" i="9"/>
  <c r="BA29" i="9" s="1"/>
  <c r="BA31" i="9" s="1"/>
  <c r="BA7" i="11" l="1"/>
  <c r="BA32" i="9"/>
  <c r="BB29" i="9" s="1"/>
  <c r="BB31" i="9" s="1"/>
  <c r="BB7" i="11" l="1"/>
  <c r="BB32" i="9" l="1"/>
  <c r="BC29" i="9" s="1"/>
  <c r="BC31" i="9" s="1"/>
  <c r="BC7" i="11" s="1"/>
  <c r="BC32" i="9" l="1"/>
  <c r="BD29" i="9" s="1"/>
  <c r="BD31" i="9" s="1"/>
  <c r="BD7" i="11"/>
  <c r="BD32" i="9"/>
  <c r="BE29" i="9" s="1"/>
  <c r="BE31" i="9" s="1"/>
  <c r="BE7" i="11" l="1"/>
  <c r="BE32" i="9" l="1"/>
  <c r="BF29" i="9" s="1"/>
  <c r="BF31" i="9" s="1"/>
  <c r="BF7" i="11" l="1"/>
  <c r="BF32" i="9" l="1"/>
  <c r="BG29" i="9" s="1"/>
  <c r="BG31" i="9" s="1"/>
  <c r="BG7" i="11" l="1"/>
  <c r="BG32" i="9"/>
  <c r="BH29" i="9" s="1"/>
  <c r="BH31" i="9" s="1"/>
  <c r="BH7" i="11" l="1"/>
  <c r="BH32" i="9" l="1"/>
  <c r="BI29" i="9" s="1"/>
  <c r="BI31" i="9" s="1"/>
  <c r="BI7" i="11" l="1"/>
  <c r="BI32" i="9" l="1"/>
  <c r="BJ29" i="9" s="1"/>
  <c r="BJ31" i="9" s="1"/>
  <c r="BJ7" i="11" l="1"/>
  <c r="BJ32" i="9"/>
  <c r="BK29" i="9" s="1"/>
  <c r="BK31" i="9" s="1"/>
  <c r="BK7" i="11" l="1"/>
  <c r="BK32" i="9"/>
  <c r="BL29" i="9" s="1"/>
  <c r="BL31" i="9" s="1"/>
  <c r="BL7" i="11" l="1"/>
  <c r="BL32" i="9" l="1"/>
  <c r="BM29" i="9" s="1"/>
  <c r="BM31" i="9" s="1"/>
  <c r="BM7" i="11" l="1"/>
  <c r="BM32" i="9"/>
  <c r="BN29" i="9" s="1"/>
  <c r="BN31" i="9" s="1"/>
  <c r="BN7" i="11" l="1"/>
  <c r="BN32" i="9"/>
  <c r="BO29" i="9" s="1"/>
  <c r="BO31" i="9" s="1"/>
  <c r="BO7" i="11" l="1"/>
  <c r="BO32" i="9"/>
  <c r="BP29" i="9" s="1"/>
  <c r="BP31" i="9" s="1"/>
  <c r="BP7" i="11" l="1"/>
  <c r="BP32" i="9" l="1"/>
  <c r="BQ29" i="9" s="1"/>
  <c r="BQ31" i="9" s="1"/>
  <c r="BQ7" i="11" s="1"/>
  <c r="BQ32" i="9" l="1"/>
  <c r="BR29" i="9" s="1"/>
  <c r="BR31" i="9" s="1"/>
  <c r="BR7" i="11" l="1"/>
  <c r="BR32" i="9" l="1"/>
  <c r="BS29" i="9" s="1"/>
  <c r="BS31" i="9" s="1"/>
  <c r="BS7" i="11" l="1"/>
  <c r="BS32" i="9"/>
  <c r="BT29" i="9" s="1"/>
  <c r="BT31" i="9" s="1"/>
  <c r="BT7" i="11" l="1"/>
  <c r="BT32" i="9"/>
  <c r="BU29" i="9" s="1"/>
  <c r="BU31" i="9" s="1"/>
  <c r="BU7" i="11" l="1"/>
  <c r="C31" i="9"/>
  <c r="BU32" i="9"/>
  <c r="C34" i="9" s="1"/>
  <c r="C30" i="13" s="1"/>
  <c r="C35" i="9" l="1"/>
  <c r="C31" i="13" s="1"/>
  <c r="C35" i="13" s="1"/>
  <c r="B36" i="13" s="1"/>
  <c r="C12" i="11"/>
  <c r="C7" i="11"/>
  <c r="C10" i="11"/>
  <c r="C11" i="11" s="1"/>
</calcChain>
</file>

<file path=xl/connections.xml><?xml version="1.0" encoding="utf-8"?>
<connections xmlns="http://schemas.openxmlformats.org/spreadsheetml/2006/main">
  <connection id="1" name="annual_energy" type="6" refreshedVersion="5" background="1" saveData="1">
    <textPr codePage="850" sourceFile="C:\Users\Usuario\Documents\Projects\hydro-project-finance\data\processed\annual_energy.csv" comma="1">
      <textFields count="6">
        <textField/>
        <textField/>
        <textField/>
        <textField/>
        <textField/>
        <textField/>
      </textFields>
    </textPr>
  </connection>
  <connection id="2" name="semiannual_energy" type="6" refreshedVersion="5" background="1" saveData="1">
    <textPr codePage="850" sourceFile="C:\Users\Usuario\Documents\Projects\hydro-project-finance\data\processed\semiannual_energy.csv" comma="1">
      <textFields count="6">
        <textField/>
        <textField/>
        <textField/>
        <textField/>
        <textField/>
        <textField/>
      </textFields>
    </textPr>
  </connection>
</connections>
</file>

<file path=xl/sharedStrings.xml><?xml version="1.0" encoding="utf-8"?>
<sst xmlns="http://schemas.openxmlformats.org/spreadsheetml/2006/main" count="966" uniqueCount="385">
  <si>
    <t>Cover</t>
  </si>
  <si>
    <t>Model purpose, version, author, sheet map, colour legend</t>
  </si>
  <si>
    <t>Colour legend</t>
  </si>
  <si>
    <t>Blue font</t>
  </si>
  <si>
    <t>Hard-coded input (Inputs sheet only)</t>
  </si>
  <si>
    <t>Black font</t>
  </si>
  <si>
    <t>Formula</t>
  </si>
  <si>
    <t>Convention</t>
  </si>
  <si>
    <t>Time in columns; one formula per row copied across the timeline; no numbers typed inside formulas (FAST Standard)</t>
  </si>
  <si>
    <t>Inputs</t>
  </si>
  <si>
    <t>All assumptions. Blue font = hard-coded input. One row per input, with unit, label and source</t>
  </si>
  <si>
    <t>Parameter</t>
  </si>
  <si>
    <t>Value</t>
  </si>
  <si>
    <t>Unit</t>
  </si>
  <si>
    <t>Label (OFICIAL/EST/VERIFICAR)</t>
  </si>
  <si>
    <t>Source</t>
  </si>
  <si>
    <t>Decision</t>
  </si>
  <si>
    <t>Energy case selector (P50 / P90 / recent)</t>
  </si>
  <si>
    <t>Semiannual P90 construction method</t>
  </si>
  <si>
    <t>Availability factor</t>
  </si>
  <si>
    <t>%</t>
  </si>
  <si>
    <t>Energy price</t>
  </si>
  <si>
    <t>USD/MWh</t>
  </si>
  <si>
    <t>Price escalation</t>
  </si>
  <si>
    <t>%/yr</t>
  </si>
  <si>
    <t>CAPEX</t>
  </si>
  <si>
    <t>USD/kW</t>
  </si>
  <si>
    <t>CAPEX disbursement curve</t>
  </si>
  <si>
    <t>Construction period</t>
  </si>
  <si>
    <t>months</t>
  </si>
  <si>
    <t>Project life / water concession</t>
  </si>
  <si>
    <t>years</t>
  </si>
  <si>
    <t>Variable O&amp;M</t>
  </si>
  <si>
    <t>O&amp;M escalation</t>
  </si>
  <si>
    <t>Income tax rate</t>
  </si>
  <si>
    <t>Tax depreciation life</t>
  </si>
  <si>
    <t>Debt tenor</t>
  </si>
  <si>
    <t>Debt interest rate</t>
  </si>
  <si>
    <t>Target DSCR (P90)</t>
  </si>
  <si>
    <t>x</t>
  </si>
  <si>
    <t>Lock-up DSCR covenant</t>
  </si>
  <si>
    <t>Default DSCR covenant</t>
  </si>
  <si>
    <t>Maximum gearing</t>
  </si>
  <si>
    <t>DSRA (months of debt service)</t>
  </si>
  <si>
    <t>Upfront fee</t>
  </si>
  <si>
    <t>Commitment fee</t>
  </si>
  <si>
    <t>Currency / FX assumption</t>
  </si>
  <si>
    <t>Data_Energy</t>
  </si>
  <si>
    <t>Timeline</t>
  </si>
  <si>
    <t>Semiannual periods (S1 Oct-Mar, S2 Apr-Sep, D10), construction and operation flags, debt flags</t>
  </si>
  <si>
    <t>Construction</t>
  </si>
  <si>
    <t>CAPEX by period, fees, IDC, Sources &amp; Uses</t>
  </si>
  <si>
    <t>Operations</t>
  </si>
  <si>
    <t>Energy x availability x price, O&amp;M, CFADS before tax</t>
  </si>
  <si>
    <t>Tax</t>
  </si>
  <si>
    <t>Simplified income tax and tax depreciation</t>
  </si>
  <si>
    <t>Debt</t>
  </si>
  <si>
    <t>Sculpted senior debt at target DSCR on P90, gearing test</t>
  </si>
  <si>
    <t>Cashflow</t>
  </si>
  <si>
    <t>Cash waterfall and DSRA</t>
  </si>
  <si>
    <t>Ratios</t>
  </si>
  <si>
    <t>DSCR per period, min and average; LLCR</t>
  </si>
  <si>
    <t>Returns</t>
  </si>
  <si>
    <t>Project IRR and equity IRR</t>
  </si>
  <si>
    <t>Sensitivities</t>
  </si>
  <si>
    <t>P50 vs P90, recent period, price, CAPEX, rate, e-flow 20%</t>
  </si>
  <si>
    <t>Checks</t>
  </si>
  <si>
    <t>Every check must equal zero</t>
  </si>
  <si>
    <t xml:space="preserve">Semiannual energy pasted/linked from data/processed/semiannual_energy.csv. </t>
  </si>
  <si>
    <t>hydro_year</t>
  </si>
  <si>
    <t>energy_base_gwh</t>
  </si>
  <si>
    <t>energy_eco20_gwh</t>
  </si>
  <si>
    <t>energy_eco30_gwh</t>
  </si>
  <si>
    <t>energy_configA_gwh</t>
  </si>
  <si>
    <t>dry_year</t>
  </si>
  <si>
    <t>True</t>
  </si>
  <si>
    <t>False</t>
  </si>
  <si>
    <t>half</t>
  </si>
  <si>
    <t>start_date</t>
  </si>
  <si>
    <t>end_date</t>
  </si>
  <si>
    <t>P50</t>
  </si>
  <si>
    <t>P90</t>
  </si>
  <si>
    <t>Oct-Mar %</t>
  </si>
  <si>
    <t>Apr-Sep %</t>
  </si>
  <si>
    <t>Case</t>
  </si>
  <si>
    <t>Total (year)</t>
  </si>
  <si>
    <t>Recent (P90 in 2010-2025)</t>
  </si>
  <si>
    <t>Recent case (2010-2025)</t>
  </si>
  <si>
    <t>Complete time series</t>
  </si>
  <si>
    <t>P90 (recent case 2010-2025)</t>
  </si>
  <si>
    <t>Oct-Mar share</t>
  </si>
  <si>
    <t>From RenovAr to MATER: How much do renewables cost in Argentina and what can we expect in the future?</t>
  </si>
  <si>
    <t>Own criteria</t>
  </si>
  <si>
    <t>EST</t>
  </si>
  <si>
    <t>IRENA: RENEWABLE ENERGY TECHNOLOGIES: COST ANALYSIS SERIES</t>
  </si>
  <si>
    <t>Fixed O&amp;M (% of CAPEX)</t>
  </si>
  <si>
    <t>Own criteria ; Personal communication with Dr. Catalini</t>
  </si>
  <si>
    <t>Statement on Longer-Run Goals and Monetary Policy Strategy</t>
  </si>
  <si>
    <t>D12</t>
  </si>
  <si>
    <t xml:space="preserve">% of flow </t>
  </si>
  <si>
    <t>% of flow</t>
  </si>
  <si>
    <t>D13</t>
  </si>
  <si>
    <t>Contingency</t>
  </si>
  <si>
    <t>Development costs</t>
  </si>
  <si>
    <t xml:space="preserve">CAPEX base year </t>
  </si>
  <si>
    <t>year</t>
  </si>
  <si>
    <t>OFICIAL</t>
  </si>
  <si>
    <t>Own criteria ; IRENA: RENEWABLE ENERGY TECHNOLOGIES: COST ANALYSIS SERIES</t>
  </si>
  <si>
    <t>IRENA: RENEWABLE POWER GENERATION COSTS IN 2024</t>
  </si>
  <si>
    <t>IRENA: RENEWABLE POWER GENERATION COSTS IN 2024, table 6.3</t>
  </si>
  <si>
    <t>CONTROL</t>
  </si>
  <si>
    <t>Semiannual interest rate</t>
  </si>
  <si>
    <t>%/semester</t>
  </si>
  <si>
    <t xml:space="preserve">Comparable case: Genneia </t>
  </si>
  <si>
    <t>Comparable case: BID invest, 2017</t>
  </si>
  <si>
    <t>Forvis Mazars</t>
  </si>
  <si>
    <t xml:space="preserve">Own criteria ; Forvis Mazars </t>
  </si>
  <si>
    <t>Own criteria  ; Wall Street Prep</t>
  </si>
  <si>
    <t>CFI ; BIWS</t>
  </si>
  <si>
    <t>IDCOL</t>
  </si>
  <si>
    <t>Grace period</t>
  </si>
  <si>
    <t>semester</t>
  </si>
  <si>
    <t>D14</t>
  </si>
  <si>
    <t>D15</t>
  </si>
  <si>
    <t xml:space="preserve">        Share of civil works in CAPEX</t>
  </si>
  <si>
    <t xml:space="preserve">        Fiscal life of civil works</t>
  </si>
  <si>
    <t xml:space="preserve">        Fiscal life of equipment</t>
  </si>
  <si>
    <t>Tax loss carryforwards</t>
  </si>
  <si>
    <t>1 = P50, 2 = P90, 3 = recent</t>
  </si>
  <si>
    <t>A</t>
  </si>
  <si>
    <t>text</t>
  </si>
  <si>
    <t>-</t>
  </si>
  <si>
    <t>PWC</t>
  </si>
  <si>
    <t>USD nominal; MATER contract in USD collected without FX loss (v1)</t>
  </si>
  <si>
    <t xml:space="preserve"> 1. GENERAL &amp; TIMING</t>
  </si>
  <si>
    <t xml:space="preserve"> 2. ENERGY &amp; REVENUE</t>
  </si>
  <si>
    <t xml:space="preserve"> 3. CAPEX &amp; CONSTRUCTION</t>
  </si>
  <si>
    <t xml:space="preserve"> 4. OPERATING COSTS</t>
  </si>
  <si>
    <t xml:space="preserve"> 5. TAX</t>
  </si>
  <si>
    <t xml:space="preserve"> 6. DEBT</t>
  </si>
  <si>
    <t xml:space="preserve">Installed capacity </t>
  </si>
  <si>
    <t>MW</t>
  </si>
  <si>
    <t>Design parameter (Stage 1)</t>
  </si>
  <si>
    <t>D8</t>
  </si>
  <si>
    <t>D16</t>
  </si>
  <si>
    <t>Label</t>
  </si>
  <si>
    <t>date</t>
  </si>
  <si>
    <t>COD</t>
  </si>
  <si>
    <t>Repayment start</t>
  </si>
  <si>
    <t>Debt maturity</t>
  </si>
  <si>
    <t>End of operations</t>
  </si>
  <si>
    <t>Period counter</t>
  </si>
  <si>
    <t>Period start date</t>
  </si>
  <si>
    <t>Period end date</t>
  </si>
  <si>
    <t>Hydrological year</t>
  </si>
  <si>
    <t>Semester</t>
  </si>
  <si>
    <t>Construction flag</t>
  </si>
  <si>
    <t>Operations flag</t>
  </si>
  <si>
    <t>Repayment flag</t>
  </si>
  <si>
    <t>Years from base</t>
  </si>
  <si>
    <t>Check construction Flag</t>
  </si>
  <si>
    <t>Check operation flag</t>
  </si>
  <si>
    <t>Check repayment flag</t>
  </si>
  <si>
    <t>Check overlap</t>
  </si>
  <si>
    <t>Status/Val</t>
  </si>
  <si>
    <t>check</t>
  </si>
  <si>
    <t>Check phase overlap</t>
  </si>
  <si>
    <t>Must be =0</t>
  </si>
  <si>
    <t>Check</t>
  </si>
  <si>
    <t>1. KEY DATES</t>
  </si>
  <si>
    <t xml:space="preserve">2.TIME </t>
  </si>
  <si>
    <t>3. CHECKS</t>
  </si>
  <si>
    <t>Financial close date</t>
  </si>
  <si>
    <t>#</t>
  </si>
  <si>
    <t>flag</t>
  </si>
  <si>
    <t>Sum of flags</t>
  </si>
  <si>
    <t>CAPEX escalation</t>
  </si>
  <si>
    <t>Construction period number</t>
  </si>
  <si>
    <t>Disbursement %</t>
  </si>
  <si>
    <t>CAPEX escalation index</t>
  </si>
  <si>
    <t>CAPEX (nominal)</t>
  </si>
  <si>
    <t>Total construction cost</t>
  </si>
  <si>
    <t>Disbursement % − 1 =</t>
  </si>
  <si>
    <t>Total nominal CAPEX =</t>
  </si>
  <si>
    <t>USD</t>
  </si>
  <si>
    <t>number</t>
  </si>
  <si>
    <t>base CAPEX (2024)</t>
  </si>
  <si>
    <t>Total values</t>
  </si>
  <si>
    <t xml:space="preserve">        CAPEX disbursement S1</t>
  </si>
  <si>
    <t xml:space="preserve">        CAPEX disbursement S2</t>
  </si>
  <si>
    <t xml:space="preserve">        CAPEX disbursement S3</t>
  </si>
  <si>
    <t xml:space="preserve">        CAPEX disbursement S4</t>
  </si>
  <si>
    <t>1.A. KEY DATES</t>
  </si>
  <si>
    <t>1.B. CAPEX VALUES</t>
  </si>
  <si>
    <t>1.C. CHECKS</t>
  </si>
  <si>
    <t>Gearing applied</t>
  </si>
  <si>
    <t>Debt drawdown</t>
  </si>
  <si>
    <t>Equity contribution</t>
  </si>
  <si>
    <t>Debt balance (corkscrew)</t>
  </si>
  <si>
    <t>Closing balance at COD - Debt commitment</t>
  </si>
  <si>
    <t>Debt drawdown + Equity contribution - Total construction cost</t>
  </si>
  <si>
    <t xml:space="preserve">        Opening balance</t>
  </si>
  <si>
    <t xml:space="preserve">        + Drawdown</t>
  </si>
  <si>
    <t xml:space="preserve">        Closing balance</t>
  </si>
  <si>
    <t xml:space="preserve">        Undrawn commitment</t>
  </si>
  <si>
    <t>2.A. FUNDING</t>
  </si>
  <si>
    <t>2.B. CHECKS</t>
  </si>
  <si>
    <t>3.A. FEES &amp; IDC</t>
  </si>
  <si>
    <t>Average debt balance</t>
  </si>
  <si>
    <t>IDC</t>
  </si>
  <si>
    <t>Equity for fees and IDC</t>
  </si>
  <si>
    <t>Total equity contribution</t>
  </si>
  <si>
    <t>Commitment fees</t>
  </si>
  <si>
    <t>DSRA initial funding</t>
  </si>
  <si>
    <t>Total uses</t>
  </si>
  <si>
    <t>4.A USES</t>
  </si>
  <si>
    <t>4.B SOURCES</t>
  </si>
  <si>
    <t>Senior debt</t>
  </si>
  <si>
    <t>Equity</t>
  </si>
  <si>
    <t>Total sources</t>
  </si>
  <si>
    <t>Debt % of total sources</t>
  </si>
  <si>
    <t>Equity % of total sources</t>
  </si>
  <si>
    <t>4.C CHECKS</t>
  </si>
  <si>
    <t>Total sources - Total uses</t>
  </si>
  <si>
    <t>Oct-Mar (GWh)</t>
  </si>
  <si>
    <t>Apr-Sep (GWh)</t>
  </si>
  <si>
    <t>Years from COD</t>
  </si>
  <si>
    <t xml:space="preserve">years </t>
  </si>
  <si>
    <t>Energy case selected</t>
  </si>
  <si>
    <t>Gross energy</t>
  </si>
  <si>
    <t>Price escalation index</t>
  </si>
  <si>
    <t>Revenue (USD)</t>
  </si>
  <si>
    <t>GWh</t>
  </si>
  <si>
    <t>MWh</t>
  </si>
  <si>
    <t>Net energy sold</t>
  </si>
  <si>
    <t>Revenue</t>
  </si>
  <si>
    <t>Case energy Oct–Mar</t>
  </si>
  <si>
    <t>Case energy Apr–Sep</t>
  </si>
  <si>
    <r>
      <t xml:space="preserve">Total gross energy − Annual energy × </t>
    </r>
    <r>
      <rPr>
        <sz val="10"/>
        <color theme="1"/>
        <rFont val="Arial Unicode MS"/>
      </rPr>
      <t>Project life</t>
    </r>
  </si>
  <si>
    <t>1.B. CHECKS</t>
  </si>
  <si>
    <t>1.A. OPERATION REVENUE</t>
  </si>
  <si>
    <t>O&amp;M escalation index</t>
  </si>
  <si>
    <t>Total operating costs</t>
  </si>
  <si>
    <t>EBITDA</t>
  </si>
  <si>
    <t>CFADS (pre-tax)</t>
  </si>
  <si>
    <t>2.A. EBITDA AND CFADS</t>
  </si>
  <si>
    <t>Total operating costs ≥ 0</t>
  </si>
  <si>
    <t>Fixed O&amp;M (semiannual)</t>
  </si>
  <si>
    <t>Operating period number</t>
  </si>
  <si>
    <t>Depreciable base</t>
  </si>
  <si>
    <t>Civil works base</t>
  </si>
  <si>
    <t>Equipment base</t>
  </si>
  <si>
    <t>Civil depreciation</t>
  </si>
  <si>
    <t>Equipment depreciation</t>
  </si>
  <si>
    <t>Total tax depreciation</t>
  </si>
  <si>
    <t>1.A. DEPRECIATION</t>
  </si>
  <si>
    <r>
      <t xml:space="preserve">Total tax depreciation − (Equipment base + Civil base × </t>
    </r>
    <r>
      <rPr>
        <sz val="10"/>
        <color theme="1"/>
        <rFont val="Arial Unicode MS"/>
      </rPr>
      <t>Project life</t>
    </r>
    <r>
      <rPr>
        <sz val="11"/>
        <color theme="1"/>
        <rFont val="Calibri"/>
        <family val="2"/>
        <scheme val="minor"/>
      </rPr>
      <t xml:space="preserve"> / </t>
    </r>
    <r>
      <rPr>
        <sz val="10"/>
        <color theme="1"/>
        <rFont val="Arial Unicode MS"/>
      </rPr>
      <t>Fiscal life of civil works</t>
    </r>
    <r>
      <rPr>
        <sz val="11"/>
        <color theme="1"/>
        <rFont val="Calibri"/>
        <family val="2"/>
        <scheme val="minor"/>
      </rPr>
      <t>)</t>
    </r>
  </si>
  <si>
    <t>2.A. TAXABLE INCOME AND TAX</t>
  </si>
  <si>
    <t>Taxable income before losses</t>
  </si>
  <si>
    <t>Tax losses (corkscrew)</t>
  </si>
  <si>
    <t xml:space="preserve">        + Losses generated</t>
  </si>
  <si>
    <t>CFADS</t>
  </si>
  <si>
    <t xml:space="preserve">        − Losses used</t>
  </si>
  <si>
    <t xml:space="preserve">        Balance before expiry</t>
  </si>
  <si>
    <t xml:space="preserve">        Losses still valid</t>
  </si>
  <si>
    <t xml:space="preserve">        Expired losses</t>
  </si>
  <si>
    <t xml:space="preserve">        Taxable income after losses</t>
  </si>
  <si>
    <t xml:space="preserve">        Tax paid</t>
  </si>
  <si>
    <t>Tax paid ≥ 0</t>
  </si>
  <si>
    <t>Corkscrew: Losses generated − Losses used − Expired losses − Last period closing balance =</t>
  </si>
  <si>
    <t>Total deductible financing costs</t>
  </si>
  <si>
    <t>Financing costs during construction (IDC + fees)</t>
  </si>
  <si>
    <t xml:space="preserve">Label </t>
  </si>
  <si>
    <t>Total value</t>
  </si>
  <si>
    <t>Repayment period number</t>
  </si>
  <si>
    <t>Max debt service (DSCR)</t>
  </si>
  <si>
    <t>Discount factor</t>
  </si>
  <si>
    <t>PV of max debt service</t>
  </si>
  <si>
    <t>DSCR debt capacity</t>
  </si>
  <si>
    <t>Gearing limit</t>
  </si>
  <si>
    <t>Debt size (calculated)</t>
  </si>
  <si>
    <t>Binding constraint</t>
  </si>
  <si>
    <t>Adjustment factor (k)</t>
  </si>
  <si>
    <t>Sculpted debt service</t>
  </si>
  <si>
    <t>1. DEBT CONSTRAINT</t>
  </si>
  <si>
    <t>2.A. SCULPTING</t>
  </si>
  <si>
    <t>Debt size (pasted value)</t>
  </si>
  <si>
    <t>k (pasted value)</t>
  </si>
  <si>
    <t>Debt schedule</t>
  </si>
  <si>
    <t xml:space="preserve">        Interest</t>
  </si>
  <si>
    <t xml:space="preserve">        Debt service</t>
  </si>
  <si>
    <t xml:space="preserve">        Principal</t>
  </si>
  <si>
    <t>Debt commitment</t>
  </si>
  <si>
    <t>Check if Debt size (pasted value) = Debt size (calculated)</t>
  </si>
  <si>
    <t>Check if k (pasted value) = k (calculated)</t>
  </si>
  <si>
    <t>Last semester closing balance</t>
  </si>
  <si>
    <t>unit</t>
  </si>
  <si>
    <t>Total Value</t>
  </si>
  <si>
    <t>Cash flow after debt service</t>
  </si>
  <si>
    <t>Last construction period flag</t>
  </si>
  <si>
    <t>DSRA target</t>
  </si>
  <si>
    <t>DSRA (corkscrew)</t>
  </si>
  <si>
    <t xml:space="preserve">        + Initial funding</t>
  </si>
  <si>
    <t xml:space="preserve">        + Top-up</t>
  </si>
  <si>
    <t xml:space="preserve">        − Withdrawal</t>
  </si>
  <si>
    <t xml:space="preserve">        − Release</t>
  </si>
  <si>
    <t>Equity for DSRA</t>
  </si>
  <si>
    <t>DSRA closing ≥ 0 in every semester</t>
  </si>
  <si>
    <t>DSRA closing in last column =</t>
  </si>
  <si>
    <t>1.A. DSRA</t>
  </si>
  <si>
    <t>2.A. CASH WATERFALL</t>
  </si>
  <si>
    <t>Cash available for distribution</t>
  </si>
  <si>
    <t>12-month DSCR</t>
  </si>
  <si>
    <t>Lock-up flag</t>
  </si>
  <si>
    <t>Default flag (info)</t>
  </si>
  <si>
    <t>Retained cash (corkscrew)</t>
  </si>
  <si>
    <t xml:space="preserve">        Opening</t>
  </si>
  <si>
    <t xml:space="preserve">        + Cash available</t>
  </si>
  <si>
    <t xml:space="preserve">        Closing</t>
  </si>
  <si>
    <t>Retained cash closing ≥ 0</t>
  </si>
  <si>
    <t>Default flag</t>
  </si>
  <si>
    <t>if=0 -&gt; No defaults</t>
  </si>
  <si>
    <t>if=0 -&gt; No Lock-up</t>
  </si>
  <si>
    <t>info</t>
  </si>
  <si>
    <t xml:space="preserve">        − Distributions (negative = equity injection)</t>
  </si>
  <si>
    <t>total CFADS − total Debt service + total Initial funding − total Distributions − last column retained cash closing  =</t>
  </si>
  <si>
    <t>DSCR (semester)</t>
  </si>
  <si>
    <t>PV of remaining CFADS</t>
  </si>
  <si>
    <t>LLCR</t>
  </si>
  <si>
    <t>Min 12-month DSCR</t>
  </si>
  <si>
    <t>Min LLCR</t>
  </si>
  <si>
    <t>1st semester LLCR - target DSCR =</t>
  </si>
  <si>
    <t>1.A. RATIOS</t>
  </si>
  <si>
    <t>Average DSCR (semester)</t>
  </si>
  <si>
    <t>Project cash flow</t>
  </si>
  <si>
    <t>Equity cash flow</t>
  </si>
  <si>
    <t>Project IRR (semiannual)</t>
  </si>
  <si>
    <t>Project IRR (annual)</t>
  </si>
  <si>
    <t>Equity multiple</t>
  </si>
  <si>
    <t xml:space="preserve">Unit </t>
  </si>
  <si>
    <t>Equity IRR (semiannual)</t>
  </si>
  <si>
    <t>Equity IRR (annual)</t>
  </si>
  <si>
    <t>1. RETURNS: IRR</t>
  </si>
  <si>
    <t>Min DSCR (semester)</t>
  </si>
  <si>
    <t>Debt sizing mode</t>
  </si>
  <si>
    <t>1 = size on selected case, 2 = keep P90 schedule</t>
  </si>
  <si>
    <t>Debt service P90 (pasted values)</t>
  </si>
  <si>
    <t>1 = P50, 2 = P90, 3 = recent, 4 = P90 e-flow 20%</t>
  </si>
  <si>
    <t>P90 e-flow 20%</t>
  </si>
  <si>
    <t>Base P90</t>
  </si>
  <si>
    <t>P50 sized</t>
  </si>
  <si>
    <t>Recent (2010–2025)</t>
  </si>
  <si>
    <t>E-flow 20%</t>
  </si>
  <si>
    <t>Price -10%</t>
  </si>
  <si>
    <t>CAPEX +15%</t>
  </si>
  <si>
    <t>CAPEX -15%</t>
  </si>
  <si>
    <t>Price +10%</t>
  </si>
  <si>
    <t>Rate +1 pt</t>
  </si>
  <si>
    <t>Rate -1 pt</t>
  </si>
  <si>
    <t>Price escalation 2%</t>
  </si>
  <si>
    <t>Scenario</t>
  </si>
  <si>
    <t>Selector</t>
  </si>
  <si>
    <t>Mode</t>
  </si>
  <si>
    <t>Binding</t>
  </si>
  <si>
    <t>Debt % of uses</t>
  </si>
  <si>
    <t>Min 12m DSCR</t>
  </si>
  <si>
    <t>Project IRR</t>
  </si>
  <si>
    <t>Equity IRR</t>
  </si>
  <si>
    <t>P50 with P90 debt</t>
  </si>
  <si>
    <t>DSCR</t>
  </si>
  <si>
    <t>Debt reduction, P90 vs P50 sizing</t>
  </si>
  <si>
    <t>1. SENSITIVITIES</t>
  </si>
  <si>
    <t>1.A. CHECKS: TIMELINE</t>
  </si>
  <si>
    <t>1.B. CHECKS: CONSTRUCTION</t>
  </si>
  <si>
    <t>1.C. CHECKS: OPERATIONS</t>
  </si>
  <si>
    <t>1.D. CHECKS: TAX</t>
  </si>
  <si>
    <t>1.E. CHECKS: DEBT</t>
  </si>
  <si>
    <t>1.F. CHECKS: CASHFLOW</t>
  </si>
  <si>
    <t>1.G. CHECKS: RATIOS</t>
  </si>
  <si>
    <t>1.H. FINAL CHECKS</t>
  </si>
  <si>
    <t>Total checks</t>
  </si>
  <si>
    <t>Model status</t>
  </si>
  <si>
    <t>1.I. INFO</t>
  </si>
  <si>
    <r>
      <t>Availability factor</t>
    </r>
    <r>
      <rPr>
        <sz val="11"/>
        <color theme="1"/>
        <rFont val="Calibri"/>
        <family val="2"/>
        <scheme val="minor"/>
      </rPr>
      <t xml:space="preserve"> = 0,88</t>
    </r>
  </si>
  <si>
    <t>Interest expense in operations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</si>
</sst>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"/>
    <numFmt numFmtId="165" formatCode="dd/mm/yy"/>
  </numFmts>
  <fonts count="17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name val="Calibri"/>
    </font>
    <font>
      <sz val="11"/>
      <color rgb="FF0000FF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color rgb="FF0000FF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i/>
      <sz val="12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3"/>
      <name val="Calibri"/>
      <family val="2"/>
      <scheme val="minor"/>
    </font>
    <font>
      <sz val="10"/>
      <color theme="1"/>
      <name val="Arial Unicode MS"/>
    </font>
    <font>
      <sz val="12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2" fillId="2" borderId="0" xfId="0" applyFont="1" applyFill="1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2" fontId="0" fillId="0" borderId="0" xfId="0" applyNumberFormat="1"/>
    <xf numFmtId="0" fontId="0" fillId="0" borderId="1" xfId="0" applyBorder="1"/>
    <xf numFmtId="164" fontId="0" fillId="0" borderId="1" xfId="0" applyNumberFormat="1" applyBorder="1"/>
    <xf numFmtId="0" fontId="5" fillId="0" borderId="0" xfId="0" applyFont="1"/>
    <xf numFmtId="0" fontId="0" fillId="0" borderId="0" xfId="0" applyFont="1"/>
    <xf numFmtId="10" fontId="0" fillId="0" borderId="1" xfId="0" applyNumberFormat="1" applyBorder="1"/>
    <xf numFmtId="2" fontId="0" fillId="0" borderId="1" xfId="0" applyNumberFormat="1" applyBorder="1"/>
    <xf numFmtId="0" fontId="4" fillId="0" borderId="0" xfId="1"/>
    <xf numFmtId="10" fontId="6" fillId="0" borderId="0" xfId="0" applyNumberFormat="1" applyFont="1"/>
    <xf numFmtId="10" fontId="3" fillId="0" borderId="0" xfId="0" applyNumberFormat="1" applyFont="1"/>
    <xf numFmtId="0" fontId="0" fillId="0" borderId="1" xfId="0" applyBorder="1" applyAlignment="1"/>
    <xf numFmtId="0" fontId="0" fillId="0" borderId="1" xfId="0" applyFont="1" applyBorder="1"/>
    <xf numFmtId="10" fontId="0" fillId="0" borderId="1" xfId="0" applyNumberFormat="1" applyFont="1" applyBorder="1"/>
    <xf numFmtId="0" fontId="0" fillId="0" borderId="0" xfId="0" applyAlignment="1"/>
    <xf numFmtId="10" fontId="7" fillId="0" borderId="0" xfId="0" applyNumberFormat="1" applyFont="1"/>
    <xf numFmtId="0" fontId="6" fillId="0" borderId="0" xfId="0" applyFont="1"/>
    <xf numFmtId="10" fontId="8" fillId="0" borderId="0" xfId="0" applyNumberFormat="1" applyFont="1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9" fillId="3" borderId="0" xfId="0" applyFont="1" applyFill="1" applyAlignment="1">
      <alignment horizontal="center"/>
    </xf>
    <xf numFmtId="0" fontId="0" fillId="3" borderId="0" xfId="0" applyFill="1"/>
    <xf numFmtId="0" fontId="4" fillId="3" borderId="0" xfId="1" applyFill="1"/>
    <xf numFmtId="0" fontId="0" fillId="3" borderId="0" xfId="0" applyFill="1" applyAlignment="1">
      <alignment vertical="center"/>
    </xf>
    <xf numFmtId="0" fontId="0" fillId="3" borderId="0" xfId="0" applyFill="1" applyAlignment="1">
      <alignment horizontal="left" vertical="center"/>
    </xf>
    <xf numFmtId="0" fontId="9" fillId="3" borderId="0" xfId="0" applyFont="1" applyFill="1" applyAlignment="1"/>
    <xf numFmtId="0" fontId="10" fillId="0" borderId="0" xfId="0" applyFont="1" applyAlignment="1">
      <alignment horizontal="center" vertical="center" wrapText="1"/>
    </xf>
    <xf numFmtId="0" fontId="6" fillId="0" borderId="0" xfId="0" applyNumberFormat="1" applyFont="1"/>
    <xf numFmtId="14" fontId="0" fillId="0" borderId="0" xfId="0" applyNumberFormat="1" applyAlignment="1"/>
    <xf numFmtId="0" fontId="11" fillId="0" borderId="0" xfId="0" applyFont="1" applyAlignment="1">
      <alignment horizontal="right"/>
    </xf>
    <xf numFmtId="0" fontId="0" fillId="3" borderId="0" xfId="0" applyFill="1" applyAlignment="1"/>
    <xf numFmtId="0" fontId="12" fillId="0" borderId="0" xfId="1" applyFont="1"/>
    <xf numFmtId="16" fontId="0" fillId="0" borderId="0" xfId="0" applyNumberFormat="1"/>
    <xf numFmtId="0" fontId="9" fillId="4" borderId="0" xfId="0" applyFont="1" applyFill="1" applyAlignment="1"/>
    <xf numFmtId="165" fontId="3" fillId="0" borderId="0" xfId="0" applyNumberFormat="1" applyFont="1"/>
    <xf numFmtId="0" fontId="9" fillId="4" borderId="0" xfId="0" applyFont="1" applyFill="1" applyBorder="1" applyAlignment="1"/>
    <xf numFmtId="0" fontId="0" fillId="0" borderId="0" xfId="0" applyBorder="1"/>
    <xf numFmtId="0" fontId="0" fillId="0" borderId="0" xfId="0" applyAlignment="1">
      <alignment horizontal="left"/>
    </xf>
    <xf numFmtId="10" fontId="0" fillId="0" borderId="0" xfId="0" applyNumberFormat="1"/>
    <xf numFmtId="0" fontId="0" fillId="0" borderId="0" xfId="0" applyNumberFormat="1"/>
    <xf numFmtId="0" fontId="13" fillId="0" borderId="0" xfId="0" applyFont="1"/>
    <xf numFmtId="0" fontId="0" fillId="0" borderId="0" xfId="0" applyFont="1" applyFill="1" applyBorder="1"/>
    <xf numFmtId="0" fontId="0" fillId="0" borderId="0" xfId="0" quotePrefix="1"/>
    <xf numFmtId="0" fontId="12" fillId="0" borderId="0" xfId="0" applyFont="1"/>
    <xf numFmtId="0" fontId="0" fillId="0" borderId="0" xfId="0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left" vertical="top"/>
    </xf>
    <xf numFmtId="0" fontId="15" fillId="4" borderId="0" xfId="0" applyFont="1" applyFill="1" applyAlignment="1"/>
    <xf numFmtId="1" fontId="0" fillId="0" borderId="0" xfId="0" applyNumberFormat="1"/>
    <xf numFmtId="0" fontId="0" fillId="0" borderId="0" xfId="0" applyFill="1" applyBorder="1"/>
    <xf numFmtId="0" fontId="0" fillId="5" borderId="0" xfId="0" applyFont="1" applyFill="1"/>
    <xf numFmtId="0" fontId="0" fillId="5" borderId="0" xfId="0" applyFill="1"/>
    <xf numFmtId="0" fontId="11" fillId="5" borderId="0" xfId="0" applyFont="1" applyFill="1" applyAlignment="1">
      <alignment horizontal="right"/>
    </xf>
    <xf numFmtId="0" fontId="0" fillId="5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3" fillId="6" borderId="0" xfId="0" applyNumberFormat="1" applyFont="1" applyFill="1"/>
    <xf numFmtId="0" fontId="3" fillId="6" borderId="0" xfId="0" applyFont="1" applyFill="1"/>
    <xf numFmtId="0" fontId="0" fillId="6" borderId="0" xfId="0" applyFill="1"/>
    <xf numFmtId="0" fontId="13" fillId="6" borderId="0" xfId="0" applyFont="1" applyFill="1"/>
    <xf numFmtId="0" fontId="0" fillId="5" borderId="0" xfId="0" applyFill="1" applyAlignment="1">
      <alignment horizontal="right" vertical="center"/>
    </xf>
    <xf numFmtId="0" fontId="16" fillId="0" borderId="0" xfId="0" applyFont="1" applyAlignment="1">
      <alignment horizontal="right"/>
    </xf>
    <xf numFmtId="0" fontId="14" fillId="0" borderId="0" xfId="0" applyFont="1"/>
    <xf numFmtId="0" fontId="9" fillId="3" borderId="0" xfId="0" applyFont="1" applyFill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9" defaultPivotStyle="PivotStyleLight16"/>
  <colors>
    <mruColors>
      <color rgb="FF0000FF"/>
      <color rgb="FF0033CC"/>
      <color rgb="FF33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queryTables/queryTable1.xml><?xml version="1.0" encoding="utf-8"?>
<queryTable xmlns="http://schemas.openxmlformats.org/spreadsheetml/2006/main" name="annual_energy_1" connectionId="1" autoFormatId="16" applyNumberFormats="0" applyBorderFormats="0" applyFontFormats="0" applyPatternFormats="0" applyAlignmentFormats="0" applyWidthHeightFormats="0"/>
</file>

<file path=xl/queryTables/queryTable2.xml><?xml version="1.0" encoding="utf-8"?>
<queryTable xmlns="http://schemas.openxmlformats.org/spreadsheetml/2006/main" name="semiannual_energy_1" connectionId="2" autoFormatId="16" applyNumberFormats="0" applyBorderFormats="0" applyFontFormats="0" applyPatternFormats="0" applyAlignmentFormats="0" applyWidthHeightFormats="0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irena.org/-/media/Files/IRENA/Agency/Publication/2012/RE_Technologies_Cost_Analysis-HYDROPOWER.pdf" TargetMode="External"/><Relationship Id="rId13" Type="http://schemas.openxmlformats.org/officeDocument/2006/relationships/hyperlink" Target="https://financialmodelling.forvismazars.com/tutorials/debt-service-coverage-ratio-dscr/" TargetMode="External"/><Relationship Id="rId18" Type="http://schemas.openxmlformats.org/officeDocument/2006/relationships/hyperlink" Target="https://www.irena.org/-/media/Files/IRENA/Agency/Publication/2025/Jul/IRENA_TEC_RPGC_in_2024_2025.pdf" TargetMode="External"/><Relationship Id="rId3" Type="http://schemas.openxmlformats.org/officeDocument/2006/relationships/hyperlink" Target="https://www.federalreserve.gov/monetarypolicy/files/FOMC_LongerRunGoals.pdf" TargetMode="External"/><Relationship Id="rId21" Type="http://schemas.openxmlformats.org/officeDocument/2006/relationships/hyperlink" Target="https://taxsummaries.pwc.com/argentina/corporate/deductions" TargetMode="External"/><Relationship Id="rId7" Type="http://schemas.openxmlformats.org/officeDocument/2006/relationships/hyperlink" Target="https://www.irena.org/-/media/Files/IRENA/Agency/Publication/2012/RE_Technologies_Cost_Analysis-HYDROPOWER.pdf" TargetMode="External"/><Relationship Id="rId12" Type="http://schemas.openxmlformats.org/officeDocument/2006/relationships/hyperlink" Target="https://financialmodelling.forvismazars.com/tutorials/debt-service-coverage-ratio-dscr/" TargetMode="External"/><Relationship Id="rId17" Type="http://schemas.openxmlformats.org/officeDocument/2006/relationships/hyperlink" Target="https://idcol.org/home/fees" TargetMode="External"/><Relationship Id="rId25" Type="http://schemas.openxmlformats.org/officeDocument/2006/relationships/printerSettings" Target="../printerSettings/printerSettings1.bin"/><Relationship Id="rId2" Type="http://schemas.openxmlformats.org/officeDocument/2006/relationships/hyperlink" Target="https://www.irena.org/-/media/Files/IRENA/Agency/Publication/2012/RE_Technologies_Cost_Analysis-HYDROPOWER.pdf" TargetMode="External"/><Relationship Id="rId16" Type="http://schemas.openxmlformats.org/officeDocument/2006/relationships/hyperlink" Target="https://idcol.org/home/fees" TargetMode="External"/><Relationship Id="rId20" Type="http://schemas.openxmlformats.org/officeDocument/2006/relationships/hyperlink" Target="https://www.irena.org/-/media/Files/IRENA/Agency/Publication/2025/Jul/IRENA_TEC_RPGC_in_2024_2025.pdf" TargetMode="External"/><Relationship Id="rId1" Type="http://schemas.openxmlformats.org/officeDocument/2006/relationships/hyperlink" Target="https://www.energiaestrategica.com/energiaestrategica/en/notes/del-renovar-al-mater-cuanto-cuestan-las-renovables-en-argentina-y-que-esperar-a-futuro" TargetMode="External"/><Relationship Id="rId6" Type="http://schemas.openxmlformats.org/officeDocument/2006/relationships/hyperlink" Target="https://www.irena.org/-/media/Files/IRENA/Agency/Publication/2025/Jul/IRENA_TEC_RPGC_in_2024_2025.pdf" TargetMode="External"/><Relationship Id="rId11" Type="http://schemas.openxmlformats.org/officeDocument/2006/relationships/hyperlink" Target="https://financialmodelling.forvismazars.com/resources/debt-service-coverage-ratio-dscr/" TargetMode="External"/><Relationship Id="rId24" Type="http://schemas.openxmlformats.org/officeDocument/2006/relationships/hyperlink" Target="https://www.federalreserve.gov/monetarypolicy/files/FOMC_LongerRunGoals.pdf" TargetMode="External"/><Relationship Id="rId5" Type="http://schemas.openxmlformats.org/officeDocument/2006/relationships/hyperlink" Target="https://www.irena.org/-/media/Files/IRENA/Agency/Publication/2025/Jul/IRENA_TEC_RPGC_in_2024_2025.pdf" TargetMode="External"/><Relationship Id="rId15" Type="http://schemas.openxmlformats.org/officeDocument/2006/relationships/hyperlink" Target="https://corporatefinanceinstitute.com/resources/commercial-lending/debt-service-reserve-account-dsra/" TargetMode="External"/><Relationship Id="rId23" Type="http://schemas.openxmlformats.org/officeDocument/2006/relationships/hyperlink" Target="https://taxsummaries.pwc.com/argentina/corporate/deductions" TargetMode="External"/><Relationship Id="rId10" Type="http://schemas.openxmlformats.org/officeDocument/2006/relationships/hyperlink" Target="https://www.lanacion.com.ar/economia/genneia-coloco-una-on-por-us400-millones-nid20112025/" TargetMode="External"/><Relationship Id="rId19" Type="http://schemas.openxmlformats.org/officeDocument/2006/relationships/hyperlink" Target="https://taxsummaries.pwc.com/argentina/corporate/taxes-on-corporate-income" TargetMode="External"/><Relationship Id="rId4" Type="http://schemas.openxmlformats.org/officeDocument/2006/relationships/hyperlink" Target="https://www.irena.org/-/media/Files/IRENA/Agency/Publication/2025/Jul/IRENA_TEC_RPGC_in_2024_2025.pdf" TargetMode="External"/><Relationship Id="rId9" Type="http://schemas.openxmlformats.org/officeDocument/2006/relationships/hyperlink" Target="https://idbinvest.org/es/medios-y-prensa/bid-invest-financia-el-proyecto-eolico-la-castellana-para-diversificar-la-matriz" TargetMode="External"/><Relationship Id="rId14" Type="http://schemas.openxmlformats.org/officeDocument/2006/relationships/hyperlink" Target="https://www.wallstreetprep.com/knowledge/debt-sizing-in-project-finance/" TargetMode="External"/><Relationship Id="rId22" Type="http://schemas.openxmlformats.org/officeDocument/2006/relationships/hyperlink" Target="https://taxsummaries.pwc.com/argentina/corporate/deductions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tabSelected="1" workbookViewId="0">
      <selection activeCell="C20" sqref="C20"/>
    </sheetView>
  </sheetViews>
  <sheetFormatPr baseColWidth="10" defaultColWidth="9.140625" defaultRowHeight="15"/>
  <cols>
    <col min="1" max="1" width="34" customWidth="1"/>
    <col min="2" max="2" width="34.140625" bestFit="1" customWidth="1"/>
  </cols>
  <sheetData>
    <row r="1" spans="1:2" ht="18.75">
      <c r="A1" s="1" t="s">
        <v>0</v>
      </c>
    </row>
    <row r="2" spans="1:2">
      <c r="A2" t="s">
        <v>1</v>
      </c>
    </row>
    <row r="4" spans="1:2">
      <c r="A4" s="2" t="s">
        <v>2</v>
      </c>
    </row>
    <row r="5" spans="1:2">
      <c r="A5" s="3" t="s">
        <v>3</v>
      </c>
      <c r="B5" t="s">
        <v>4</v>
      </c>
    </row>
    <row r="6" spans="1:2">
      <c r="A6" t="s">
        <v>5</v>
      </c>
      <c r="B6" t="s">
        <v>6</v>
      </c>
    </row>
    <row r="8" spans="1:2">
      <c r="A8" s="2" t="s">
        <v>7</v>
      </c>
    </row>
    <row r="9" spans="1:2">
      <c r="A9" t="s">
        <v>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56"/>
  <sheetViews>
    <sheetView zoomScale="85" zoomScaleNormal="85" workbookViewId="0">
      <pane ySplit="4" topLeftCell="A20" activePane="bottomLeft" state="frozen"/>
      <selection pane="bottomLeft" activeCell="A46" sqref="A46:XFD46"/>
    </sheetView>
  </sheetViews>
  <sheetFormatPr baseColWidth="10" defaultColWidth="9.140625" defaultRowHeight="15"/>
  <cols>
    <col min="1" max="1" width="43.7109375" customWidth="1"/>
    <col min="2" max="2" width="40.5703125" customWidth="1"/>
    <col min="3" max="3" width="45.85546875" bestFit="1" customWidth="1"/>
    <col min="4" max="4" width="45.5703125" customWidth="1"/>
    <col min="5" max="5" width="96.140625" customWidth="1"/>
    <col min="6" max="6" width="18.28515625" customWidth="1"/>
  </cols>
  <sheetData>
    <row r="1" spans="1:6" ht="18.75">
      <c r="A1" s="1" t="s">
        <v>9</v>
      </c>
    </row>
    <row r="2" spans="1:6">
      <c r="A2" t="s">
        <v>10</v>
      </c>
    </row>
    <row r="4" spans="1:6">
      <c r="A4" s="4" t="s">
        <v>11</v>
      </c>
      <c r="B4" s="4" t="s">
        <v>12</v>
      </c>
      <c r="C4" s="4" t="s">
        <v>13</v>
      </c>
      <c r="D4" s="4" t="s">
        <v>14</v>
      </c>
      <c r="E4" s="4" t="s">
        <v>15</v>
      </c>
      <c r="F4" s="4" t="s">
        <v>16</v>
      </c>
    </row>
    <row r="5" spans="1:6" ht="15.75">
      <c r="A5" s="28" t="s">
        <v>134</v>
      </c>
      <c r="B5" s="33"/>
      <c r="C5" s="29"/>
      <c r="D5" s="29"/>
      <c r="E5" s="29"/>
      <c r="F5" s="29"/>
    </row>
    <row r="6" spans="1:6">
      <c r="A6" t="s">
        <v>17</v>
      </c>
      <c r="B6" s="64">
        <v>2</v>
      </c>
      <c r="C6" t="s">
        <v>347</v>
      </c>
      <c r="D6" t="s">
        <v>131</v>
      </c>
    </row>
    <row r="7" spans="1:6">
      <c r="A7" t="s">
        <v>344</v>
      </c>
      <c r="B7" s="63">
        <v>1</v>
      </c>
      <c r="C7" t="s">
        <v>345</v>
      </c>
      <c r="D7" t="s">
        <v>131</v>
      </c>
      <c r="E7" t="s">
        <v>131</v>
      </c>
      <c r="F7" t="s">
        <v>131</v>
      </c>
    </row>
    <row r="8" spans="1:6">
      <c r="A8" t="s">
        <v>18</v>
      </c>
      <c r="B8" s="23" t="s">
        <v>129</v>
      </c>
      <c r="C8" t="s">
        <v>130</v>
      </c>
      <c r="D8" t="s">
        <v>131</v>
      </c>
    </row>
    <row r="9" spans="1:6" ht="30">
      <c r="A9" s="25" t="s">
        <v>46</v>
      </c>
      <c r="B9" s="34" t="s">
        <v>133</v>
      </c>
      <c r="D9" s="26" t="s">
        <v>93</v>
      </c>
      <c r="E9" s="27" t="s">
        <v>92</v>
      </c>
      <c r="F9" t="s">
        <v>123</v>
      </c>
    </row>
    <row r="10" spans="1:6">
      <c r="A10" t="s">
        <v>28</v>
      </c>
      <c r="B10" s="3">
        <v>24</v>
      </c>
      <c r="C10" t="s">
        <v>29</v>
      </c>
      <c r="D10" t="s">
        <v>93</v>
      </c>
      <c r="E10" s="15" t="s">
        <v>107</v>
      </c>
      <c r="F10" t="s">
        <v>101</v>
      </c>
    </row>
    <row r="11" spans="1:6">
      <c r="A11" t="s">
        <v>30</v>
      </c>
      <c r="B11" s="3">
        <v>30</v>
      </c>
      <c r="C11" t="s">
        <v>31</v>
      </c>
      <c r="D11" t="s">
        <v>93</v>
      </c>
      <c r="E11" s="15" t="s">
        <v>108</v>
      </c>
      <c r="F11" t="s">
        <v>123</v>
      </c>
    </row>
    <row r="12" spans="1:6">
      <c r="A12" t="s">
        <v>172</v>
      </c>
      <c r="B12" s="42">
        <v>46661</v>
      </c>
      <c r="C12" t="s">
        <v>146</v>
      </c>
      <c r="D12" t="s">
        <v>93</v>
      </c>
      <c r="E12" s="39" t="s">
        <v>92</v>
      </c>
      <c r="F12" t="s">
        <v>144</v>
      </c>
    </row>
    <row r="13" spans="1:6" ht="15.75">
      <c r="A13" s="28" t="s">
        <v>135</v>
      </c>
      <c r="B13" s="33"/>
      <c r="C13" s="29"/>
      <c r="D13" s="31"/>
      <c r="E13" s="32"/>
      <c r="F13" s="29"/>
    </row>
    <row r="14" spans="1:6">
      <c r="A14" t="s">
        <v>19</v>
      </c>
      <c r="B14" s="16">
        <v>0.92</v>
      </c>
      <c r="C14" t="s">
        <v>20</v>
      </c>
      <c r="D14" t="s">
        <v>93</v>
      </c>
      <c r="E14" t="s">
        <v>96</v>
      </c>
      <c r="F14" t="s">
        <v>98</v>
      </c>
    </row>
    <row r="15" spans="1:6">
      <c r="A15" t="s">
        <v>21</v>
      </c>
      <c r="B15" s="3">
        <v>65</v>
      </c>
      <c r="C15" t="s">
        <v>22</v>
      </c>
      <c r="D15" t="s">
        <v>93</v>
      </c>
      <c r="E15" s="15" t="s">
        <v>91</v>
      </c>
      <c r="F15" t="s">
        <v>98</v>
      </c>
    </row>
    <row r="16" spans="1:6">
      <c r="A16" t="s">
        <v>23</v>
      </c>
      <c r="B16" s="17">
        <v>0</v>
      </c>
      <c r="C16" t="s">
        <v>24</v>
      </c>
      <c r="D16" t="s">
        <v>93</v>
      </c>
      <c r="E16" t="s">
        <v>92</v>
      </c>
      <c r="F16" t="s">
        <v>98</v>
      </c>
    </row>
    <row r="17" spans="1:6" ht="15.75">
      <c r="A17" s="28" t="s">
        <v>136</v>
      </c>
      <c r="B17" s="33"/>
      <c r="C17" s="29"/>
      <c r="D17" s="29"/>
      <c r="E17" s="29"/>
      <c r="F17" s="29"/>
    </row>
    <row r="18" spans="1:6">
      <c r="A18" t="s">
        <v>140</v>
      </c>
      <c r="B18" s="35">
        <v>10</v>
      </c>
      <c r="C18" t="s">
        <v>141</v>
      </c>
      <c r="D18" t="s">
        <v>93</v>
      </c>
      <c r="E18" t="s">
        <v>142</v>
      </c>
      <c r="F18" t="s">
        <v>143</v>
      </c>
    </row>
    <row r="19" spans="1:6">
      <c r="A19" t="s">
        <v>25</v>
      </c>
      <c r="B19" s="3">
        <v>3300</v>
      </c>
      <c r="C19" t="s">
        <v>26</v>
      </c>
      <c r="D19" t="s">
        <v>93</v>
      </c>
      <c r="E19" s="15" t="s">
        <v>109</v>
      </c>
      <c r="F19" t="s">
        <v>101</v>
      </c>
    </row>
    <row r="20" spans="1:6">
      <c r="A20" t="s">
        <v>103</v>
      </c>
      <c r="B20" s="3">
        <v>0</v>
      </c>
      <c r="C20" t="s">
        <v>26</v>
      </c>
      <c r="D20" t="s">
        <v>93</v>
      </c>
      <c r="E20" s="15" t="s">
        <v>108</v>
      </c>
      <c r="F20" t="s">
        <v>101</v>
      </c>
    </row>
    <row r="21" spans="1:6">
      <c r="A21" t="s">
        <v>104</v>
      </c>
      <c r="B21" s="3">
        <v>2024</v>
      </c>
      <c r="C21" t="s">
        <v>105</v>
      </c>
      <c r="D21" t="s">
        <v>106</v>
      </c>
      <c r="E21" s="15" t="s">
        <v>108</v>
      </c>
      <c r="F21" t="s">
        <v>101</v>
      </c>
    </row>
    <row r="22" spans="1:6">
      <c r="A22" t="s">
        <v>102</v>
      </c>
      <c r="B22" s="3">
        <v>0</v>
      </c>
      <c r="C22" t="s">
        <v>20</v>
      </c>
      <c r="D22" t="s">
        <v>93</v>
      </c>
      <c r="E22" s="15" t="s">
        <v>107</v>
      </c>
      <c r="F22" t="s">
        <v>101</v>
      </c>
    </row>
    <row r="23" spans="1:6">
      <c r="A23" s="45" t="s">
        <v>27</v>
      </c>
      <c r="B23" s="21"/>
    </row>
    <row r="24" spans="1:6">
      <c r="A24" t="s">
        <v>188</v>
      </c>
      <c r="B24" s="16">
        <v>0.15</v>
      </c>
      <c r="C24" t="s">
        <v>20</v>
      </c>
      <c r="D24" t="s">
        <v>93</v>
      </c>
      <c r="E24" t="s">
        <v>92</v>
      </c>
      <c r="F24" t="s">
        <v>101</v>
      </c>
    </row>
    <row r="25" spans="1:6">
      <c r="A25" t="s">
        <v>189</v>
      </c>
      <c r="B25" s="16">
        <v>0.35</v>
      </c>
      <c r="C25" t="s">
        <v>20</v>
      </c>
      <c r="D25" t="s">
        <v>93</v>
      </c>
      <c r="E25" t="s">
        <v>92</v>
      </c>
      <c r="F25" t="s">
        <v>101</v>
      </c>
    </row>
    <row r="26" spans="1:6">
      <c r="A26" t="s">
        <v>190</v>
      </c>
      <c r="B26" s="16">
        <v>0.35</v>
      </c>
      <c r="C26" t="s">
        <v>20</v>
      </c>
      <c r="D26" t="s">
        <v>93</v>
      </c>
      <c r="E26" t="s">
        <v>92</v>
      </c>
      <c r="F26" t="s">
        <v>101</v>
      </c>
    </row>
    <row r="27" spans="1:6">
      <c r="A27" t="s">
        <v>191</v>
      </c>
      <c r="B27" s="16">
        <v>0.15</v>
      </c>
      <c r="C27" t="s">
        <v>20</v>
      </c>
      <c r="D27" t="s">
        <v>93</v>
      </c>
      <c r="E27" t="s">
        <v>92</v>
      </c>
      <c r="F27" t="s">
        <v>101</v>
      </c>
    </row>
    <row r="28" spans="1:6">
      <c r="A28" t="s">
        <v>110</v>
      </c>
      <c r="B28" s="22">
        <f>SUM(B24:B27)</f>
        <v>1</v>
      </c>
    </row>
    <row r="29" spans="1:6">
      <c r="A29" t="s">
        <v>176</v>
      </c>
      <c r="B29" s="22">
        <v>0.02</v>
      </c>
      <c r="C29" t="s">
        <v>24</v>
      </c>
      <c r="D29" t="s">
        <v>93</v>
      </c>
      <c r="E29" s="15" t="s">
        <v>97</v>
      </c>
      <c r="F29" t="s">
        <v>101</v>
      </c>
    </row>
    <row r="30" spans="1:6" ht="15.75">
      <c r="A30" s="28" t="s">
        <v>137</v>
      </c>
      <c r="B30" s="33"/>
      <c r="C30" s="29"/>
      <c r="D30" s="29"/>
      <c r="E30" s="29"/>
      <c r="F30" s="29"/>
    </row>
    <row r="31" spans="1:6">
      <c r="A31" t="s">
        <v>95</v>
      </c>
      <c r="B31" s="16">
        <v>0.03</v>
      </c>
      <c r="C31" t="s">
        <v>24</v>
      </c>
      <c r="D31" t="s">
        <v>93</v>
      </c>
      <c r="E31" s="15" t="s">
        <v>94</v>
      </c>
      <c r="F31" t="s">
        <v>98</v>
      </c>
    </row>
    <row r="32" spans="1:6">
      <c r="A32" t="s">
        <v>32</v>
      </c>
      <c r="B32" s="3">
        <v>0</v>
      </c>
      <c r="C32" t="s">
        <v>22</v>
      </c>
      <c r="D32" t="s">
        <v>93</v>
      </c>
      <c r="E32" t="s">
        <v>92</v>
      </c>
      <c r="F32" t="s">
        <v>98</v>
      </c>
    </row>
    <row r="33" spans="1:6">
      <c r="A33" t="s">
        <v>33</v>
      </c>
      <c r="B33" s="17">
        <v>0.02</v>
      </c>
      <c r="C33" t="s">
        <v>24</v>
      </c>
      <c r="D33" t="s">
        <v>93</v>
      </c>
      <c r="E33" s="15" t="s">
        <v>97</v>
      </c>
      <c r="F33" t="s">
        <v>98</v>
      </c>
    </row>
    <row r="34" spans="1:6" ht="15.75">
      <c r="A34" s="28" t="s">
        <v>138</v>
      </c>
      <c r="B34" s="33"/>
      <c r="C34" s="29"/>
      <c r="D34" s="29"/>
      <c r="E34" s="30"/>
      <c r="F34" s="29"/>
    </row>
    <row r="35" spans="1:6">
      <c r="A35" t="s">
        <v>34</v>
      </c>
      <c r="B35" s="17">
        <v>0.35</v>
      </c>
      <c r="C35" t="s">
        <v>20</v>
      </c>
      <c r="D35" t="s">
        <v>93</v>
      </c>
      <c r="E35" s="15" t="s">
        <v>132</v>
      </c>
      <c r="F35" t="s">
        <v>123</v>
      </c>
    </row>
    <row r="36" spans="1:6">
      <c r="A36" t="s">
        <v>35</v>
      </c>
      <c r="B36" s="3"/>
    </row>
    <row r="37" spans="1:6">
      <c r="A37" t="s">
        <v>124</v>
      </c>
      <c r="B37" s="16">
        <v>0.5</v>
      </c>
      <c r="C37" t="s">
        <v>20</v>
      </c>
      <c r="D37" t="s">
        <v>93</v>
      </c>
      <c r="E37" s="15" t="s">
        <v>108</v>
      </c>
      <c r="F37" t="s">
        <v>123</v>
      </c>
    </row>
    <row r="38" spans="1:6">
      <c r="A38" t="s">
        <v>125</v>
      </c>
      <c r="B38" s="3">
        <v>50</v>
      </c>
      <c r="C38" t="s">
        <v>31</v>
      </c>
      <c r="D38" t="s">
        <v>93</v>
      </c>
      <c r="E38" s="15" t="s">
        <v>132</v>
      </c>
      <c r="F38" t="s">
        <v>123</v>
      </c>
    </row>
    <row r="39" spans="1:6">
      <c r="A39" t="s">
        <v>126</v>
      </c>
      <c r="B39" s="3">
        <v>10</v>
      </c>
      <c r="C39" t="s">
        <v>31</v>
      </c>
      <c r="D39" t="s">
        <v>93</v>
      </c>
      <c r="E39" s="15" t="s">
        <v>132</v>
      </c>
      <c r="F39" t="s">
        <v>123</v>
      </c>
    </row>
    <row r="40" spans="1:6">
      <c r="A40" t="s">
        <v>127</v>
      </c>
      <c r="B40" s="3">
        <v>5</v>
      </c>
      <c r="C40" t="s">
        <v>31</v>
      </c>
      <c r="D40" t="s">
        <v>93</v>
      </c>
      <c r="E40" s="15" t="s">
        <v>132</v>
      </c>
      <c r="F40" t="s">
        <v>123</v>
      </c>
    </row>
    <row r="41" spans="1:6" ht="15.75">
      <c r="A41" s="28" t="s">
        <v>139</v>
      </c>
      <c r="B41" s="33"/>
      <c r="C41" s="29"/>
      <c r="D41" s="29"/>
      <c r="E41" s="30"/>
      <c r="F41" s="29"/>
    </row>
    <row r="42" spans="1:6">
      <c r="A42" t="s">
        <v>36</v>
      </c>
      <c r="B42" s="3">
        <v>12</v>
      </c>
      <c r="C42" t="s">
        <v>31</v>
      </c>
      <c r="D42" t="s">
        <v>93</v>
      </c>
      <c r="E42" s="15" t="s">
        <v>114</v>
      </c>
      <c r="F42" t="s">
        <v>122</v>
      </c>
    </row>
    <row r="43" spans="1:6">
      <c r="A43" t="s">
        <v>37</v>
      </c>
      <c r="B43" s="17">
        <v>0.09</v>
      </c>
      <c r="C43" t="s">
        <v>24</v>
      </c>
      <c r="D43" t="s">
        <v>93</v>
      </c>
      <c r="E43" s="15" t="s">
        <v>113</v>
      </c>
      <c r="F43" t="s">
        <v>122</v>
      </c>
    </row>
    <row r="44" spans="1:6">
      <c r="A44" t="s">
        <v>111</v>
      </c>
      <c r="B44" s="24">
        <f>B43/2</f>
        <v>4.4999999999999998E-2</v>
      </c>
      <c r="C44" t="s">
        <v>112</v>
      </c>
      <c r="D44" t="s">
        <v>131</v>
      </c>
      <c r="E44" t="s">
        <v>92</v>
      </c>
      <c r="F44" t="s">
        <v>122</v>
      </c>
    </row>
    <row r="45" spans="1:6">
      <c r="A45" t="s">
        <v>120</v>
      </c>
      <c r="B45" s="3">
        <v>0</v>
      </c>
      <c r="C45" t="s">
        <v>121</v>
      </c>
      <c r="D45" t="s">
        <v>93</v>
      </c>
      <c r="E45" t="s">
        <v>92</v>
      </c>
      <c r="F45" t="s">
        <v>122</v>
      </c>
    </row>
    <row r="46" spans="1:6">
      <c r="A46" t="s">
        <v>38</v>
      </c>
      <c r="B46" s="3">
        <v>1.35</v>
      </c>
      <c r="C46" t="s">
        <v>39</v>
      </c>
      <c r="D46" t="s">
        <v>93</v>
      </c>
      <c r="E46" s="15" t="s">
        <v>115</v>
      </c>
      <c r="F46" t="s">
        <v>122</v>
      </c>
    </row>
    <row r="47" spans="1:6">
      <c r="A47" t="s">
        <v>40</v>
      </c>
      <c r="B47" s="3">
        <v>1.2</v>
      </c>
      <c r="C47" t="s">
        <v>39</v>
      </c>
      <c r="D47" t="s">
        <v>93</v>
      </c>
      <c r="E47" s="15" t="s">
        <v>116</v>
      </c>
      <c r="F47" t="s">
        <v>122</v>
      </c>
    </row>
    <row r="48" spans="1:6">
      <c r="A48" t="s">
        <v>41</v>
      </c>
      <c r="B48" s="3">
        <v>1.1000000000000001</v>
      </c>
      <c r="C48" t="s">
        <v>39</v>
      </c>
      <c r="D48" t="s">
        <v>93</v>
      </c>
      <c r="E48" s="15" t="s">
        <v>115</v>
      </c>
      <c r="F48" t="s">
        <v>122</v>
      </c>
    </row>
    <row r="49" spans="1:20">
      <c r="A49" t="s">
        <v>42</v>
      </c>
      <c r="B49" s="17">
        <v>0.7</v>
      </c>
      <c r="C49" t="s">
        <v>20</v>
      </c>
      <c r="D49" t="s">
        <v>93</v>
      </c>
      <c r="E49" s="15" t="s">
        <v>117</v>
      </c>
      <c r="F49" t="s">
        <v>122</v>
      </c>
      <c r="M49" s="12"/>
      <c r="T49" s="12"/>
    </row>
    <row r="50" spans="1:20">
      <c r="A50" t="s">
        <v>43</v>
      </c>
      <c r="B50" s="3">
        <v>6</v>
      </c>
      <c r="C50" t="s">
        <v>29</v>
      </c>
      <c r="D50" t="s">
        <v>93</v>
      </c>
      <c r="E50" s="15" t="s">
        <v>118</v>
      </c>
      <c r="F50" t="s">
        <v>122</v>
      </c>
    </row>
    <row r="51" spans="1:20">
      <c r="A51" t="s">
        <v>44</v>
      </c>
      <c r="B51" s="17">
        <v>1.4999999999999999E-2</v>
      </c>
      <c r="C51" t="s">
        <v>20</v>
      </c>
      <c r="D51" t="s">
        <v>93</v>
      </c>
      <c r="E51" s="15" t="s">
        <v>119</v>
      </c>
      <c r="F51" t="s">
        <v>122</v>
      </c>
    </row>
    <row r="52" spans="1:20">
      <c r="A52" t="s">
        <v>45</v>
      </c>
      <c r="B52" s="17">
        <v>5.0000000000000001E-3</v>
      </c>
      <c r="C52" t="s">
        <v>20</v>
      </c>
      <c r="D52" t="s">
        <v>93</v>
      </c>
      <c r="E52" s="15" t="s">
        <v>119</v>
      </c>
      <c r="F52" t="s">
        <v>122</v>
      </c>
    </row>
    <row r="53" spans="1:20">
      <c r="E53" s="11"/>
    </row>
    <row r="56" spans="1:20">
      <c r="E56" s="12"/>
    </row>
  </sheetData>
  <hyperlinks>
    <hyperlink ref="E15" r:id="rId1"/>
    <hyperlink ref="E31" r:id="rId2"/>
    <hyperlink ref="E33" r:id="rId3"/>
    <hyperlink ref="E19" r:id="rId4" display="RENEWABLE POWER GENERATION COSTS IN 2024"/>
    <hyperlink ref="E20" r:id="rId5" display="RENEWABLE POWER GENERATION COSTS IN 2024"/>
    <hyperlink ref="E21" r:id="rId6" display="RENEWABLE POWER GENERATION COSTS IN 2024"/>
    <hyperlink ref="E10" r:id="rId7" display="IRENA: RENEWABLE ENERGY TECHNOLOGIES: COST ANALYSIS SERIES"/>
    <hyperlink ref="E22" r:id="rId8" display="IRENA: RENEWABLE ENERGY TECHNOLOGIES: COST ANALYSIS SERIES"/>
    <hyperlink ref="E42" r:id="rId9"/>
    <hyperlink ref="E43" r:id="rId10"/>
    <hyperlink ref="E46" r:id="rId11"/>
    <hyperlink ref="E47" r:id="rId12"/>
    <hyperlink ref="E48" r:id="rId13"/>
    <hyperlink ref="E49" r:id="rId14"/>
    <hyperlink ref="E50" r:id="rId15"/>
    <hyperlink ref="E51" r:id="rId16"/>
    <hyperlink ref="E52" r:id="rId17"/>
    <hyperlink ref="E11" r:id="rId18" display="RENEWABLE POWER GENERATION COSTS IN 2024"/>
    <hyperlink ref="E35" r:id="rId19"/>
    <hyperlink ref="E37" r:id="rId20" display="RENEWABLE POWER GENERATION COSTS IN 2024"/>
    <hyperlink ref="E38" r:id="rId21"/>
    <hyperlink ref="E39" r:id="rId22"/>
    <hyperlink ref="E40" r:id="rId23"/>
    <hyperlink ref="E29" r:id="rId24"/>
  </hyperlinks>
  <pageMargins left="0.75" right="0.75" top="1" bottom="1" header="0.5" footer="0.5"/>
  <pageSetup paperSize="9" orientation="portrait" r:id="rId2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16"/>
  <sheetViews>
    <sheetView topLeftCell="C16" zoomScale="70" zoomScaleNormal="70" workbookViewId="0">
      <selection activeCell="K20" sqref="K20"/>
    </sheetView>
  </sheetViews>
  <sheetFormatPr baseColWidth="10" defaultColWidth="9.140625" defaultRowHeight="15"/>
  <cols>
    <col min="1" max="1" width="15.42578125" customWidth="1"/>
    <col min="2" max="2" width="18.85546875" bestFit="1" customWidth="1"/>
    <col min="3" max="4" width="20.5703125" bestFit="1" customWidth="1"/>
    <col min="5" max="5" width="21.7109375" bestFit="1" customWidth="1"/>
    <col min="6" max="6" width="18.85546875" bestFit="1" customWidth="1"/>
    <col min="7" max="7" width="9.5703125" bestFit="1" customWidth="1"/>
    <col min="8" max="8" width="13.140625" customWidth="1"/>
    <col min="11" max="11" width="29.28515625" bestFit="1" customWidth="1"/>
    <col min="12" max="12" width="20.42578125" customWidth="1"/>
    <col min="13" max="13" width="15.85546875" bestFit="1" customWidth="1"/>
    <col min="14" max="14" width="25.7109375" bestFit="1" customWidth="1"/>
    <col min="15" max="15" width="9.5703125" bestFit="1" customWidth="1"/>
    <col min="16" max="16" width="14" customWidth="1"/>
  </cols>
  <sheetData>
    <row r="1" spans="1:16" ht="18.75">
      <c r="A1" s="1" t="s">
        <v>47</v>
      </c>
      <c r="B1" s="1"/>
    </row>
    <row r="2" spans="1:16">
      <c r="A2" t="s">
        <v>68</v>
      </c>
    </row>
    <row r="4" spans="1:16">
      <c r="A4" t="s">
        <v>69</v>
      </c>
      <c r="B4" t="s">
        <v>70</v>
      </c>
      <c r="C4" t="s">
        <v>71</v>
      </c>
      <c r="D4" t="s">
        <v>72</v>
      </c>
      <c r="E4" t="s">
        <v>73</v>
      </c>
      <c r="F4" t="s">
        <v>74</v>
      </c>
      <c r="K4" s="9" t="s">
        <v>80</v>
      </c>
      <c r="L4" s="10">
        <f>_xlfn.PERCENTILE.INC(B5:B73,0.5)</f>
        <v>57.067690549336902</v>
      </c>
    </row>
    <row r="5" spans="1:16">
      <c r="A5">
        <v>1957</v>
      </c>
      <c r="B5" s="7">
        <v>46.746287156300198</v>
      </c>
      <c r="C5" s="7">
        <v>38.243510003131497</v>
      </c>
      <c r="D5" s="7">
        <v>27.780806682050201</v>
      </c>
      <c r="E5" s="7">
        <v>45.918136716283499</v>
      </c>
      <c r="F5" t="s">
        <v>75</v>
      </c>
      <c r="K5" s="9" t="s">
        <v>81</v>
      </c>
      <c r="L5" s="10">
        <f>_xlfn.PERCENTILE.INC(B5:B73,0.1)</f>
        <v>45.020951030753402</v>
      </c>
    </row>
    <row r="6" spans="1:16">
      <c r="A6">
        <v>1958</v>
      </c>
      <c r="B6" s="7">
        <v>46.587533852819902</v>
      </c>
      <c r="C6" s="7">
        <v>37.831046502277097</v>
      </c>
      <c r="D6" s="7">
        <v>29.523991696894399</v>
      </c>
      <c r="E6" s="7">
        <v>43.569024206358698</v>
      </c>
      <c r="F6" t="s">
        <v>75</v>
      </c>
      <c r="K6" s="9" t="s">
        <v>89</v>
      </c>
      <c r="L6" s="10">
        <f>_xlfn.PERCENTILE.INC(B58:B73,0.1)</f>
        <v>42.242583241253399</v>
      </c>
    </row>
    <row r="7" spans="1:16">
      <c r="A7">
        <v>1959</v>
      </c>
      <c r="B7" s="7">
        <v>54.8142954443965</v>
      </c>
      <c r="C7" s="7">
        <v>47.8322633763391</v>
      </c>
      <c r="D7" s="7">
        <v>38.364044381441602</v>
      </c>
      <c r="E7" s="7">
        <v>54.468860631799203</v>
      </c>
      <c r="F7" t="s">
        <v>75</v>
      </c>
    </row>
    <row r="8" spans="1:16">
      <c r="A8">
        <v>1960</v>
      </c>
      <c r="B8" s="7">
        <v>52.510989172797501</v>
      </c>
      <c r="C8" s="7">
        <v>44.948059002453597</v>
      </c>
      <c r="D8" s="7">
        <v>37.1808884476714</v>
      </c>
      <c r="E8" s="7">
        <v>50.735263233688002</v>
      </c>
      <c r="F8" t="s">
        <v>75</v>
      </c>
    </row>
    <row r="9" spans="1:16">
      <c r="A9">
        <v>1961</v>
      </c>
      <c r="B9" s="7">
        <v>50.3998564866001</v>
      </c>
      <c r="C9" s="7">
        <v>43.452442179750001</v>
      </c>
      <c r="D9" s="7">
        <v>33.383384100899903</v>
      </c>
      <c r="E9" s="7">
        <v>50.283781470189901</v>
      </c>
      <c r="F9" t="s">
        <v>75</v>
      </c>
      <c r="K9" s="18" t="s">
        <v>88</v>
      </c>
      <c r="L9" s="18" t="s">
        <v>99</v>
      </c>
      <c r="N9" s="18" t="s">
        <v>87</v>
      </c>
      <c r="O9" s="18" t="s">
        <v>100</v>
      </c>
    </row>
    <row r="10" spans="1:16">
      <c r="A10">
        <v>1962</v>
      </c>
      <c r="B10" s="7">
        <v>56.603088247549302</v>
      </c>
      <c r="C10" s="7">
        <v>50.697947748655203</v>
      </c>
      <c r="D10" s="7">
        <v>41.730336990145702</v>
      </c>
      <c r="E10" s="7">
        <v>56.545050739344198</v>
      </c>
      <c r="F10" t="s">
        <v>76</v>
      </c>
      <c r="K10" s="9" t="s">
        <v>82</v>
      </c>
      <c r="L10" s="13">
        <f>AVERAGE(B78:B215)</f>
        <v>0.65730072919080185</v>
      </c>
      <c r="N10" s="9" t="s">
        <v>82</v>
      </c>
      <c r="O10" s="13">
        <f>AVERAGE(B184:B215)</f>
        <v>0.67752597587365493</v>
      </c>
    </row>
    <row r="11" spans="1:16">
      <c r="A11">
        <v>1963</v>
      </c>
      <c r="B11" s="7">
        <v>49.038594901326597</v>
      </c>
      <c r="C11" s="7">
        <v>41.085289104800601</v>
      </c>
      <c r="D11" s="7">
        <v>30.560678470619699</v>
      </c>
      <c r="E11" s="7">
        <v>47.797484749719402</v>
      </c>
      <c r="F11" t="s">
        <v>75</v>
      </c>
      <c r="K11" s="9" t="s">
        <v>83</v>
      </c>
      <c r="L11" s="13">
        <f>1-L10</f>
        <v>0.34269927080919815</v>
      </c>
      <c r="N11" s="19" t="s">
        <v>83</v>
      </c>
      <c r="O11" s="20">
        <f>1-O10</f>
        <v>0.32247402412634507</v>
      </c>
    </row>
    <row r="12" spans="1:16">
      <c r="A12">
        <v>1964</v>
      </c>
      <c r="B12" s="7">
        <v>52.146271762003799</v>
      </c>
      <c r="C12" s="7">
        <v>45.496545129773899</v>
      </c>
      <c r="D12" s="7">
        <v>36.002427552703203</v>
      </c>
      <c r="E12" s="7">
        <v>52.146271762003799</v>
      </c>
      <c r="F12" t="s">
        <v>76</v>
      </c>
      <c r="L12" s="8"/>
      <c r="P12" s="8"/>
    </row>
    <row r="13" spans="1:16">
      <c r="A13">
        <v>1965</v>
      </c>
      <c r="B13" s="7">
        <v>43.6965282689482</v>
      </c>
      <c r="C13" s="7">
        <v>34.7167572096889</v>
      </c>
      <c r="D13" s="7">
        <v>23.577402441180102</v>
      </c>
      <c r="E13" s="7">
        <v>42.735002172925</v>
      </c>
      <c r="F13" t="s">
        <v>75</v>
      </c>
    </row>
    <row r="14" spans="1:16">
      <c r="A14">
        <v>1966</v>
      </c>
      <c r="B14" s="7">
        <v>60.269665661033002</v>
      </c>
      <c r="C14" s="7">
        <v>54.171043096696401</v>
      </c>
      <c r="D14" s="7">
        <v>46.861454101701398</v>
      </c>
      <c r="E14" s="7">
        <v>60.269665661033002</v>
      </c>
      <c r="F14" t="s">
        <v>76</v>
      </c>
    </row>
    <row r="15" spans="1:16">
      <c r="A15">
        <v>1967</v>
      </c>
      <c r="B15" s="7">
        <v>52.214922157890797</v>
      </c>
      <c r="C15" s="7">
        <v>44.998625339525198</v>
      </c>
      <c r="D15" s="7">
        <v>35.594850912278403</v>
      </c>
      <c r="E15" s="7">
        <v>51.977191651804098</v>
      </c>
      <c r="F15" t="s">
        <v>75</v>
      </c>
      <c r="K15" s="13" t="s">
        <v>84</v>
      </c>
      <c r="L15" s="9" t="s">
        <v>224</v>
      </c>
      <c r="M15" s="9" t="s">
        <v>225</v>
      </c>
      <c r="N15" s="9" t="s">
        <v>85</v>
      </c>
    </row>
    <row r="16" spans="1:16">
      <c r="A16">
        <v>1968</v>
      </c>
      <c r="B16" s="7">
        <v>45.352056721204697</v>
      </c>
      <c r="C16" s="7">
        <v>36.6957532397957</v>
      </c>
      <c r="D16" s="7">
        <v>27.7934951667782</v>
      </c>
      <c r="E16" s="7">
        <v>42.595831663201899</v>
      </c>
      <c r="F16" t="s">
        <v>75</v>
      </c>
      <c r="K16" s="9" t="s">
        <v>80</v>
      </c>
      <c r="L16" s="14">
        <f>L4*L10</f>
        <v>37.510634611314174</v>
      </c>
      <c r="M16" s="14">
        <f>L4*L11</f>
        <v>19.557055938022724</v>
      </c>
      <c r="N16" s="14">
        <f>SUM(L16:M16)</f>
        <v>57.067690549336902</v>
      </c>
    </row>
    <row r="17" spans="1:15">
      <c r="A17">
        <v>1969</v>
      </c>
      <c r="B17" s="7">
        <v>34.712315535045903</v>
      </c>
      <c r="C17" s="7">
        <v>23.130426542271199</v>
      </c>
      <c r="D17" s="7">
        <v>17.168111782593801</v>
      </c>
      <c r="E17" s="7">
        <v>27.301911873279799</v>
      </c>
      <c r="F17" t="s">
        <v>75</v>
      </c>
      <c r="K17" s="9" t="s">
        <v>81</v>
      </c>
      <c r="L17" s="14">
        <f>L5*L10</f>
        <v>29.592303941377594</v>
      </c>
      <c r="M17" s="14">
        <f>L5*L11</f>
        <v>15.42864708937581</v>
      </c>
      <c r="N17" s="14">
        <f>SUM(L17:M17)</f>
        <v>45.020951030753402</v>
      </c>
    </row>
    <row r="18" spans="1:15">
      <c r="A18">
        <v>1970</v>
      </c>
      <c r="B18" s="7">
        <v>49.9965947469559</v>
      </c>
      <c r="C18" s="7">
        <v>42.358489716886197</v>
      </c>
      <c r="D18" s="7">
        <v>33.483394479027602</v>
      </c>
      <c r="E18" s="7">
        <v>48.262164310017297</v>
      </c>
      <c r="F18" t="s">
        <v>75</v>
      </c>
      <c r="K18" s="9" t="s">
        <v>86</v>
      </c>
      <c r="L18" s="14">
        <f>L6*O10</f>
        <v>28.620447433954311</v>
      </c>
      <c r="M18" s="14">
        <f>L6*O11</f>
        <v>13.622135807299088</v>
      </c>
      <c r="N18" s="14">
        <f>SUM(L18:M18)</f>
        <v>42.242583241253399</v>
      </c>
    </row>
    <row r="19" spans="1:15">
      <c r="A19">
        <v>1971</v>
      </c>
      <c r="B19" s="7">
        <v>38.421448747067998</v>
      </c>
      <c r="C19" s="7">
        <v>26.612520646473499</v>
      </c>
      <c r="D19" s="7">
        <v>18.000140122424199</v>
      </c>
      <c r="E19" s="7">
        <v>33.530112926663399</v>
      </c>
      <c r="F19" t="s">
        <v>75</v>
      </c>
      <c r="K19" s="57" t="s">
        <v>348</v>
      </c>
      <c r="L19">
        <f>_xlfn.PERCENTILE.INC($C$5:$C$73,0.1)*$L$10</f>
        <v>23.859986255992464</v>
      </c>
      <c r="M19">
        <f>_xlfn.PERCENTILE.INC($C$5:$C$73,0.1)*$L$11</f>
        <v>12.439967777781877</v>
      </c>
      <c r="N19" s="14">
        <f>SUM(L19:M19)</f>
        <v>36.299954033774341</v>
      </c>
    </row>
    <row r="20" spans="1:15">
      <c r="A20">
        <v>1972</v>
      </c>
      <c r="B20" s="7">
        <v>49.803845786572502</v>
      </c>
      <c r="C20" s="7">
        <v>42.152812750630403</v>
      </c>
      <c r="D20" s="7">
        <v>31.794499611075398</v>
      </c>
      <c r="E20" s="7">
        <v>49.4517144060557</v>
      </c>
      <c r="F20" t="s">
        <v>75</v>
      </c>
    </row>
    <row r="21" spans="1:15">
      <c r="A21">
        <v>1973</v>
      </c>
      <c r="B21" s="7">
        <v>60.187582479758703</v>
      </c>
      <c r="C21" s="7">
        <v>54.547898059319401</v>
      </c>
      <c r="D21" s="7">
        <v>46.950967981395699</v>
      </c>
      <c r="E21" s="7">
        <v>60.187582479758703</v>
      </c>
      <c r="F21" t="s">
        <v>76</v>
      </c>
    </row>
    <row r="22" spans="1:15">
      <c r="A22">
        <v>1974</v>
      </c>
      <c r="B22" s="7">
        <v>57.036416990917097</v>
      </c>
      <c r="C22" s="7">
        <v>50.922644918488302</v>
      </c>
      <c r="D22" s="7">
        <v>42.984278206222001</v>
      </c>
      <c r="E22" s="7">
        <v>56.889090737980197</v>
      </c>
      <c r="F22" t="s">
        <v>76</v>
      </c>
    </row>
    <row r="23" spans="1:15">
      <c r="A23">
        <v>1975</v>
      </c>
      <c r="B23" s="7">
        <v>57.067690549336902</v>
      </c>
      <c r="C23" s="7">
        <v>50.324018994609901</v>
      </c>
      <c r="D23" s="7">
        <v>41.220689492111603</v>
      </c>
      <c r="E23" s="7">
        <v>57.067690549336902</v>
      </c>
      <c r="F23" t="s">
        <v>75</v>
      </c>
    </row>
    <row r="24" spans="1:15">
      <c r="A24">
        <v>1976</v>
      </c>
      <c r="B24" s="7">
        <v>46.814397418751</v>
      </c>
      <c r="C24" s="7">
        <v>39.099629775159002</v>
      </c>
      <c r="D24" s="7">
        <v>27.249855709054</v>
      </c>
      <c r="E24" s="7">
        <v>46.814397418751</v>
      </c>
      <c r="F24" t="s">
        <v>75</v>
      </c>
    </row>
    <row r="25" spans="1:15">
      <c r="A25">
        <v>1977</v>
      </c>
      <c r="B25" s="7">
        <v>46.945041292153498</v>
      </c>
      <c r="C25" s="7">
        <v>38.659520734297601</v>
      </c>
      <c r="D25" s="7">
        <v>27.273245570228202</v>
      </c>
      <c r="E25" s="7">
        <v>46.885329641968497</v>
      </c>
      <c r="F25" t="s">
        <v>75</v>
      </c>
    </row>
    <row r="26" spans="1:15">
      <c r="A26">
        <v>1978</v>
      </c>
      <c r="B26" s="7">
        <v>60.397966321898998</v>
      </c>
      <c r="C26" s="7">
        <v>54.686369578008502</v>
      </c>
      <c r="D26" s="7">
        <v>48.898207264078302</v>
      </c>
      <c r="E26" s="7">
        <v>60.338812719040597</v>
      </c>
      <c r="F26" t="s">
        <v>76</v>
      </c>
      <c r="N26" s="12"/>
    </row>
    <row r="27" spans="1:15">
      <c r="A27">
        <v>1979</v>
      </c>
      <c r="B27" s="7">
        <v>65.547459637861905</v>
      </c>
      <c r="C27" s="7">
        <v>60.0571721302966</v>
      </c>
      <c r="D27" s="7">
        <v>54.419202087620697</v>
      </c>
      <c r="E27" s="7">
        <v>65.547459637861905</v>
      </c>
      <c r="F27" t="s">
        <v>76</v>
      </c>
    </row>
    <row r="28" spans="1:15">
      <c r="A28">
        <v>1980</v>
      </c>
      <c r="B28" s="7">
        <v>68.947770936151699</v>
      </c>
      <c r="C28" s="7">
        <v>63.199788029738997</v>
      </c>
      <c r="D28" s="7">
        <v>57.206639927547798</v>
      </c>
      <c r="E28" s="7">
        <v>68.947770936151699</v>
      </c>
      <c r="F28" t="s">
        <v>76</v>
      </c>
    </row>
    <row r="29" spans="1:15">
      <c r="A29">
        <v>1981</v>
      </c>
      <c r="B29" s="7">
        <v>64.715332947227694</v>
      </c>
      <c r="C29" s="7">
        <v>59.187214825154697</v>
      </c>
      <c r="D29" s="7">
        <v>53.494999933033597</v>
      </c>
      <c r="E29" s="7">
        <v>64.715332947227694</v>
      </c>
      <c r="F29" t="s">
        <v>76</v>
      </c>
      <c r="O29" s="11"/>
    </row>
    <row r="30" spans="1:15">
      <c r="A30">
        <v>1982</v>
      </c>
      <c r="B30" s="7">
        <v>58.720626730821103</v>
      </c>
      <c r="C30" s="7">
        <v>51.929251813787701</v>
      </c>
      <c r="D30" s="7">
        <v>44.690675096846398</v>
      </c>
      <c r="E30" s="7">
        <v>58.720626730821103</v>
      </c>
      <c r="F30" t="s">
        <v>75</v>
      </c>
      <c r="M30" s="11"/>
    </row>
    <row r="31" spans="1:15">
      <c r="A31">
        <v>1983</v>
      </c>
      <c r="B31" s="7">
        <v>75.329828376684802</v>
      </c>
      <c r="C31" s="7">
        <v>71.016124380128801</v>
      </c>
      <c r="D31" s="7">
        <v>66.373495519598805</v>
      </c>
      <c r="E31" s="7">
        <v>75.329828376684802</v>
      </c>
      <c r="F31" t="s">
        <v>76</v>
      </c>
    </row>
    <row r="32" spans="1:15">
      <c r="A32">
        <v>1984</v>
      </c>
      <c r="B32" s="7">
        <v>71.812155317601693</v>
      </c>
      <c r="C32" s="7">
        <v>67.517253412305905</v>
      </c>
      <c r="D32" s="7">
        <v>62.8267593107945</v>
      </c>
      <c r="E32" s="7">
        <v>71.812155317601693</v>
      </c>
      <c r="F32" t="s">
        <v>76</v>
      </c>
    </row>
    <row r="33" spans="1:6">
      <c r="A33">
        <v>1985</v>
      </c>
      <c r="B33" s="7">
        <v>73.613827266817907</v>
      </c>
      <c r="C33" s="7">
        <v>68.345598842056603</v>
      </c>
      <c r="D33" s="7">
        <v>62.8004769954659</v>
      </c>
      <c r="E33" s="7">
        <v>73.613827266817907</v>
      </c>
      <c r="F33" t="s">
        <v>76</v>
      </c>
    </row>
    <row r="34" spans="1:6">
      <c r="A34">
        <v>1986</v>
      </c>
      <c r="B34" s="7">
        <v>65.482687084659702</v>
      </c>
      <c r="C34" s="7">
        <v>59.788199181213301</v>
      </c>
      <c r="D34" s="7">
        <v>53.806694877432399</v>
      </c>
      <c r="E34" s="7">
        <v>65.482687084659702</v>
      </c>
      <c r="F34" t="s">
        <v>76</v>
      </c>
    </row>
    <row r="35" spans="1:6">
      <c r="A35">
        <v>1987</v>
      </c>
      <c r="B35" s="7">
        <v>75.839576707196898</v>
      </c>
      <c r="C35" s="7">
        <v>70.720149843376007</v>
      </c>
      <c r="D35" s="7">
        <v>65.246438381997805</v>
      </c>
      <c r="E35" s="7">
        <v>75.839576707196898</v>
      </c>
      <c r="F35" t="s">
        <v>76</v>
      </c>
    </row>
    <row r="36" spans="1:6">
      <c r="A36">
        <v>1988</v>
      </c>
      <c r="B36" s="7">
        <v>79.971878683829999</v>
      </c>
      <c r="C36" s="7">
        <v>75.821005276125902</v>
      </c>
      <c r="D36" s="7">
        <v>71.616254743976697</v>
      </c>
      <c r="E36" s="7">
        <v>79.971878683829999</v>
      </c>
      <c r="F36" t="s">
        <v>76</v>
      </c>
    </row>
    <row r="37" spans="1:6">
      <c r="A37">
        <v>1989</v>
      </c>
      <c r="B37" s="7">
        <v>65.228167279456102</v>
      </c>
      <c r="C37" s="7">
        <v>59.2344123825048</v>
      </c>
      <c r="D37" s="7">
        <v>52.890036023400299</v>
      </c>
      <c r="E37" s="7">
        <v>65.228167279456102</v>
      </c>
      <c r="F37" t="s">
        <v>76</v>
      </c>
    </row>
    <row r="38" spans="1:6">
      <c r="A38">
        <v>1990</v>
      </c>
      <c r="B38" s="7">
        <v>58.419666227095199</v>
      </c>
      <c r="C38" s="7">
        <v>52.632019661646801</v>
      </c>
      <c r="D38" s="7">
        <v>45.405592987277899</v>
      </c>
      <c r="E38" s="7">
        <v>58.419666227095199</v>
      </c>
      <c r="F38" t="s">
        <v>76</v>
      </c>
    </row>
    <row r="39" spans="1:6">
      <c r="A39">
        <v>1991</v>
      </c>
      <c r="B39" s="7">
        <v>60.2093463254973</v>
      </c>
      <c r="C39" s="7">
        <v>53.440130295333802</v>
      </c>
      <c r="D39" s="7">
        <v>46.357066949371301</v>
      </c>
      <c r="E39" s="7">
        <v>60.2093463254973</v>
      </c>
      <c r="F39" t="s">
        <v>75</v>
      </c>
    </row>
    <row r="40" spans="1:6">
      <c r="A40">
        <v>1992</v>
      </c>
      <c r="B40" s="7">
        <v>68.162938756449606</v>
      </c>
      <c r="C40" s="7">
        <v>62.860635657568899</v>
      </c>
      <c r="D40" s="7">
        <v>57.041104330937898</v>
      </c>
      <c r="E40" s="7">
        <v>68.162938756449606</v>
      </c>
      <c r="F40" t="s">
        <v>76</v>
      </c>
    </row>
    <row r="41" spans="1:6">
      <c r="A41">
        <v>1993</v>
      </c>
      <c r="B41" s="7">
        <v>66.989007492017905</v>
      </c>
      <c r="C41" s="7">
        <v>61.4848072783643</v>
      </c>
      <c r="D41" s="7">
        <v>55.8065215293961</v>
      </c>
      <c r="E41" s="7">
        <v>66.989007492017905</v>
      </c>
      <c r="F41" t="s">
        <v>76</v>
      </c>
    </row>
    <row r="42" spans="1:6">
      <c r="A42">
        <v>1994</v>
      </c>
      <c r="B42" s="7">
        <v>60.951309309567598</v>
      </c>
      <c r="C42" s="7">
        <v>54.797293490763501</v>
      </c>
      <c r="D42" s="7">
        <v>48.158399752089402</v>
      </c>
      <c r="E42" s="7">
        <v>60.951309309567598</v>
      </c>
      <c r="F42" t="s">
        <v>76</v>
      </c>
    </row>
    <row r="43" spans="1:6">
      <c r="A43">
        <v>1995</v>
      </c>
      <c r="B43" s="7">
        <v>61.237302983993203</v>
      </c>
      <c r="C43" s="7">
        <v>55.589716613408903</v>
      </c>
      <c r="D43" s="7">
        <v>48.049641220287597</v>
      </c>
      <c r="E43" s="7">
        <v>61.237302983993203</v>
      </c>
      <c r="F43" t="s">
        <v>76</v>
      </c>
    </row>
    <row r="44" spans="1:6">
      <c r="A44">
        <v>1996</v>
      </c>
      <c r="B44" s="7">
        <v>53.637859719938902</v>
      </c>
      <c r="C44" s="7">
        <v>47.380959082940201</v>
      </c>
      <c r="D44" s="7">
        <v>38.569438806622102</v>
      </c>
      <c r="E44" s="7">
        <v>53.340584977865298</v>
      </c>
      <c r="F44" t="s">
        <v>75</v>
      </c>
    </row>
    <row r="45" spans="1:6">
      <c r="A45">
        <v>1997</v>
      </c>
      <c r="B45" s="7">
        <v>41.533996774671401</v>
      </c>
      <c r="C45" s="7">
        <v>31.136831287369599</v>
      </c>
      <c r="D45" s="7">
        <v>23.751933229706701</v>
      </c>
      <c r="E45" s="7">
        <v>36.182710140361799</v>
      </c>
      <c r="F45" t="s">
        <v>75</v>
      </c>
    </row>
    <row r="46" spans="1:6">
      <c r="A46">
        <v>1998</v>
      </c>
      <c r="B46" s="7">
        <v>57.340882618089601</v>
      </c>
      <c r="C46" s="7">
        <v>51.041767741417303</v>
      </c>
      <c r="D46" s="7">
        <v>42.530797268844303</v>
      </c>
      <c r="E46" s="7">
        <v>57.340882618089601</v>
      </c>
      <c r="F46" t="s">
        <v>76</v>
      </c>
    </row>
    <row r="47" spans="1:6">
      <c r="A47">
        <v>1999</v>
      </c>
      <c r="B47" s="7">
        <v>49.404757654696297</v>
      </c>
      <c r="C47" s="7">
        <v>40.6762035489784</v>
      </c>
      <c r="D47" s="7">
        <v>34.098808609156301</v>
      </c>
      <c r="E47" s="7">
        <v>46.367661514846198</v>
      </c>
      <c r="F47" t="s">
        <v>75</v>
      </c>
    </row>
    <row r="48" spans="1:6">
      <c r="A48">
        <v>2000</v>
      </c>
      <c r="B48" s="7">
        <v>54.111357296112999</v>
      </c>
      <c r="C48" s="7">
        <v>47.553154247218004</v>
      </c>
      <c r="D48" s="7">
        <v>39.101085343140703</v>
      </c>
      <c r="E48" s="7">
        <v>54.053989444699901</v>
      </c>
      <c r="F48" t="s">
        <v>75</v>
      </c>
    </row>
    <row r="49" spans="1:6">
      <c r="A49">
        <v>2001</v>
      </c>
      <c r="B49" s="7">
        <v>60.850944497872803</v>
      </c>
      <c r="C49" s="7">
        <v>54.990214882057998</v>
      </c>
      <c r="D49" s="7">
        <v>48.540320679392998</v>
      </c>
      <c r="E49" s="7">
        <v>60.7921257234104</v>
      </c>
      <c r="F49" t="s">
        <v>76</v>
      </c>
    </row>
    <row r="50" spans="1:6">
      <c r="A50">
        <v>2002</v>
      </c>
      <c r="B50" s="7">
        <v>63.068323228352298</v>
      </c>
      <c r="C50" s="7">
        <v>57.144292241216398</v>
      </c>
      <c r="D50" s="7">
        <v>51.004942492391599</v>
      </c>
      <c r="E50" s="7">
        <v>63.068323228352298</v>
      </c>
      <c r="F50" t="s">
        <v>76</v>
      </c>
    </row>
    <row r="51" spans="1:6">
      <c r="A51">
        <v>2003</v>
      </c>
      <c r="B51" s="7">
        <v>65.949276034930094</v>
      </c>
      <c r="C51" s="7">
        <v>60.542028618864201</v>
      </c>
      <c r="D51" s="7">
        <v>55.006455266387398</v>
      </c>
      <c r="E51" s="7">
        <v>65.949276034930094</v>
      </c>
      <c r="F51" t="s">
        <v>76</v>
      </c>
    </row>
    <row r="52" spans="1:6">
      <c r="A52">
        <v>2004</v>
      </c>
      <c r="B52" s="7">
        <v>63.225296947095998</v>
      </c>
      <c r="C52" s="7">
        <v>57.705794771390899</v>
      </c>
      <c r="D52" s="7">
        <v>51.546487164629397</v>
      </c>
      <c r="E52" s="7">
        <v>63.225296947095998</v>
      </c>
      <c r="F52" t="s">
        <v>76</v>
      </c>
    </row>
    <row r="53" spans="1:6">
      <c r="A53">
        <v>2005</v>
      </c>
      <c r="B53" s="7">
        <v>53.086887847173202</v>
      </c>
      <c r="C53" s="7">
        <v>45.8002547212838</v>
      </c>
      <c r="D53" s="7">
        <v>37.793162564710997</v>
      </c>
      <c r="E53" s="7">
        <v>53.086887847173202</v>
      </c>
      <c r="F53" t="s">
        <v>75</v>
      </c>
    </row>
    <row r="54" spans="1:6">
      <c r="A54">
        <v>2006</v>
      </c>
      <c r="B54" s="7">
        <v>71.844309418327001</v>
      </c>
      <c r="C54" s="7">
        <v>66.742430797987296</v>
      </c>
      <c r="D54" s="7">
        <v>61.381500419441203</v>
      </c>
      <c r="E54" s="7">
        <v>71.844309418327001</v>
      </c>
      <c r="F54" t="s">
        <v>76</v>
      </c>
    </row>
    <row r="55" spans="1:6">
      <c r="A55">
        <v>2007</v>
      </c>
      <c r="B55" s="7">
        <v>69.0799996639618</v>
      </c>
      <c r="C55" s="7">
        <v>64.067546369008895</v>
      </c>
      <c r="D55" s="7">
        <v>58.795957608750697</v>
      </c>
      <c r="E55" s="7">
        <v>69.0799996639618</v>
      </c>
      <c r="F55" t="s">
        <v>76</v>
      </c>
    </row>
    <row r="56" spans="1:6">
      <c r="A56">
        <v>2008</v>
      </c>
      <c r="B56" s="7">
        <v>67.999704332936403</v>
      </c>
      <c r="C56" s="7">
        <v>62.304410778278402</v>
      </c>
      <c r="D56" s="7">
        <v>56.205666311645402</v>
      </c>
      <c r="E56" s="7">
        <v>67.999704332936403</v>
      </c>
      <c r="F56" t="s">
        <v>76</v>
      </c>
    </row>
    <row r="57" spans="1:6">
      <c r="A57">
        <v>2009</v>
      </c>
      <c r="B57" s="7">
        <v>68.989071432560394</v>
      </c>
      <c r="C57" s="7">
        <v>64.296922929090996</v>
      </c>
      <c r="D57" s="7">
        <v>59.3580669561604</v>
      </c>
      <c r="E57" s="7">
        <v>68.989071432560394</v>
      </c>
      <c r="F57" t="s">
        <v>76</v>
      </c>
    </row>
    <row r="58" spans="1:6">
      <c r="A58">
        <v>2010</v>
      </c>
      <c r="B58" s="7">
        <v>59.706517781835501</v>
      </c>
      <c r="C58" s="7">
        <v>53.669958028110102</v>
      </c>
      <c r="D58" s="7">
        <v>46.093496213061499</v>
      </c>
      <c r="E58" s="7">
        <v>59.588545404514797</v>
      </c>
      <c r="F58" t="s">
        <v>76</v>
      </c>
    </row>
    <row r="59" spans="1:6">
      <c r="A59">
        <v>2011</v>
      </c>
      <c r="B59" s="7">
        <v>42.503274756771901</v>
      </c>
      <c r="C59" s="7">
        <v>32.770556740674103</v>
      </c>
      <c r="D59" s="7">
        <v>23.755666059690601</v>
      </c>
      <c r="E59" s="7">
        <v>38.845565391444197</v>
      </c>
      <c r="F59" t="s">
        <v>75</v>
      </c>
    </row>
    <row r="60" spans="1:6">
      <c r="A60">
        <v>2012</v>
      </c>
      <c r="B60" s="7">
        <v>50.373388888133299</v>
      </c>
      <c r="C60" s="7">
        <v>42.962113569374402</v>
      </c>
      <c r="D60" s="7">
        <v>32.469064897042003</v>
      </c>
      <c r="E60" s="7">
        <v>49.898373727585998</v>
      </c>
      <c r="F60" t="s">
        <v>75</v>
      </c>
    </row>
    <row r="61" spans="1:6">
      <c r="A61">
        <v>2013</v>
      </c>
      <c r="B61" s="7">
        <v>48.9615006631524</v>
      </c>
      <c r="C61" s="7">
        <v>41.225904088984201</v>
      </c>
      <c r="D61" s="7">
        <v>30.711584738096999</v>
      </c>
      <c r="E61" s="7">
        <v>48.726058151105001</v>
      </c>
      <c r="F61" t="s">
        <v>75</v>
      </c>
    </row>
    <row r="62" spans="1:6">
      <c r="A62">
        <v>2014</v>
      </c>
      <c r="B62" s="7">
        <v>50.205120291498503</v>
      </c>
      <c r="C62" s="7">
        <v>42.890874115772</v>
      </c>
      <c r="D62" s="7">
        <v>32.489473882722798</v>
      </c>
      <c r="E62" s="7">
        <v>49.971351921431001</v>
      </c>
      <c r="F62" t="s">
        <v>75</v>
      </c>
    </row>
    <row r="63" spans="1:6">
      <c r="A63">
        <v>2015</v>
      </c>
      <c r="B63" s="7">
        <v>48.005693943516803</v>
      </c>
      <c r="C63" s="7">
        <v>38.220789404493601</v>
      </c>
      <c r="D63" s="7">
        <v>30.755655686166801</v>
      </c>
      <c r="E63" s="7">
        <v>44.327509517419699</v>
      </c>
      <c r="F63" t="s">
        <v>75</v>
      </c>
    </row>
    <row r="64" spans="1:6">
      <c r="A64">
        <v>2016</v>
      </c>
      <c r="B64" s="7">
        <v>58.342661862728498</v>
      </c>
      <c r="C64" s="7">
        <v>51.971564179513798</v>
      </c>
      <c r="D64" s="7">
        <v>44.015579676215999</v>
      </c>
      <c r="E64" s="7">
        <v>58.117040983629799</v>
      </c>
      <c r="F64" t="s">
        <v>76</v>
      </c>
    </row>
    <row r="65" spans="1:10">
      <c r="A65">
        <v>2017</v>
      </c>
      <c r="B65" s="7">
        <v>60.172632391878203</v>
      </c>
      <c r="C65" s="7">
        <v>54.4395657861511</v>
      </c>
      <c r="D65" s="7">
        <v>46.866294524985001</v>
      </c>
      <c r="E65" s="7">
        <v>60.172632391878203</v>
      </c>
      <c r="F65" t="s">
        <v>76</v>
      </c>
    </row>
    <row r="66" spans="1:10">
      <c r="A66">
        <v>2018</v>
      </c>
      <c r="B66" s="7">
        <v>48.349099526906301</v>
      </c>
      <c r="C66" s="7">
        <v>40.523819843010898</v>
      </c>
      <c r="D66" s="7">
        <v>31.668655338937601</v>
      </c>
      <c r="E66" s="7">
        <v>46.461594363331102</v>
      </c>
      <c r="F66" t="s">
        <v>75</v>
      </c>
    </row>
    <row r="67" spans="1:10">
      <c r="A67">
        <v>2019</v>
      </c>
      <c r="B67" s="7">
        <v>46.251550298874498</v>
      </c>
      <c r="C67" s="7">
        <v>38.488678693846801</v>
      </c>
      <c r="D67" s="7">
        <v>27.338703878277901</v>
      </c>
      <c r="E67" s="7">
        <v>46.251550298874498</v>
      </c>
      <c r="F67" t="s">
        <v>75</v>
      </c>
      <c r="J67" s="12"/>
    </row>
    <row r="68" spans="1:10">
      <c r="A68">
        <v>2020</v>
      </c>
      <c r="B68" s="7">
        <v>41.981891725734897</v>
      </c>
      <c r="C68" s="7">
        <v>33.761635411439102</v>
      </c>
      <c r="D68" s="7">
        <v>21.654312278687598</v>
      </c>
      <c r="E68" s="7">
        <v>41.693322521956702</v>
      </c>
      <c r="F68" t="s">
        <v>75</v>
      </c>
    </row>
    <row r="69" spans="1:10">
      <c r="A69">
        <v>2021</v>
      </c>
      <c r="B69" s="7">
        <v>49.345219585417901</v>
      </c>
      <c r="C69" s="7">
        <v>41.393647771826402</v>
      </c>
      <c r="D69" s="7">
        <v>29.706582798711199</v>
      </c>
      <c r="E69" s="7">
        <v>49.345219585417901</v>
      </c>
      <c r="F69" t="s">
        <v>75</v>
      </c>
    </row>
    <row r="70" spans="1:10">
      <c r="A70">
        <v>2022</v>
      </c>
      <c r="B70" s="7">
        <v>41.018349883916798</v>
      </c>
      <c r="C70" s="7">
        <v>32.470643168010199</v>
      </c>
      <c r="D70" s="7">
        <v>21.647154527122801</v>
      </c>
      <c r="E70" s="7">
        <v>40.378039932750397</v>
      </c>
      <c r="F70" t="s">
        <v>75</v>
      </c>
    </row>
    <row r="71" spans="1:10">
      <c r="A71">
        <v>2023</v>
      </c>
      <c r="B71" s="7">
        <v>50.6356147406823</v>
      </c>
      <c r="C71" s="7">
        <v>43.532409121760402</v>
      </c>
      <c r="D71" s="7">
        <v>32.166188442379202</v>
      </c>
      <c r="E71" s="7">
        <v>50.6356147406823</v>
      </c>
      <c r="F71" t="s">
        <v>75</v>
      </c>
    </row>
    <row r="72" spans="1:10">
      <c r="A72">
        <v>2024</v>
      </c>
      <c r="B72" s="7">
        <v>60.758125072269401</v>
      </c>
      <c r="C72" s="7">
        <v>54.992568669305697</v>
      </c>
      <c r="D72" s="7">
        <v>48.974433011484201</v>
      </c>
      <c r="E72" s="7">
        <v>60.758125072269401</v>
      </c>
      <c r="F72" t="s">
        <v>76</v>
      </c>
    </row>
    <row r="73" spans="1:10">
      <c r="A73">
        <v>2025</v>
      </c>
      <c r="B73" s="7">
        <v>64.940242761280302</v>
      </c>
      <c r="C73" s="7">
        <v>59.381767450873703</v>
      </c>
      <c r="D73" s="7">
        <v>53.738886591723499</v>
      </c>
      <c r="E73" s="7">
        <v>64.940242761280302</v>
      </c>
      <c r="F73" t="s">
        <v>76</v>
      </c>
    </row>
    <row r="74" spans="1:10">
      <c r="C74" s="5"/>
      <c r="D74" s="5"/>
      <c r="E74" s="5"/>
      <c r="F74" s="5"/>
    </row>
    <row r="75" spans="1:10">
      <c r="I75" s="11"/>
    </row>
    <row r="77" spans="1:10">
      <c r="A77" t="s">
        <v>69</v>
      </c>
      <c r="B77" t="s">
        <v>90</v>
      </c>
      <c r="C77" t="s">
        <v>77</v>
      </c>
      <c r="D77" t="s">
        <v>78</v>
      </c>
      <c r="E77" t="s">
        <v>79</v>
      </c>
      <c r="F77" t="s">
        <v>70</v>
      </c>
      <c r="G77" t="s">
        <v>74</v>
      </c>
    </row>
    <row r="78" spans="1:10">
      <c r="A78">
        <v>1957</v>
      </c>
      <c r="B78">
        <f>F78/LOOKUP(A78,$A$5:$A$73,$B$5:$B$73)</f>
        <v>0.66874792753744838</v>
      </c>
      <c r="C78">
        <v>1</v>
      </c>
      <c r="D78" s="6">
        <v>20729</v>
      </c>
      <c r="E78" s="6">
        <v>20910</v>
      </c>
      <c r="F78" s="8">
        <v>31.261482655846201</v>
      </c>
      <c r="G78" t="s">
        <v>75</v>
      </c>
      <c r="H78" s="8"/>
    </row>
    <row r="79" spans="1:10">
      <c r="A79">
        <v>1957</v>
      </c>
      <c r="C79">
        <v>2</v>
      </c>
      <c r="D79" s="6">
        <v>20911</v>
      </c>
      <c r="E79" s="6">
        <v>21093</v>
      </c>
      <c r="F79" s="8">
        <v>15.484804500453899</v>
      </c>
      <c r="G79" t="s">
        <v>75</v>
      </c>
    </row>
    <row r="80" spans="1:10">
      <c r="A80">
        <v>1958</v>
      </c>
      <c r="B80">
        <f>F80/LOOKUP(A80,$A$5:$A$73,$B$5:$B$73)</f>
        <v>0.71722198126027026</v>
      </c>
      <c r="C80">
        <v>1</v>
      </c>
      <c r="D80" s="6">
        <v>21094</v>
      </c>
      <c r="E80" s="6">
        <v>21275</v>
      </c>
      <c r="F80" s="8">
        <v>33.413603331949403</v>
      </c>
      <c r="G80" t="s">
        <v>75</v>
      </c>
      <c r="H80" s="8"/>
    </row>
    <row r="81" spans="1:10">
      <c r="A81">
        <v>1958</v>
      </c>
      <c r="C81">
        <v>2</v>
      </c>
      <c r="D81" s="6">
        <v>21276</v>
      </c>
      <c r="E81" s="6">
        <v>21458</v>
      </c>
      <c r="F81" s="8">
        <v>13.1739305208704</v>
      </c>
      <c r="G81" t="s">
        <v>75</v>
      </c>
    </row>
    <row r="82" spans="1:10">
      <c r="A82">
        <v>1959</v>
      </c>
      <c r="B82">
        <f>F82/LOOKUP(A82,$A$5:$A$73,$B$5:$B$73)</f>
        <v>0.69366109327338132</v>
      </c>
      <c r="C82">
        <v>1</v>
      </c>
      <c r="D82" s="6">
        <v>21459</v>
      </c>
      <c r="E82" s="6">
        <v>21640</v>
      </c>
      <c r="F82" s="8">
        <v>38.022544104970201</v>
      </c>
      <c r="G82" t="s">
        <v>75</v>
      </c>
      <c r="H82" s="8"/>
    </row>
    <row r="83" spans="1:10">
      <c r="A83">
        <v>1959</v>
      </c>
      <c r="C83">
        <v>2</v>
      </c>
      <c r="D83" s="6">
        <v>21641</v>
      </c>
      <c r="E83" s="6">
        <v>21823</v>
      </c>
      <c r="F83" s="8">
        <v>16.791751339426298</v>
      </c>
      <c r="G83" t="s">
        <v>75</v>
      </c>
      <c r="J83" s="11"/>
    </row>
    <row r="84" spans="1:10">
      <c r="A84">
        <v>1960</v>
      </c>
      <c r="B84">
        <f>F84/LOOKUP(A84,$A$5:$A$73,$B$5:$B$73)</f>
        <v>0.72411458803863915</v>
      </c>
      <c r="C84">
        <v>1</v>
      </c>
      <c r="D84" s="6">
        <v>21824</v>
      </c>
      <c r="E84" s="6">
        <v>22006</v>
      </c>
      <c r="F84" s="8">
        <v>38.023973292361703</v>
      </c>
      <c r="G84" t="s">
        <v>75</v>
      </c>
      <c r="H84" s="8"/>
    </row>
    <row r="85" spans="1:10">
      <c r="A85">
        <v>1960</v>
      </c>
      <c r="C85">
        <v>2</v>
      </c>
      <c r="D85" s="6">
        <v>22007</v>
      </c>
      <c r="E85" s="6">
        <v>22189</v>
      </c>
      <c r="F85" s="8">
        <v>14.487015880435701</v>
      </c>
      <c r="G85" t="s">
        <v>75</v>
      </c>
    </row>
    <row r="86" spans="1:10">
      <c r="A86">
        <v>1961</v>
      </c>
      <c r="B86">
        <f>F86/LOOKUP(A86,$A$5:$A$73,$B$5:$B$73)</f>
        <v>0.7050734484295389</v>
      </c>
      <c r="C86">
        <v>1</v>
      </c>
      <c r="D86" s="6">
        <v>22190</v>
      </c>
      <c r="E86" s="6">
        <v>22371</v>
      </c>
      <c r="F86" s="8">
        <v>35.535600613360998</v>
      </c>
      <c r="G86" t="s">
        <v>75</v>
      </c>
      <c r="H86" s="8"/>
    </row>
    <row r="87" spans="1:10">
      <c r="A87">
        <v>1961</v>
      </c>
      <c r="C87" s="12">
        <v>2</v>
      </c>
      <c r="D87" s="6">
        <v>22372</v>
      </c>
      <c r="E87" s="6">
        <v>22554</v>
      </c>
      <c r="F87" s="8">
        <v>14.864255873238999</v>
      </c>
      <c r="G87" t="s">
        <v>75</v>
      </c>
    </row>
    <row r="88" spans="1:10">
      <c r="A88">
        <v>1962</v>
      </c>
      <c r="B88">
        <f>F88/LOOKUP(A88,$A$5:$A$73,$B$5:$B$73)</f>
        <v>0.70521533605388342</v>
      </c>
      <c r="C88">
        <v>1</v>
      </c>
      <c r="D88" s="6">
        <v>22555</v>
      </c>
      <c r="E88" s="6">
        <v>22736</v>
      </c>
      <c r="F88" s="8">
        <v>39.9173659001831</v>
      </c>
      <c r="G88" t="s">
        <v>76</v>
      </c>
      <c r="H88" s="8"/>
    </row>
    <row r="89" spans="1:10">
      <c r="A89">
        <v>1962</v>
      </c>
      <c r="C89">
        <v>2</v>
      </c>
      <c r="D89" s="6">
        <v>22737</v>
      </c>
      <c r="E89" s="6">
        <v>22919</v>
      </c>
      <c r="F89" s="8">
        <v>16.685722347366202</v>
      </c>
      <c r="G89" t="s">
        <v>76</v>
      </c>
    </row>
    <row r="90" spans="1:10">
      <c r="A90">
        <v>1963</v>
      </c>
      <c r="B90">
        <f>F90/LOOKUP(A90,$A$5:$A$73,$B$5:$B$73)</f>
        <v>0.7081411672581851</v>
      </c>
      <c r="C90">
        <v>1</v>
      </c>
      <c r="D90" s="6">
        <v>22920</v>
      </c>
      <c r="E90" s="6">
        <v>23101</v>
      </c>
      <c r="F90" s="8">
        <v>34.726247834126703</v>
      </c>
      <c r="G90" t="s">
        <v>75</v>
      </c>
      <c r="H90" s="8"/>
    </row>
    <row r="91" spans="1:10">
      <c r="A91">
        <v>1963</v>
      </c>
      <c r="C91">
        <v>2</v>
      </c>
      <c r="D91" s="6">
        <v>23102</v>
      </c>
      <c r="E91" s="6">
        <v>23284</v>
      </c>
      <c r="F91" s="8">
        <v>14.3123470671999</v>
      </c>
      <c r="G91" t="s">
        <v>75</v>
      </c>
    </row>
    <row r="92" spans="1:10">
      <c r="A92">
        <v>1964</v>
      </c>
      <c r="B92">
        <f>F92/LOOKUP(A92,$A$5:$A$73,$B$5:$B$73)</f>
        <v>0.64768063472880544</v>
      </c>
      <c r="C92">
        <v>1</v>
      </c>
      <c r="D92" s="6">
        <v>23285</v>
      </c>
      <c r="E92" s="6">
        <v>23467</v>
      </c>
      <c r="F92" s="8">
        <v>33.774130393555403</v>
      </c>
      <c r="G92" t="s">
        <v>76</v>
      </c>
      <c r="H92" s="8"/>
    </row>
    <row r="93" spans="1:10">
      <c r="A93">
        <v>1964</v>
      </c>
      <c r="C93">
        <v>2</v>
      </c>
      <c r="D93" s="6">
        <v>23468</v>
      </c>
      <c r="E93" s="6">
        <v>23650</v>
      </c>
      <c r="F93" s="8">
        <v>18.3721413684483</v>
      </c>
      <c r="G93" t="s">
        <v>76</v>
      </c>
    </row>
    <row r="94" spans="1:10">
      <c r="A94">
        <v>1965</v>
      </c>
      <c r="B94">
        <f>F94/LOOKUP(A94,$A$5:$A$73,$B$5:$B$73)</f>
        <v>0.67156640118429367</v>
      </c>
      <c r="C94">
        <v>1</v>
      </c>
      <c r="D94" s="6">
        <v>23651</v>
      </c>
      <c r="E94" s="6">
        <v>23832</v>
      </c>
      <c r="F94" s="8">
        <v>29.345120233825298</v>
      </c>
      <c r="G94" t="s">
        <v>75</v>
      </c>
      <c r="H94" s="8"/>
    </row>
    <row r="95" spans="1:10">
      <c r="A95">
        <v>1965</v>
      </c>
      <c r="C95">
        <v>2</v>
      </c>
      <c r="D95" s="6">
        <v>23833</v>
      </c>
      <c r="E95" s="6">
        <v>24015</v>
      </c>
      <c r="F95" s="8">
        <v>14.3514080351228</v>
      </c>
      <c r="G95" t="s">
        <v>75</v>
      </c>
      <c r="J95" s="12"/>
    </row>
    <row r="96" spans="1:10">
      <c r="A96">
        <v>1966</v>
      </c>
      <c r="B96">
        <f>F96/LOOKUP(A96,$A$5:$A$73,$B$5:$B$73)</f>
        <v>0.66765868441140785</v>
      </c>
      <c r="C96">
        <v>1</v>
      </c>
      <c r="D96" s="6">
        <v>24016</v>
      </c>
      <c r="E96" s="6">
        <v>24197</v>
      </c>
      <c r="F96" s="8">
        <v>40.239565685160699</v>
      </c>
      <c r="G96" t="s">
        <v>76</v>
      </c>
      <c r="H96" s="8"/>
    </row>
    <row r="97" spans="1:8">
      <c r="A97">
        <v>1966</v>
      </c>
      <c r="C97">
        <v>2</v>
      </c>
      <c r="D97" s="6">
        <v>24198</v>
      </c>
      <c r="E97" s="6">
        <v>24380</v>
      </c>
      <c r="F97" s="8">
        <v>20.0300999758723</v>
      </c>
      <c r="G97" t="s">
        <v>76</v>
      </c>
    </row>
    <row r="98" spans="1:8">
      <c r="A98">
        <v>1967</v>
      </c>
      <c r="B98">
        <f>F98/LOOKUP(A98,$A$5:$A$73,$B$5:$B$73)</f>
        <v>0.68796550188948047</v>
      </c>
      <c r="C98">
        <v>1</v>
      </c>
      <c r="D98" s="6">
        <v>24381</v>
      </c>
      <c r="E98" s="6">
        <v>24562</v>
      </c>
      <c r="F98" s="8">
        <v>35.922065128473498</v>
      </c>
      <c r="G98" t="s">
        <v>75</v>
      </c>
      <c r="H98" s="8"/>
    </row>
    <row r="99" spans="1:8">
      <c r="A99">
        <v>1967</v>
      </c>
      <c r="C99">
        <v>2</v>
      </c>
      <c r="D99" s="6">
        <v>24563</v>
      </c>
      <c r="E99" s="6">
        <v>24745</v>
      </c>
      <c r="F99" s="8">
        <v>16.292857029417199</v>
      </c>
      <c r="G99" t="s">
        <v>75</v>
      </c>
    </row>
    <row r="100" spans="1:8">
      <c r="A100">
        <v>1968</v>
      </c>
      <c r="B100">
        <f>F100/LOOKUP(A100,$A$5:$A$73,$B$5:$B$73)</f>
        <v>0.70699608389277224</v>
      </c>
      <c r="C100">
        <v>1</v>
      </c>
      <c r="D100" s="6">
        <v>24746</v>
      </c>
      <c r="E100" s="6">
        <v>24928</v>
      </c>
      <c r="F100" s="8">
        <v>32.063726498374599</v>
      </c>
      <c r="G100" t="s">
        <v>75</v>
      </c>
      <c r="H100" s="8"/>
    </row>
    <row r="101" spans="1:8">
      <c r="A101">
        <v>1968</v>
      </c>
      <c r="C101">
        <v>2</v>
      </c>
      <c r="D101" s="6">
        <v>24929</v>
      </c>
      <c r="E101" s="6">
        <v>25111</v>
      </c>
      <c r="F101" s="8">
        <v>13.28833022283</v>
      </c>
      <c r="G101" t="s">
        <v>75</v>
      </c>
    </row>
    <row r="102" spans="1:8">
      <c r="A102">
        <v>1969</v>
      </c>
      <c r="B102">
        <f>F102/LOOKUP(A102,$A$5:$A$73,$B$5:$B$73)</f>
        <v>0.73202036984762042</v>
      </c>
      <c r="C102">
        <v>1</v>
      </c>
      <c r="D102" s="6">
        <v>25112</v>
      </c>
      <c r="E102" s="6">
        <v>25293</v>
      </c>
      <c r="F102" s="8">
        <v>25.4101220562316</v>
      </c>
      <c r="G102" t="s">
        <v>75</v>
      </c>
      <c r="H102" s="8"/>
    </row>
    <row r="103" spans="1:8">
      <c r="A103">
        <v>1969</v>
      </c>
      <c r="C103">
        <v>2</v>
      </c>
      <c r="D103" s="6">
        <v>25294</v>
      </c>
      <c r="E103" s="6">
        <v>25476</v>
      </c>
      <c r="F103" s="8">
        <v>9.3021934788143401</v>
      </c>
      <c r="G103" t="s">
        <v>75</v>
      </c>
    </row>
    <row r="104" spans="1:8">
      <c r="A104">
        <v>1970</v>
      </c>
      <c r="B104">
        <f>F104/LOOKUP(A104,$A$5:$A$73,$B$5:$B$73)</f>
        <v>0.67909878656853606</v>
      </c>
      <c r="C104">
        <v>1</v>
      </c>
      <c r="D104" s="6">
        <v>25477</v>
      </c>
      <c r="E104" s="6">
        <v>25658</v>
      </c>
      <c r="F104" s="8">
        <v>33.952626825216598</v>
      </c>
      <c r="G104" t="s">
        <v>75</v>
      </c>
      <c r="H104" s="8"/>
    </row>
    <row r="105" spans="1:8">
      <c r="A105">
        <v>1970</v>
      </c>
      <c r="C105">
        <v>2</v>
      </c>
      <c r="D105" s="6">
        <v>25659</v>
      </c>
      <c r="E105" s="6">
        <v>25841</v>
      </c>
      <c r="F105" s="8">
        <v>16.043967921739299</v>
      </c>
      <c r="G105" t="s">
        <v>75</v>
      </c>
    </row>
    <row r="106" spans="1:8">
      <c r="A106">
        <v>1971</v>
      </c>
      <c r="B106">
        <f>F106/LOOKUP(A106,$A$5:$A$73,$B$5:$B$73)</f>
        <v>0.67488371605579711</v>
      </c>
      <c r="C106">
        <v>1</v>
      </c>
      <c r="D106" s="6">
        <v>25842</v>
      </c>
      <c r="E106" s="6">
        <v>26023</v>
      </c>
      <c r="F106" s="8">
        <v>25.9300101066686</v>
      </c>
      <c r="G106" t="s">
        <v>75</v>
      </c>
      <c r="H106" s="8"/>
    </row>
    <row r="107" spans="1:8">
      <c r="A107">
        <v>1971</v>
      </c>
      <c r="C107">
        <v>2</v>
      </c>
      <c r="D107" s="6">
        <v>26024</v>
      </c>
      <c r="E107" s="6">
        <v>26206</v>
      </c>
      <c r="F107" s="8">
        <v>12.4914386403994</v>
      </c>
      <c r="G107" t="s">
        <v>75</v>
      </c>
    </row>
    <row r="108" spans="1:8">
      <c r="A108">
        <v>1972</v>
      </c>
      <c r="B108">
        <f>F108/LOOKUP(A108,$A$5:$A$73,$B$5:$B$73)</f>
        <v>0.70523042807398773</v>
      </c>
      <c r="C108">
        <v>1</v>
      </c>
      <c r="D108" s="6">
        <v>26207</v>
      </c>
      <c r="E108" s="6">
        <v>26389</v>
      </c>
      <c r="F108" s="8">
        <v>35.123187483795398</v>
      </c>
      <c r="G108" t="s">
        <v>75</v>
      </c>
      <c r="H108" s="8"/>
    </row>
    <row r="109" spans="1:8">
      <c r="A109">
        <v>1972</v>
      </c>
      <c r="C109">
        <v>2</v>
      </c>
      <c r="D109" s="6">
        <v>26390</v>
      </c>
      <c r="E109" s="6">
        <v>26572</v>
      </c>
      <c r="F109" s="8">
        <v>14.6806583027771</v>
      </c>
      <c r="G109" t="s">
        <v>75</v>
      </c>
    </row>
    <row r="110" spans="1:8">
      <c r="A110">
        <v>1973</v>
      </c>
      <c r="B110">
        <f>F110/LOOKUP(A110,$A$5:$A$73,$B$5:$B$73)</f>
        <v>0.61930212133935725</v>
      </c>
      <c r="C110">
        <v>1</v>
      </c>
      <c r="D110" s="6">
        <v>26573</v>
      </c>
      <c r="E110" s="6">
        <v>26754</v>
      </c>
      <c r="F110" s="8">
        <v>37.2742975080021</v>
      </c>
      <c r="G110" t="s">
        <v>76</v>
      </c>
      <c r="H110" s="8"/>
    </row>
    <row r="111" spans="1:8">
      <c r="A111">
        <v>1973</v>
      </c>
      <c r="C111">
        <v>2</v>
      </c>
      <c r="D111" s="6">
        <v>26755</v>
      </c>
      <c r="E111" s="6">
        <v>26937</v>
      </c>
      <c r="F111" s="8">
        <v>22.9132849717566</v>
      </c>
      <c r="G111" t="s">
        <v>76</v>
      </c>
    </row>
    <row r="112" spans="1:8">
      <c r="A112">
        <v>1974</v>
      </c>
      <c r="B112">
        <f>F112/LOOKUP(A112,$A$5:$A$73,$B$5:$B$73)</f>
        <v>0.67143984564374237</v>
      </c>
      <c r="C112">
        <v>1</v>
      </c>
      <c r="D112" s="6">
        <v>26938</v>
      </c>
      <c r="E112" s="6">
        <v>27119</v>
      </c>
      <c r="F112" s="8">
        <v>38.296523020453499</v>
      </c>
      <c r="G112" t="s">
        <v>76</v>
      </c>
      <c r="H112" s="8"/>
    </row>
    <row r="113" spans="1:8">
      <c r="A113">
        <v>1974</v>
      </c>
      <c r="C113">
        <v>2</v>
      </c>
      <c r="D113" s="6">
        <v>27120</v>
      </c>
      <c r="E113" s="6">
        <v>27302</v>
      </c>
      <c r="F113" s="8">
        <v>18.739893970463601</v>
      </c>
      <c r="G113" t="s">
        <v>76</v>
      </c>
    </row>
    <row r="114" spans="1:8">
      <c r="A114">
        <v>1975</v>
      </c>
      <c r="B114">
        <f>F114/LOOKUP(A114,$A$5:$A$73,$B$5:$B$73)</f>
        <v>0.67459261114924196</v>
      </c>
      <c r="C114">
        <v>1</v>
      </c>
      <c r="D114" s="6">
        <v>27303</v>
      </c>
      <c r="E114" s="6">
        <v>27484</v>
      </c>
      <c r="F114" s="8">
        <v>38.4974423799341</v>
      </c>
      <c r="G114" t="s">
        <v>75</v>
      </c>
      <c r="H114" s="8"/>
    </row>
    <row r="115" spans="1:8">
      <c r="A115">
        <v>1975</v>
      </c>
      <c r="C115">
        <v>2</v>
      </c>
      <c r="D115" s="6">
        <v>27485</v>
      </c>
      <c r="E115" s="6">
        <v>27667</v>
      </c>
      <c r="F115" s="8">
        <v>18.570248169402699</v>
      </c>
      <c r="G115" t="s">
        <v>75</v>
      </c>
    </row>
    <row r="116" spans="1:8">
      <c r="A116">
        <v>1976</v>
      </c>
      <c r="B116">
        <f>F116/LOOKUP(A116,$A$5:$A$73,$B$5:$B$73)</f>
        <v>0.70192758098146446</v>
      </c>
      <c r="C116">
        <v>1</v>
      </c>
      <c r="D116" s="6">
        <v>27668</v>
      </c>
      <c r="E116" s="6">
        <v>27850</v>
      </c>
      <c r="F116" s="8">
        <v>32.860316735248801</v>
      </c>
      <c r="G116" t="s">
        <v>75</v>
      </c>
      <c r="H116" s="8"/>
    </row>
    <row r="117" spans="1:8">
      <c r="A117">
        <v>1976</v>
      </c>
      <c r="C117">
        <v>2</v>
      </c>
      <c r="D117" s="6">
        <v>27851</v>
      </c>
      <c r="E117" s="6">
        <v>28033</v>
      </c>
      <c r="F117" s="8">
        <v>13.954080683502101</v>
      </c>
      <c r="G117" t="s">
        <v>75</v>
      </c>
    </row>
    <row r="118" spans="1:8">
      <c r="A118">
        <v>1977</v>
      </c>
      <c r="B118">
        <f>F118/LOOKUP(A118,$A$5:$A$73,$B$5:$B$73)</f>
        <v>0.63655700845303009</v>
      </c>
      <c r="C118">
        <v>1</v>
      </c>
      <c r="D118" s="6">
        <v>28034</v>
      </c>
      <c r="E118" s="6">
        <v>28215</v>
      </c>
      <c r="F118" s="8">
        <v>29.883195046637201</v>
      </c>
      <c r="G118" t="s">
        <v>75</v>
      </c>
      <c r="H118" s="8"/>
    </row>
    <row r="119" spans="1:8">
      <c r="A119">
        <v>1977</v>
      </c>
      <c r="C119">
        <v>2</v>
      </c>
      <c r="D119" s="6">
        <v>28216</v>
      </c>
      <c r="E119" s="6">
        <v>28398</v>
      </c>
      <c r="F119" s="8">
        <v>17.0618462455162</v>
      </c>
      <c r="G119" t="s">
        <v>75</v>
      </c>
    </row>
    <row r="120" spans="1:8">
      <c r="A120">
        <v>1978</v>
      </c>
      <c r="B120">
        <f>F120/LOOKUP(A120,$A$5:$A$73,$B$5:$B$73)</f>
        <v>0.66854945210164696</v>
      </c>
      <c r="C120">
        <v>1</v>
      </c>
      <c r="D120" s="6">
        <v>28399</v>
      </c>
      <c r="E120" s="6">
        <v>28580</v>
      </c>
      <c r="F120" s="8">
        <v>40.3790272925593</v>
      </c>
      <c r="G120" t="s">
        <v>76</v>
      </c>
      <c r="H120" s="8"/>
    </row>
    <row r="121" spans="1:8">
      <c r="A121">
        <v>1978</v>
      </c>
      <c r="C121">
        <v>2</v>
      </c>
      <c r="D121" s="6">
        <v>28581</v>
      </c>
      <c r="E121" s="6">
        <v>28763</v>
      </c>
      <c r="F121" s="8">
        <v>20.018939029339599</v>
      </c>
      <c r="G121" t="s">
        <v>76</v>
      </c>
    </row>
    <row r="122" spans="1:8">
      <c r="A122">
        <v>1979</v>
      </c>
      <c r="B122">
        <f>F122/LOOKUP(A122,$A$5:$A$73,$B$5:$B$73)</f>
        <v>0.63494881610156906</v>
      </c>
      <c r="C122">
        <v>1</v>
      </c>
      <c r="D122" s="6">
        <v>28764</v>
      </c>
      <c r="E122" s="6">
        <v>28945</v>
      </c>
      <c r="F122" s="8">
        <v>41.619281895525802</v>
      </c>
      <c r="G122" t="s">
        <v>76</v>
      </c>
      <c r="H122" s="8"/>
    </row>
    <row r="123" spans="1:8">
      <c r="A123">
        <v>1979</v>
      </c>
      <c r="C123">
        <v>2</v>
      </c>
      <c r="D123" s="6">
        <v>28946</v>
      </c>
      <c r="E123" s="6">
        <v>29128</v>
      </c>
      <c r="F123" s="8">
        <v>23.928177742336</v>
      </c>
      <c r="G123" t="s">
        <v>76</v>
      </c>
    </row>
    <row r="124" spans="1:8">
      <c r="A124">
        <v>1980</v>
      </c>
      <c r="B124">
        <f>F124/LOOKUP(A124,$A$5:$A$73,$B$5:$B$73)</f>
        <v>0.58300180278626812</v>
      </c>
      <c r="C124">
        <v>1</v>
      </c>
      <c r="D124" s="6">
        <v>29129</v>
      </c>
      <c r="E124" s="6">
        <v>29311</v>
      </c>
      <c r="F124" s="8">
        <v>40.1966747538711</v>
      </c>
      <c r="G124" t="s">
        <v>76</v>
      </c>
      <c r="H124" s="8"/>
    </row>
    <row r="125" spans="1:8">
      <c r="A125">
        <v>1980</v>
      </c>
      <c r="C125">
        <v>2</v>
      </c>
      <c r="D125" s="6">
        <v>29312</v>
      </c>
      <c r="E125" s="6">
        <v>29494</v>
      </c>
      <c r="F125" s="8">
        <v>28.751096182280602</v>
      </c>
      <c r="G125" t="s">
        <v>76</v>
      </c>
    </row>
    <row r="126" spans="1:8">
      <c r="A126">
        <v>1981</v>
      </c>
      <c r="B126">
        <f>F126/LOOKUP(A126,$A$5:$A$73,$B$5:$B$73)</f>
        <v>0.62961678240838581</v>
      </c>
      <c r="C126">
        <v>1</v>
      </c>
      <c r="D126" s="6">
        <v>29495</v>
      </c>
      <c r="E126" s="6">
        <v>29676</v>
      </c>
      <c r="F126" s="8">
        <v>40.7458597027209</v>
      </c>
      <c r="G126" t="s">
        <v>76</v>
      </c>
      <c r="H126" s="8"/>
    </row>
    <row r="127" spans="1:8">
      <c r="A127">
        <v>1981</v>
      </c>
      <c r="C127">
        <v>2</v>
      </c>
      <c r="D127" s="6">
        <v>29677</v>
      </c>
      <c r="E127" s="6">
        <v>29859</v>
      </c>
      <c r="F127" s="8">
        <v>23.969473244506801</v>
      </c>
      <c r="G127" t="s">
        <v>76</v>
      </c>
    </row>
    <row r="128" spans="1:8">
      <c r="A128">
        <v>1982</v>
      </c>
      <c r="B128">
        <f>F128/LOOKUP(A128,$A$5:$A$73,$B$5:$B$73)</f>
        <v>0.63626391866535448</v>
      </c>
      <c r="C128">
        <v>1</v>
      </c>
      <c r="D128" s="6">
        <v>29860</v>
      </c>
      <c r="E128" s="6">
        <v>30041</v>
      </c>
      <c r="F128" s="8">
        <v>37.361816070237801</v>
      </c>
      <c r="G128" t="s">
        <v>75</v>
      </c>
      <c r="H128" s="8"/>
    </row>
    <row r="129" spans="1:8">
      <c r="A129">
        <v>1982</v>
      </c>
      <c r="C129">
        <v>2</v>
      </c>
      <c r="D129" s="6">
        <v>30042</v>
      </c>
      <c r="E129" s="6">
        <v>30224</v>
      </c>
      <c r="F129" s="8">
        <v>21.358810660583298</v>
      </c>
      <c r="G129" t="s">
        <v>75</v>
      </c>
    </row>
    <row r="130" spans="1:8">
      <c r="A130">
        <v>1983</v>
      </c>
      <c r="B130">
        <f>F130/LOOKUP(A130,$A$5:$A$73,$B$5:$B$73)</f>
        <v>0.54953653225270127</v>
      </c>
      <c r="C130">
        <v>1</v>
      </c>
      <c r="D130" s="6">
        <v>30225</v>
      </c>
      <c r="E130" s="6">
        <v>30406</v>
      </c>
      <c r="F130" s="8">
        <v>41.396492661314497</v>
      </c>
      <c r="G130" t="s">
        <v>76</v>
      </c>
      <c r="H130" s="8"/>
    </row>
    <row r="131" spans="1:8">
      <c r="A131">
        <v>1983</v>
      </c>
      <c r="C131">
        <v>2</v>
      </c>
      <c r="D131" s="6">
        <v>30407</v>
      </c>
      <c r="E131" s="6">
        <v>30589</v>
      </c>
      <c r="F131" s="8">
        <v>33.933335715370298</v>
      </c>
      <c r="G131" t="s">
        <v>76</v>
      </c>
    </row>
    <row r="132" spans="1:8">
      <c r="A132">
        <v>1984</v>
      </c>
      <c r="B132">
        <f>F132/LOOKUP(A132,$A$5:$A$73,$B$5:$B$73)</f>
        <v>0.60172832934692411</v>
      </c>
      <c r="C132">
        <v>1</v>
      </c>
      <c r="D132" s="6">
        <v>30590</v>
      </c>
      <c r="E132" s="6">
        <v>30772</v>
      </c>
      <c r="F132" s="8">
        <v>43.211408246062298</v>
      </c>
      <c r="G132" t="s">
        <v>76</v>
      </c>
      <c r="H132" s="8"/>
    </row>
    <row r="133" spans="1:8">
      <c r="A133">
        <v>1984</v>
      </c>
      <c r="C133">
        <v>2</v>
      </c>
      <c r="D133" s="6">
        <v>30773</v>
      </c>
      <c r="E133" s="6">
        <v>30955</v>
      </c>
      <c r="F133" s="8">
        <v>28.600747071539399</v>
      </c>
      <c r="G133" t="s">
        <v>76</v>
      </c>
    </row>
    <row r="134" spans="1:8">
      <c r="A134">
        <v>1985</v>
      </c>
      <c r="B134">
        <f>F134/LOOKUP(A134,$A$5:$A$73,$B$5:$B$73)</f>
        <v>0.5712979602554269</v>
      </c>
      <c r="C134">
        <v>1</v>
      </c>
      <c r="D134" s="6">
        <v>30956</v>
      </c>
      <c r="E134" s="6">
        <v>31137</v>
      </c>
      <c r="F134" s="8">
        <v>42.0554293641284</v>
      </c>
      <c r="G134" t="s">
        <v>76</v>
      </c>
      <c r="H134" s="8"/>
    </row>
    <row r="135" spans="1:8">
      <c r="A135">
        <v>1985</v>
      </c>
      <c r="C135">
        <v>2</v>
      </c>
      <c r="D135" s="6">
        <v>31138</v>
      </c>
      <c r="E135" s="6">
        <v>31320</v>
      </c>
      <c r="F135" s="8">
        <v>31.5583979026894</v>
      </c>
      <c r="G135" t="s">
        <v>76</v>
      </c>
    </row>
    <row r="136" spans="1:8">
      <c r="A136">
        <v>1986</v>
      </c>
      <c r="B136">
        <f>F136/LOOKUP(A136,$A$5:$A$73,$B$5:$B$73)</f>
        <v>0.60222528970027422</v>
      </c>
      <c r="C136">
        <v>1</v>
      </c>
      <c r="D136" s="6">
        <v>31321</v>
      </c>
      <c r="E136" s="6">
        <v>31502</v>
      </c>
      <c r="F136" s="8">
        <v>39.435330199911597</v>
      </c>
      <c r="G136" t="s">
        <v>76</v>
      </c>
      <c r="H136" s="8"/>
    </row>
    <row r="137" spans="1:8">
      <c r="A137">
        <v>1986</v>
      </c>
      <c r="C137">
        <v>2</v>
      </c>
      <c r="D137" s="6">
        <v>31503</v>
      </c>
      <c r="E137" s="6">
        <v>31685</v>
      </c>
      <c r="F137" s="8">
        <v>26.047356884748101</v>
      </c>
      <c r="G137" t="s">
        <v>76</v>
      </c>
    </row>
    <row r="138" spans="1:8">
      <c r="A138">
        <v>1987</v>
      </c>
      <c r="B138">
        <f>F138/LOOKUP(A138,$A$5:$A$73,$B$5:$B$73)</f>
        <v>0.54594258038179833</v>
      </c>
      <c r="C138">
        <v>1</v>
      </c>
      <c r="D138" s="6">
        <v>31686</v>
      </c>
      <c r="E138" s="6">
        <v>31867</v>
      </c>
      <c r="F138" s="8">
        <v>41.404054202590402</v>
      </c>
      <c r="G138" t="s">
        <v>76</v>
      </c>
      <c r="H138" s="8"/>
    </row>
    <row r="139" spans="1:8">
      <c r="A139">
        <v>1987</v>
      </c>
      <c r="C139">
        <v>2</v>
      </c>
      <c r="D139" s="6">
        <v>31868</v>
      </c>
      <c r="E139" s="6">
        <v>32050</v>
      </c>
      <c r="F139" s="8">
        <v>34.435522504606503</v>
      </c>
      <c r="G139" t="s">
        <v>76</v>
      </c>
    </row>
    <row r="140" spans="1:8">
      <c r="A140">
        <v>1988</v>
      </c>
      <c r="B140">
        <f>F140/LOOKUP(A140,$A$5:$A$73,$B$5:$B$73)</f>
        <v>0.54156681536048668</v>
      </c>
      <c r="C140">
        <v>1</v>
      </c>
      <c r="D140" s="6">
        <v>32051</v>
      </c>
      <c r="E140" s="6">
        <v>32233</v>
      </c>
      <c r="F140" s="8">
        <v>43.310115657197002</v>
      </c>
      <c r="G140" t="s">
        <v>76</v>
      </c>
      <c r="H140" s="8"/>
    </row>
    <row r="141" spans="1:8">
      <c r="A141">
        <v>1988</v>
      </c>
      <c r="C141">
        <v>2</v>
      </c>
      <c r="D141" s="6">
        <v>32234</v>
      </c>
      <c r="E141" s="6">
        <v>32416</v>
      </c>
      <c r="F141" s="8">
        <v>36.661763026632997</v>
      </c>
      <c r="G141" t="s">
        <v>76</v>
      </c>
    </row>
    <row r="142" spans="1:8">
      <c r="A142">
        <v>1989</v>
      </c>
      <c r="B142">
        <f>F142/LOOKUP(A142,$A$5:$A$73,$B$5:$B$73)</f>
        <v>0.63657896506511091</v>
      </c>
      <c r="C142">
        <v>1</v>
      </c>
      <c r="D142" s="6">
        <v>32417</v>
      </c>
      <c r="E142" s="6">
        <v>32598</v>
      </c>
      <c r="F142" s="8">
        <v>41.522879219850097</v>
      </c>
      <c r="G142" t="s">
        <v>76</v>
      </c>
      <c r="H142" s="8"/>
    </row>
    <row r="143" spans="1:8">
      <c r="A143">
        <v>1989</v>
      </c>
      <c r="C143">
        <v>2</v>
      </c>
      <c r="D143" s="6">
        <v>32599</v>
      </c>
      <c r="E143" s="6">
        <v>32781</v>
      </c>
      <c r="F143" s="8">
        <v>23.705288059605898</v>
      </c>
      <c r="G143" t="s">
        <v>76</v>
      </c>
    </row>
    <row r="144" spans="1:8">
      <c r="A144">
        <v>1990</v>
      </c>
      <c r="B144">
        <f>F144/LOOKUP(A144,$A$5:$A$73,$B$5:$B$73)</f>
        <v>0.69020752966095844</v>
      </c>
      <c r="C144">
        <v>1</v>
      </c>
      <c r="D144" s="6">
        <v>32782</v>
      </c>
      <c r="E144" s="6">
        <v>32963</v>
      </c>
      <c r="F144" s="8">
        <v>40.321693510221102</v>
      </c>
      <c r="G144" t="s">
        <v>76</v>
      </c>
      <c r="H144" s="8"/>
    </row>
    <row r="145" spans="1:8">
      <c r="A145">
        <v>1990</v>
      </c>
      <c r="C145">
        <v>2</v>
      </c>
      <c r="D145" s="6">
        <v>32964</v>
      </c>
      <c r="E145" s="6">
        <v>33146</v>
      </c>
      <c r="F145" s="8">
        <v>18.097972716874001</v>
      </c>
      <c r="G145" t="s">
        <v>76</v>
      </c>
    </row>
    <row r="146" spans="1:8">
      <c r="A146">
        <v>1991</v>
      </c>
      <c r="B146">
        <f>F146/LOOKUP(A146,$A$5:$A$73,$B$5:$B$73)</f>
        <v>0.60425485936922441</v>
      </c>
      <c r="C146">
        <v>1</v>
      </c>
      <c r="D146" s="6">
        <v>33147</v>
      </c>
      <c r="E146" s="6">
        <v>33328</v>
      </c>
      <c r="F146" s="8">
        <v>36.381790096626297</v>
      </c>
      <c r="G146" t="s">
        <v>75</v>
      </c>
      <c r="H146" s="8"/>
    </row>
    <row r="147" spans="1:8">
      <c r="A147">
        <v>1991</v>
      </c>
      <c r="C147">
        <v>2</v>
      </c>
      <c r="D147" s="6">
        <v>33329</v>
      </c>
      <c r="E147" s="6">
        <v>33511</v>
      </c>
      <c r="F147" s="8">
        <v>23.827556228871</v>
      </c>
      <c r="G147" t="s">
        <v>75</v>
      </c>
    </row>
    <row r="148" spans="1:8">
      <c r="A148">
        <v>1992</v>
      </c>
      <c r="B148">
        <f>F148/LOOKUP(A148,$A$5:$A$73,$B$5:$B$73)</f>
        <v>0.59810852996029507</v>
      </c>
      <c r="C148">
        <v>1</v>
      </c>
      <c r="D148" s="6">
        <v>33512</v>
      </c>
      <c r="E148" s="6">
        <v>33694</v>
      </c>
      <c r="F148" s="8">
        <v>40.768835097393698</v>
      </c>
      <c r="G148" t="s">
        <v>76</v>
      </c>
      <c r="H148" s="8"/>
    </row>
    <row r="149" spans="1:8">
      <c r="A149">
        <v>1992</v>
      </c>
      <c r="C149">
        <v>2</v>
      </c>
      <c r="D149" s="6">
        <v>33695</v>
      </c>
      <c r="E149" s="6">
        <v>33877</v>
      </c>
      <c r="F149" s="8">
        <v>27.394103659055901</v>
      </c>
      <c r="G149" t="s">
        <v>76</v>
      </c>
    </row>
    <row r="150" spans="1:8">
      <c r="A150">
        <v>1993</v>
      </c>
      <c r="B150">
        <f>F150/LOOKUP(A150,$A$5:$A$73,$B$5:$B$73)</f>
        <v>0.60914888896715758</v>
      </c>
      <c r="C150">
        <v>1</v>
      </c>
      <c r="D150" s="6">
        <v>33878</v>
      </c>
      <c r="E150" s="6">
        <v>34059</v>
      </c>
      <c r="F150" s="8">
        <v>40.806279486775303</v>
      </c>
      <c r="G150" t="s">
        <v>76</v>
      </c>
      <c r="H150" s="8"/>
    </row>
    <row r="151" spans="1:8">
      <c r="A151">
        <v>1993</v>
      </c>
      <c r="C151">
        <v>2</v>
      </c>
      <c r="D151" s="6">
        <v>34060</v>
      </c>
      <c r="E151" s="6">
        <v>34242</v>
      </c>
      <c r="F151" s="8">
        <v>26.182728005242499</v>
      </c>
      <c r="G151" t="s">
        <v>76</v>
      </c>
    </row>
    <row r="152" spans="1:8">
      <c r="A152">
        <v>1994</v>
      </c>
      <c r="B152">
        <f>F152/LOOKUP(A152,$A$5:$A$73,$B$5:$B$73)</f>
        <v>0.65660279369736674</v>
      </c>
      <c r="C152">
        <v>1</v>
      </c>
      <c r="D152" s="6">
        <v>34243</v>
      </c>
      <c r="E152" s="6">
        <v>34424</v>
      </c>
      <c r="F152" s="8">
        <v>40.020799972174402</v>
      </c>
      <c r="G152" t="s">
        <v>76</v>
      </c>
      <c r="H152" s="8"/>
    </row>
    <row r="153" spans="1:8">
      <c r="A153">
        <v>1994</v>
      </c>
      <c r="C153">
        <v>2</v>
      </c>
      <c r="D153" s="6">
        <v>34425</v>
      </c>
      <c r="E153" s="6">
        <v>34607</v>
      </c>
      <c r="F153" s="8">
        <v>20.9305093373932</v>
      </c>
      <c r="G153" t="s">
        <v>76</v>
      </c>
    </row>
    <row r="154" spans="1:8">
      <c r="A154">
        <v>1995</v>
      </c>
      <c r="B154">
        <f>F154/LOOKUP(A154,$A$5:$A$73,$B$5:$B$73)</f>
        <v>0.64044611664372597</v>
      </c>
      <c r="C154">
        <v>1</v>
      </c>
      <c r="D154" s="6">
        <v>34608</v>
      </c>
      <c r="E154" s="6">
        <v>34789</v>
      </c>
      <c r="F154" s="8">
        <v>39.2191928898337</v>
      </c>
      <c r="G154" t="s">
        <v>76</v>
      </c>
      <c r="H154" s="8"/>
    </row>
    <row r="155" spans="1:8">
      <c r="A155">
        <v>1995</v>
      </c>
      <c r="C155">
        <v>2</v>
      </c>
      <c r="D155" s="6">
        <v>34790</v>
      </c>
      <c r="E155" s="6">
        <v>34972</v>
      </c>
      <c r="F155" s="8">
        <v>22.0181100941595</v>
      </c>
      <c r="G155" t="s">
        <v>76</v>
      </c>
    </row>
    <row r="156" spans="1:8">
      <c r="A156">
        <v>1996</v>
      </c>
      <c r="B156">
        <f>F156/LOOKUP(A156,$A$5:$A$73,$B$5:$B$73)</f>
        <v>0.72303567607952235</v>
      </c>
      <c r="C156">
        <v>1</v>
      </c>
      <c r="D156" s="6">
        <v>34973</v>
      </c>
      <c r="E156" s="6">
        <v>35155</v>
      </c>
      <c r="F156" s="8">
        <v>38.782086166064602</v>
      </c>
      <c r="G156" t="s">
        <v>75</v>
      </c>
      <c r="H156" s="8"/>
    </row>
    <row r="157" spans="1:8">
      <c r="A157">
        <v>1996</v>
      </c>
      <c r="C157">
        <v>2</v>
      </c>
      <c r="D157" s="6">
        <v>35156</v>
      </c>
      <c r="E157" s="6">
        <v>35338</v>
      </c>
      <c r="F157" s="8">
        <v>14.855773553874201</v>
      </c>
      <c r="G157" t="s">
        <v>75</v>
      </c>
    </row>
    <row r="158" spans="1:8">
      <c r="A158">
        <v>1997</v>
      </c>
      <c r="B158">
        <f>F158/LOOKUP(A158,$A$5:$A$73,$B$5:$B$73)</f>
        <v>0.70211910994698423</v>
      </c>
      <c r="C158">
        <v>1</v>
      </c>
      <c r="D158" s="6">
        <v>35339</v>
      </c>
      <c r="E158" s="6">
        <v>35520</v>
      </c>
      <c r="F158" s="8">
        <v>29.161812847973199</v>
      </c>
      <c r="G158" t="s">
        <v>75</v>
      </c>
      <c r="H158" s="8"/>
    </row>
    <row r="159" spans="1:8">
      <c r="A159">
        <v>1997</v>
      </c>
      <c r="C159">
        <v>2</v>
      </c>
      <c r="D159" s="6">
        <v>35521</v>
      </c>
      <c r="E159" s="6">
        <v>35703</v>
      </c>
      <c r="F159" s="8">
        <v>12.372183926698099</v>
      </c>
      <c r="G159" t="s">
        <v>75</v>
      </c>
    </row>
    <row r="160" spans="1:8">
      <c r="A160">
        <v>1998</v>
      </c>
      <c r="B160">
        <f>F160/LOOKUP(A160,$A$5:$A$73,$B$5:$B$73)</f>
        <v>0.63751722584200798</v>
      </c>
      <c r="C160">
        <v>1</v>
      </c>
      <c r="D160" s="6">
        <v>35704</v>
      </c>
      <c r="E160" s="6">
        <v>35885</v>
      </c>
      <c r="F160" s="8">
        <v>36.555800414016701</v>
      </c>
      <c r="G160" t="s">
        <v>76</v>
      </c>
      <c r="H160" s="8"/>
    </row>
    <row r="161" spans="1:8">
      <c r="A161">
        <v>1998</v>
      </c>
      <c r="C161">
        <v>2</v>
      </c>
      <c r="D161" s="6">
        <v>35886</v>
      </c>
      <c r="E161" s="6">
        <v>36068</v>
      </c>
      <c r="F161" s="8">
        <v>20.7850822040728</v>
      </c>
      <c r="G161" t="s">
        <v>76</v>
      </c>
    </row>
    <row r="162" spans="1:8">
      <c r="A162">
        <v>1999</v>
      </c>
      <c r="B162">
        <f>F162/LOOKUP(A162,$A$5:$A$73,$B$5:$B$73)</f>
        <v>0.72154321506132757</v>
      </c>
      <c r="C162">
        <v>1</v>
      </c>
      <c r="D162" s="6">
        <v>36069</v>
      </c>
      <c r="E162" s="6">
        <v>36250</v>
      </c>
      <c r="F162" s="8">
        <v>35.647667677495299</v>
      </c>
      <c r="G162" t="s">
        <v>75</v>
      </c>
      <c r="H162" s="8"/>
    </row>
    <row r="163" spans="1:8">
      <c r="A163">
        <v>1999</v>
      </c>
      <c r="C163">
        <v>2</v>
      </c>
      <c r="D163" s="6">
        <v>36251</v>
      </c>
      <c r="E163" s="6">
        <v>36433</v>
      </c>
      <c r="F163" s="8">
        <v>13.757089977201</v>
      </c>
      <c r="G163" t="s">
        <v>75</v>
      </c>
    </row>
    <row r="164" spans="1:8">
      <c r="A164">
        <v>2000</v>
      </c>
      <c r="B164">
        <f>F164/LOOKUP(A164,$A$5:$A$73,$B$5:$B$73)</f>
        <v>0.69415635771550832</v>
      </c>
      <c r="C164">
        <v>1</v>
      </c>
      <c r="D164" s="6">
        <v>36434</v>
      </c>
      <c r="E164" s="6">
        <v>36616</v>
      </c>
      <c r="F164" s="8">
        <v>37.561742691712297</v>
      </c>
      <c r="G164" t="s">
        <v>75</v>
      </c>
      <c r="H164" s="8"/>
    </row>
    <row r="165" spans="1:8">
      <c r="A165">
        <v>2000</v>
      </c>
      <c r="C165">
        <v>2</v>
      </c>
      <c r="D165" s="6">
        <v>36617</v>
      </c>
      <c r="E165" s="6">
        <v>36799</v>
      </c>
      <c r="F165" s="8">
        <v>16.549614604400599</v>
      </c>
      <c r="G165" t="s">
        <v>75</v>
      </c>
    </row>
    <row r="166" spans="1:8">
      <c r="A166">
        <v>2001</v>
      </c>
      <c r="B166">
        <f>F166/LOOKUP(A166,$A$5:$A$73,$B$5:$B$73)</f>
        <v>0.65998165602508618</v>
      </c>
      <c r="C166">
        <v>1</v>
      </c>
      <c r="D166" s="6">
        <v>36800</v>
      </c>
      <c r="E166" s="6">
        <v>36981</v>
      </c>
      <c r="F166" s="8">
        <v>40.160507120396701</v>
      </c>
      <c r="G166" t="s">
        <v>76</v>
      </c>
      <c r="H166" s="8"/>
    </row>
    <row r="167" spans="1:8">
      <c r="A167">
        <v>2001</v>
      </c>
      <c r="C167">
        <v>2</v>
      </c>
      <c r="D167" s="6">
        <v>36982</v>
      </c>
      <c r="E167" s="6">
        <v>37164</v>
      </c>
      <c r="F167" s="8">
        <v>20.690437377476002</v>
      </c>
      <c r="G167" t="s">
        <v>76</v>
      </c>
    </row>
    <row r="168" spans="1:8">
      <c r="A168">
        <v>2002</v>
      </c>
      <c r="B168">
        <f>F168/LOOKUP(A168,$A$5:$A$73,$B$5:$B$73)</f>
        <v>0.64144402273220713</v>
      </c>
      <c r="C168">
        <v>1</v>
      </c>
      <c r="D168" s="6">
        <v>37165</v>
      </c>
      <c r="E168" s="6">
        <v>37346</v>
      </c>
      <c r="F168" s="8">
        <v>40.454798958569398</v>
      </c>
      <c r="G168" t="s">
        <v>76</v>
      </c>
      <c r="H168" s="8"/>
    </row>
    <row r="169" spans="1:8">
      <c r="A169">
        <v>2002</v>
      </c>
      <c r="C169">
        <v>2</v>
      </c>
      <c r="D169" s="6">
        <v>37347</v>
      </c>
      <c r="E169" s="6">
        <v>37529</v>
      </c>
      <c r="F169" s="8">
        <v>22.6135242697829</v>
      </c>
      <c r="G169" t="s">
        <v>76</v>
      </c>
    </row>
    <row r="170" spans="1:8">
      <c r="A170">
        <v>2003</v>
      </c>
      <c r="B170">
        <f>F170/LOOKUP(A170,$A$5:$A$73,$B$5:$B$73)</f>
        <v>0.61234322114926476</v>
      </c>
      <c r="C170">
        <v>1</v>
      </c>
      <c r="D170" s="6">
        <v>37530</v>
      </c>
      <c r="E170" s="6">
        <v>37711</v>
      </c>
      <c r="F170" s="8">
        <v>40.383592119691102</v>
      </c>
      <c r="G170" t="s">
        <v>76</v>
      </c>
      <c r="H170" s="8"/>
    </row>
    <row r="171" spans="1:8">
      <c r="A171">
        <v>2003</v>
      </c>
      <c r="C171">
        <v>2</v>
      </c>
      <c r="D171" s="6">
        <v>37712</v>
      </c>
      <c r="E171" s="6">
        <v>37894</v>
      </c>
      <c r="F171" s="8">
        <v>25.5656839152389</v>
      </c>
      <c r="G171" t="s">
        <v>76</v>
      </c>
    </row>
    <row r="172" spans="1:8">
      <c r="A172">
        <v>2004</v>
      </c>
      <c r="B172">
        <f>F172/LOOKUP(A172,$A$5:$A$73,$B$5:$B$73)</f>
        <v>0.65056213859488621</v>
      </c>
      <c r="C172">
        <v>1</v>
      </c>
      <c r="D172" s="6">
        <v>37895</v>
      </c>
      <c r="E172" s="6">
        <v>38077</v>
      </c>
      <c r="F172" s="8">
        <v>41.131984395199503</v>
      </c>
      <c r="G172" t="s">
        <v>76</v>
      </c>
      <c r="H172" s="8"/>
    </row>
    <row r="173" spans="1:8">
      <c r="A173">
        <v>2004</v>
      </c>
      <c r="C173">
        <v>2</v>
      </c>
      <c r="D173" s="6">
        <v>38078</v>
      </c>
      <c r="E173" s="6">
        <v>38260</v>
      </c>
      <c r="F173" s="8">
        <v>22.0933125518964</v>
      </c>
      <c r="G173" t="s">
        <v>76</v>
      </c>
    </row>
    <row r="174" spans="1:8">
      <c r="A174">
        <v>2005</v>
      </c>
      <c r="B174">
        <f>F174/LOOKUP(A174,$A$5:$A$73,$B$5:$B$73)</f>
        <v>0.63878174978097924</v>
      </c>
      <c r="C174">
        <v>1</v>
      </c>
      <c r="D174" s="6">
        <v>38261</v>
      </c>
      <c r="E174" s="6">
        <v>38442</v>
      </c>
      <c r="F174" s="8">
        <v>33.910935109443898</v>
      </c>
      <c r="G174" t="s">
        <v>75</v>
      </c>
      <c r="H174" s="8"/>
    </row>
    <row r="175" spans="1:8">
      <c r="A175">
        <v>2005</v>
      </c>
      <c r="C175">
        <v>2</v>
      </c>
      <c r="D175" s="6">
        <v>38443</v>
      </c>
      <c r="E175" s="6">
        <v>38625</v>
      </c>
      <c r="F175" s="8">
        <v>19.175952737729201</v>
      </c>
      <c r="G175" t="s">
        <v>75</v>
      </c>
    </row>
    <row r="176" spans="1:8">
      <c r="A176">
        <v>2006</v>
      </c>
      <c r="B176">
        <f>F176/LOOKUP(A176,$A$5:$A$73,$B$5:$B$73)</f>
        <v>0.58158870520849237</v>
      </c>
      <c r="C176">
        <v>1</v>
      </c>
      <c r="D176" s="6">
        <v>38626</v>
      </c>
      <c r="E176" s="6">
        <v>38807</v>
      </c>
      <c r="F176" s="8">
        <v>41.783838891203096</v>
      </c>
      <c r="G176" t="s">
        <v>76</v>
      </c>
      <c r="H176" s="8"/>
    </row>
    <row r="177" spans="1:8">
      <c r="A177">
        <v>2006</v>
      </c>
      <c r="C177">
        <v>2</v>
      </c>
      <c r="D177" s="6">
        <v>38808</v>
      </c>
      <c r="E177" s="6">
        <v>38990</v>
      </c>
      <c r="F177" s="8">
        <v>30.060470527123801</v>
      </c>
      <c r="G177" t="s">
        <v>76</v>
      </c>
    </row>
    <row r="178" spans="1:8">
      <c r="A178">
        <v>2007</v>
      </c>
      <c r="B178">
        <f>F178/LOOKUP(A178,$A$5:$A$73,$B$5:$B$73)</f>
        <v>0.62121509766998551</v>
      </c>
      <c r="C178">
        <v>1</v>
      </c>
      <c r="D178" s="6">
        <v>38991</v>
      </c>
      <c r="E178" s="6">
        <v>39172</v>
      </c>
      <c r="F178" s="8">
        <v>42.913538738290598</v>
      </c>
      <c r="G178" t="s">
        <v>76</v>
      </c>
      <c r="H178" s="8"/>
    </row>
    <row r="179" spans="1:8">
      <c r="A179">
        <v>2007</v>
      </c>
      <c r="C179">
        <v>2</v>
      </c>
      <c r="D179" s="6">
        <v>39173</v>
      </c>
      <c r="E179" s="6">
        <v>39355</v>
      </c>
      <c r="F179" s="8">
        <v>26.166460925671199</v>
      </c>
      <c r="G179" t="s">
        <v>76</v>
      </c>
    </row>
    <row r="180" spans="1:8">
      <c r="A180">
        <v>2008</v>
      </c>
      <c r="B180">
        <f>F180/LOOKUP(A180,$A$5:$A$73,$B$5:$B$73)</f>
        <v>0.61382306924615526</v>
      </c>
      <c r="C180">
        <v>1</v>
      </c>
      <c r="D180" s="6">
        <v>39356</v>
      </c>
      <c r="E180" s="6">
        <v>39538</v>
      </c>
      <c r="F180" s="8">
        <v>41.739787221474103</v>
      </c>
      <c r="G180" t="s">
        <v>76</v>
      </c>
      <c r="H180" s="8"/>
    </row>
    <row r="181" spans="1:8">
      <c r="A181">
        <v>2008</v>
      </c>
      <c r="C181">
        <v>2</v>
      </c>
      <c r="D181" s="6">
        <v>39539</v>
      </c>
      <c r="E181" s="6">
        <v>39721</v>
      </c>
      <c r="F181" s="8">
        <v>26.2599171114623</v>
      </c>
      <c r="G181" t="s">
        <v>76</v>
      </c>
    </row>
    <row r="182" spans="1:8">
      <c r="A182">
        <v>2009</v>
      </c>
      <c r="B182">
        <f>F182/LOOKUP(A182,$A$5:$A$73,$B$5:$B$73)</f>
        <v>0.61610217633886677</v>
      </c>
      <c r="C182">
        <v>1</v>
      </c>
      <c r="D182" s="6">
        <v>39722</v>
      </c>
      <c r="E182" s="6">
        <v>39903</v>
      </c>
      <c r="F182" s="8">
        <v>42.504317053198001</v>
      </c>
      <c r="G182" t="s">
        <v>76</v>
      </c>
      <c r="H182" s="8"/>
    </row>
    <row r="183" spans="1:8">
      <c r="A183">
        <v>2009</v>
      </c>
      <c r="C183">
        <v>2</v>
      </c>
      <c r="D183" s="6">
        <v>39904</v>
      </c>
      <c r="E183" s="6">
        <v>40086</v>
      </c>
      <c r="F183" s="8">
        <v>26.4847543793623</v>
      </c>
      <c r="G183" t="s">
        <v>76</v>
      </c>
    </row>
    <row r="184" spans="1:8">
      <c r="A184">
        <v>2010</v>
      </c>
      <c r="B184">
        <f>F184/LOOKUP(A184,$A$5:$A$73,$B$5:$B$73)</f>
        <v>0.64872529041791938</v>
      </c>
      <c r="C184">
        <v>1</v>
      </c>
      <c r="D184" s="6">
        <v>40087</v>
      </c>
      <c r="E184" s="6">
        <v>40268</v>
      </c>
      <c r="F184" s="8">
        <v>38.733128087863903</v>
      </c>
      <c r="G184" t="s">
        <v>76</v>
      </c>
      <c r="H184" s="8"/>
    </row>
    <row r="185" spans="1:8">
      <c r="A185">
        <v>2010</v>
      </c>
      <c r="C185">
        <v>2</v>
      </c>
      <c r="D185" s="6">
        <v>40269</v>
      </c>
      <c r="E185" s="6">
        <v>40451</v>
      </c>
      <c r="F185" s="8">
        <v>20.973389693971601</v>
      </c>
      <c r="G185" t="s">
        <v>76</v>
      </c>
    </row>
    <row r="186" spans="1:8">
      <c r="A186">
        <v>2011</v>
      </c>
      <c r="B186">
        <f>F186/LOOKUP(A186,$A$5:$A$73,$B$5:$B$73)</f>
        <v>0.67890208979705358</v>
      </c>
      <c r="C186">
        <v>1</v>
      </c>
      <c r="D186" s="6">
        <v>40452</v>
      </c>
      <c r="E186" s="6">
        <v>40633</v>
      </c>
      <c r="F186" s="8">
        <v>28.855562055590799</v>
      </c>
      <c r="G186" t="s">
        <v>75</v>
      </c>
      <c r="H186" s="8"/>
    </row>
    <row r="187" spans="1:8">
      <c r="A187">
        <v>2011</v>
      </c>
      <c r="C187">
        <v>2</v>
      </c>
      <c r="D187" s="6">
        <v>40634</v>
      </c>
      <c r="E187" s="6">
        <v>40816</v>
      </c>
      <c r="F187" s="8">
        <v>13.647712701181099</v>
      </c>
      <c r="G187" t="s">
        <v>75</v>
      </c>
    </row>
    <row r="188" spans="1:8">
      <c r="A188">
        <v>2012</v>
      </c>
      <c r="B188">
        <f>F188/LOOKUP(A188,$A$5:$A$73,$B$5:$B$73)</f>
        <v>0.68191899965986658</v>
      </c>
      <c r="C188">
        <v>1</v>
      </c>
      <c r="D188" s="6">
        <v>40817</v>
      </c>
      <c r="E188" s="6">
        <v>40999</v>
      </c>
      <c r="F188" s="8">
        <v>34.350570960073298</v>
      </c>
      <c r="G188" t="s">
        <v>75</v>
      </c>
      <c r="H188" s="8"/>
    </row>
    <row r="189" spans="1:8">
      <c r="A189">
        <v>2012</v>
      </c>
      <c r="C189">
        <v>2</v>
      </c>
      <c r="D189" s="6">
        <v>41000</v>
      </c>
      <c r="E189" s="6">
        <v>41182</v>
      </c>
      <c r="F189" s="8">
        <v>16.022817928059901</v>
      </c>
      <c r="G189" t="s">
        <v>75</v>
      </c>
    </row>
    <row r="190" spans="1:8">
      <c r="A190">
        <v>2013</v>
      </c>
      <c r="B190">
        <f>F190/LOOKUP(A190,$A$5:$A$73,$B$5:$B$73)</f>
        <v>0.70622840585908997</v>
      </c>
      <c r="C190">
        <v>1</v>
      </c>
      <c r="D190" s="6">
        <v>41183</v>
      </c>
      <c r="E190" s="6">
        <v>41364</v>
      </c>
      <c r="F190" s="8">
        <v>34.578002561806898</v>
      </c>
      <c r="G190" t="s">
        <v>75</v>
      </c>
      <c r="H190" s="8"/>
    </row>
    <row r="191" spans="1:8">
      <c r="A191">
        <v>2013</v>
      </c>
      <c r="C191">
        <v>2</v>
      </c>
      <c r="D191" s="6">
        <v>41365</v>
      </c>
      <c r="E191" s="6">
        <v>41547</v>
      </c>
      <c r="F191" s="8">
        <v>14.3834981013455</v>
      </c>
      <c r="G191" t="s">
        <v>75</v>
      </c>
    </row>
    <row r="192" spans="1:8">
      <c r="A192">
        <v>2014</v>
      </c>
      <c r="B192">
        <f>F192/LOOKUP(A192,$A$5:$A$73,$B$5:$B$73)</f>
        <v>0.69617319490128005</v>
      </c>
      <c r="C192">
        <v>1</v>
      </c>
      <c r="D192" s="6">
        <v>41548</v>
      </c>
      <c r="E192" s="6">
        <v>41729</v>
      </c>
      <c r="F192" s="8">
        <v>34.951458993735599</v>
      </c>
      <c r="G192" t="s">
        <v>75</v>
      </c>
      <c r="H192" s="8"/>
    </row>
    <row r="193" spans="1:8">
      <c r="A193">
        <v>2014</v>
      </c>
      <c r="C193">
        <v>2</v>
      </c>
      <c r="D193" s="6">
        <v>41730</v>
      </c>
      <c r="E193" s="6">
        <v>41912</v>
      </c>
      <c r="F193" s="8">
        <v>15.2536612977629</v>
      </c>
      <c r="G193" t="s">
        <v>75</v>
      </c>
    </row>
    <row r="194" spans="1:8">
      <c r="A194">
        <v>2015</v>
      </c>
      <c r="B194">
        <f>F194/LOOKUP(A194,$A$5:$A$73,$B$5:$B$73)</f>
        <v>0.70564411622212841</v>
      </c>
      <c r="C194">
        <v>1</v>
      </c>
      <c r="D194" s="6">
        <v>41913</v>
      </c>
      <c r="E194" s="6">
        <v>42094</v>
      </c>
      <c r="F194" s="8">
        <v>33.874935476402896</v>
      </c>
      <c r="G194" t="s">
        <v>75</v>
      </c>
      <c r="H194" s="8"/>
    </row>
    <row r="195" spans="1:8">
      <c r="A195">
        <v>2015</v>
      </c>
      <c r="C195">
        <v>2</v>
      </c>
      <c r="D195" s="6">
        <v>42095</v>
      </c>
      <c r="E195" s="6">
        <v>42277</v>
      </c>
      <c r="F195" s="8">
        <v>14.1307584671138</v>
      </c>
      <c r="G195" t="s">
        <v>75</v>
      </c>
    </row>
    <row r="196" spans="1:8">
      <c r="A196">
        <v>2016</v>
      </c>
      <c r="B196">
        <f>F196/LOOKUP(A196,$A$5:$A$73,$B$5:$B$73)</f>
        <v>0.63025271978770592</v>
      </c>
      <c r="C196">
        <v>1</v>
      </c>
      <c r="D196" s="6">
        <v>42278</v>
      </c>
      <c r="E196" s="6">
        <v>42460</v>
      </c>
      <c r="F196" s="8">
        <v>36.770621318639101</v>
      </c>
      <c r="G196" t="s">
        <v>76</v>
      </c>
      <c r="H196" s="8"/>
    </row>
    <row r="197" spans="1:8">
      <c r="A197">
        <v>2016</v>
      </c>
      <c r="C197">
        <v>2</v>
      </c>
      <c r="D197" s="6">
        <v>42461</v>
      </c>
      <c r="E197" s="6">
        <v>42643</v>
      </c>
      <c r="F197" s="8">
        <v>21.572040544089401</v>
      </c>
      <c r="G197" t="s">
        <v>76</v>
      </c>
    </row>
    <row r="198" spans="1:8">
      <c r="A198">
        <v>2017</v>
      </c>
      <c r="B198">
        <f>F198/LOOKUP(A198,$A$5:$A$73,$B$5:$B$73)</f>
        <v>0.67589698796727404</v>
      </c>
      <c r="C198">
        <v>1</v>
      </c>
      <c r="D198" s="6">
        <v>42644</v>
      </c>
      <c r="E198" s="6">
        <v>42825</v>
      </c>
      <c r="F198" s="8">
        <v>40.670500991732503</v>
      </c>
      <c r="G198" t="s">
        <v>76</v>
      </c>
      <c r="H198" s="8"/>
    </row>
    <row r="199" spans="1:8">
      <c r="A199">
        <v>2017</v>
      </c>
      <c r="C199">
        <v>2</v>
      </c>
      <c r="D199" s="6">
        <v>42826</v>
      </c>
      <c r="E199" s="6">
        <v>43008</v>
      </c>
      <c r="F199" s="8">
        <v>19.5021314001457</v>
      </c>
      <c r="G199" t="s">
        <v>76</v>
      </c>
    </row>
    <row r="200" spans="1:8">
      <c r="A200">
        <v>2018</v>
      </c>
      <c r="B200">
        <f>F200/LOOKUP(A200,$A$5:$A$73,$B$5:$B$73)</f>
        <v>0.70395595157076818</v>
      </c>
      <c r="C200">
        <v>1</v>
      </c>
      <c r="D200" s="6">
        <v>43009</v>
      </c>
      <c r="E200" s="6">
        <v>43190</v>
      </c>
      <c r="F200" s="8">
        <v>34.035636365053101</v>
      </c>
      <c r="G200" t="s">
        <v>75</v>
      </c>
      <c r="H200" s="8"/>
    </row>
    <row r="201" spans="1:8">
      <c r="A201">
        <v>2018</v>
      </c>
      <c r="C201">
        <v>2</v>
      </c>
      <c r="D201" s="6">
        <v>43191</v>
      </c>
      <c r="E201" s="6">
        <v>43373</v>
      </c>
      <c r="F201" s="8">
        <v>14.3134631618532</v>
      </c>
      <c r="G201" t="s">
        <v>75</v>
      </c>
    </row>
    <row r="202" spans="1:8">
      <c r="A202">
        <v>2019</v>
      </c>
      <c r="B202">
        <f>F202/LOOKUP(A202,$A$5:$A$73,$B$5:$B$73)</f>
        <v>0.68367086135489974</v>
      </c>
      <c r="C202">
        <v>1</v>
      </c>
      <c r="D202" s="6">
        <v>43374</v>
      </c>
      <c r="E202" s="6">
        <v>43555</v>
      </c>
      <c r="F202" s="8">
        <v>31.620837231831</v>
      </c>
      <c r="G202" t="s">
        <v>75</v>
      </c>
      <c r="H202" s="8"/>
    </row>
    <row r="203" spans="1:8">
      <c r="A203">
        <v>2019</v>
      </c>
      <c r="C203">
        <v>2</v>
      </c>
      <c r="D203" s="6">
        <v>43556</v>
      </c>
      <c r="E203" s="6">
        <v>43738</v>
      </c>
      <c r="F203" s="8">
        <v>14.6307130670435</v>
      </c>
      <c r="G203" t="s">
        <v>75</v>
      </c>
    </row>
    <row r="204" spans="1:8">
      <c r="A204">
        <v>2020</v>
      </c>
      <c r="B204">
        <f>F204/LOOKUP(A204,$A$5:$A$73,$B$5:$B$73)</f>
        <v>0.68921843593354648</v>
      </c>
      <c r="C204">
        <v>1</v>
      </c>
      <c r="D204" s="6">
        <v>43739</v>
      </c>
      <c r="E204" s="6">
        <v>43921</v>
      </c>
      <c r="F204" s="8">
        <v>28.934693752742501</v>
      </c>
      <c r="G204" t="s">
        <v>75</v>
      </c>
      <c r="H204" s="8"/>
    </row>
    <row r="205" spans="1:8">
      <c r="A205">
        <v>2020</v>
      </c>
      <c r="C205">
        <v>2</v>
      </c>
      <c r="D205" s="6">
        <v>43922</v>
      </c>
      <c r="E205" s="6">
        <v>44104</v>
      </c>
      <c r="F205" s="8">
        <v>13.047197972992301</v>
      </c>
      <c r="G205" t="s">
        <v>75</v>
      </c>
    </row>
    <row r="206" spans="1:8">
      <c r="A206">
        <v>2021</v>
      </c>
      <c r="B206">
        <f>F206/LOOKUP(A206,$A$5:$A$73,$B$5:$B$73)</f>
        <v>0.6952258388601873</v>
      </c>
      <c r="C206">
        <v>1</v>
      </c>
      <c r="D206" s="6">
        <v>44105</v>
      </c>
      <c r="E206" s="6">
        <v>44286</v>
      </c>
      <c r="F206" s="8">
        <v>34.306071680012302</v>
      </c>
      <c r="G206" t="s">
        <v>75</v>
      </c>
      <c r="H206" s="8"/>
    </row>
    <row r="207" spans="1:8">
      <c r="A207">
        <v>2021</v>
      </c>
      <c r="C207">
        <v>2</v>
      </c>
      <c r="D207" s="6">
        <v>44287</v>
      </c>
      <c r="E207" s="6">
        <v>44469</v>
      </c>
      <c r="F207" s="8">
        <v>15.0391479054055</v>
      </c>
      <c r="G207" t="s">
        <v>75</v>
      </c>
    </row>
    <row r="208" spans="1:8">
      <c r="A208">
        <v>2022</v>
      </c>
      <c r="B208">
        <f>F208/LOOKUP(A208,$A$5:$A$73,$B$5:$B$73)</f>
        <v>0.70091171061243507</v>
      </c>
      <c r="C208">
        <v>1</v>
      </c>
      <c r="D208" s="6">
        <v>44470</v>
      </c>
      <c r="E208" s="6">
        <v>44651</v>
      </c>
      <c r="F208" s="8">
        <v>28.750241783635499</v>
      </c>
      <c r="G208" t="s">
        <v>75</v>
      </c>
      <c r="H208" s="8"/>
    </row>
    <row r="209" spans="1:8">
      <c r="A209">
        <v>2022</v>
      </c>
      <c r="C209">
        <v>2</v>
      </c>
      <c r="D209" s="6">
        <v>44652</v>
      </c>
      <c r="E209" s="6">
        <v>44834</v>
      </c>
      <c r="F209" s="8">
        <v>12.2681081002812</v>
      </c>
      <c r="G209" t="s">
        <v>75</v>
      </c>
    </row>
    <row r="210" spans="1:8">
      <c r="A210">
        <v>2023</v>
      </c>
      <c r="B210">
        <f>F210/LOOKUP(A210,$A$5:$A$73,$B$5:$B$73)</f>
        <v>0.67459472075755089</v>
      </c>
      <c r="C210">
        <v>1</v>
      </c>
      <c r="D210" s="6">
        <v>44835</v>
      </c>
      <c r="E210" s="6">
        <v>45016</v>
      </c>
      <c r="F210" s="8">
        <v>34.158518386377501</v>
      </c>
      <c r="G210" t="s">
        <v>75</v>
      </c>
      <c r="H210" s="8"/>
    </row>
    <row r="211" spans="1:8">
      <c r="A211">
        <v>2023</v>
      </c>
      <c r="C211">
        <v>2</v>
      </c>
      <c r="D211" s="6">
        <v>45017</v>
      </c>
      <c r="E211" s="6">
        <v>45199</v>
      </c>
      <c r="F211" s="8">
        <v>16.477096354304798</v>
      </c>
      <c r="G211" t="s">
        <v>75</v>
      </c>
    </row>
    <row r="212" spans="1:8">
      <c r="A212">
        <v>2024</v>
      </c>
      <c r="B212">
        <f>F212/LOOKUP(A212,$A$5:$A$73,$B$5:$B$73)</f>
        <v>0.63989468572307651</v>
      </c>
      <c r="C212">
        <v>1</v>
      </c>
      <c r="D212" s="6">
        <v>45200</v>
      </c>
      <c r="E212" s="6">
        <v>45382</v>
      </c>
      <c r="F212" s="8">
        <v>38.878801348243201</v>
      </c>
      <c r="G212" t="s">
        <v>76</v>
      </c>
      <c r="H212" s="8"/>
    </row>
    <row r="213" spans="1:8">
      <c r="A213">
        <v>2024</v>
      </c>
      <c r="C213">
        <v>2</v>
      </c>
      <c r="D213" s="6">
        <v>45383</v>
      </c>
      <c r="E213" s="6">
        <v>45565</v>
      </c>
      <c r="F213" s="8">
        <v>21.879323724026101</v>
      </c>
      <c r="G213" t="s">
        <v>76</v>
      </c>
    </row>
    <row r="214" spans="1:8">
      <c r="A214">
        <v>2025</v>
      </c>
      <c r="B214">
        <f>F214/LOOKUP(A214,$A$5:$A$73,$B$5:$B$73)</f>
        <v>0.62920160455369745</v>
      </c>
      <c r="C214">
        <v>1</v>
      </c>
      <c r="D214" s="6">
        <v>45566</v>
      </c>
      <c r="E214" s="6">
        <v>45747</v>
      </c>
      <c r="F214" s="8">
        <v>40.860504945504204</v>
      </c>
      <c r="G214" t="s">
        <v>76</v>
      </c>
      <c r="H214" s="8"/>
    </row>
    <row r="215" spans="1:8">
      <c r="A215">
        <v>2025</v>
      </c>
      <c r="C215">
        <v>2</v>
      </c>
      <c r="D215" s="6">
        <v>45748</v>
      </c>
      <c r="E215" s="6">
        <v>45930</v>
      </c>
      <c r="F215" s="8">
        <v>24.079737815775999</v>
      </c>
      <c r="G215" t="s">
        <v>76</v>
      </c>
    </row>
    <row r="216" spans="1:8">
      <c r="D216" s="6"/>
      <c r="E216" s="6"/>
      <c r="F216" s="5"/>
    </row>
  </sheetData>
  <pageMargins left="0.75" right="0.75" top="1" bottom="1" header="0.5" footer="0.5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A32"/>
  <sheetViews>
    <sheetView zoomScale="85" zoomScaleNormal="85" workbookViewId="0">
      <selection activeCell="C40" sqref="C40"/>
    </sheetView>
  </sheetViews>
  <sheetFormatPr baseColWidth="10" defaultColWidth="9.140625" defaultRowHeight="15"/>
  <cols>
    <col min="1" max="1" width="24" customWidth="1"/>
    <col min="2" max="5" width="21.28515625" customWidth="1"/>
    <col min="6" max="6" width="9.85546875" bestFit="1" customWidth="1"/>
    <col min="7" max="7" width="10.7109375" bestFit="1" customWidth="1"/>
    <col min="8" max="8" width="10.5703125" bestFit="1" customWidth="1"/>
    <col min="9" max="10" width="13.7109375" customWidth="1"/>
    <col min="11" max="11" width="10.7109375" bestFit="1" customWidth="1"/>
    <col min="12" max="12" width="13.140625" customWidth="1"/>
    <col min="13" max="13" width="10.85546875" bestFit="1" customWidth="1"/>
    <col min="14" max="14" width="9.85546875" style="21" bestFit="1" customWidth="1"/>
    <col min="15" max="15" width="10.85546875" style="21" bestFit="1" customWidth="1"/>
    <col min="16" max="16" width="9.85546875" style="21" bestFit="1" customWidth="1"/>
    <col min="17" max="17" width="10.85546875" style="21" bestFit="1" customWidth="1"/>
    <col min="18" max="18" width="9.85546875" style="21" bestFit="1" customWidth="1"/>
    <col min="19" max="19" width="10.85546875" style="21" bestFit="1" customWidth="1"/>
    <col min="20" max="20" width="9.85546875" style="21" bestFit="1" customWidth="1"/>
    <col min="21" max="21" width="10.85546875" style="21" bestFit="1" customWidth="1"/>
    <col min="22" max="22" width="9.85546875" style="21" bestFit="1" customWidth="1"/>
    <col min="23" max="23" width="10.85546875" style="21" bestFit="1" customWidth="1"/>
    <col min="24" max="24" width="9.85546875" style="21" bestFit="1" customWidth="1"/>
    <col min="25" max="25" width="10.85546875" style="21" bestFit="1" customWidth="1"/>
    <col min="26" max="26" width="9.85546875" style="21" bestFit="1" customWidth="1"/>
    <col min="27" max="27" width="10.85546875" style="21" bestFit="1" customWidth="1"/>
    <col min="28" max="28" width="9.85546875" style="21" bestFit="1" customWidth="1"/>
    <col min="29" max="29" width="10.85546875" style="21" bestFit="1" customWidth="1"/>
    <col min="30" max="30" width="9.85546875" style="21" bestFit="1" customWidth="1"/>
    <col min="31" max="31" width="10.85546875" style="21" bestFit="1" customWidth="1"/>
    <col min="32" max="32" width="9.85546875" style="21" bestFit="1" customWidth="1"/>
    <col min="33" max="33" width="10.85546875" style="21" bestFit="1" customWidth="1"/>
    <col min="34" max="34" width="9.85546875" style="21" bestFit="1" customWidth="1"/>
    <col min="35" max="35" width="10.85546875" style="21" bestFit="1" customWidth="1"/>
    <col min="36" max="36" width="9.85546875" style="21" bestFit="1" customWidth="1"/>
    <col min="37" max="37" width="10.85546875" style="21" bestFit="1" customWidth="1"/>
    <col min="38" max="38" width="9.85546875" style="21" bestFit="1" customWidth="1"/>
    <col min="39" max="39" width="10.85546875" style="21" bestFit="1" customWidth="1"/>
    <col min="40" max="40" width="9.85546875" style="21" bestFit="1" customWidth="1"/>
    <col min="41" max="41" width="10.85546875" style="21" bestFit="1" customWidth="1"/>
    <col min="42" max="42" width="9.85546875" style="21" bestFit="1" customWidth="1"/>
    <col min="43" max="43" width="10.85546875" style="21" bestFit="1" customWidth="1"/>
    <col min="44" max="44" width="9.85546875" style="21" bestFit="1" customWidth="1"/>
    <col min="45" max="45" width="10.85546875" style="21" bestFit="1" customWidth="1"/>
    <col min="46" max="46" width="9.85546875" style="21" bestFit="1" customWidth="1"/>
    <col min="47" max="47" width="10.85546875" style="21" bestFit="1" customWidth="1"/>
    <col min="48" max="48" width="9.85546875" style="21" bestFit="1" customWidth="1"/>
    <col min="49" max="49" width="10.85546875" style="21" bestFit="1" customWidth="1"/>
    <col min="50" max="50" width="9.85546875" style="21" bestFit="1" customWidth="1"/>
    <col min="51" max="51" width="10.85546875" style="21" bestFit="1" customWidth="1"/>
    <col min="52" max="52" width="9.85546875" style="21" bestFit="1" customWidth="1"/>
    <col min="53" max="53" width="10.85546875" style="21" bestFit="1" customWidth="1"/>
    <col min="54" max="54" width="9.85546875" style="21" bestFit="1" customWidth="1"/>
    <col min="55" max="55" width="10.85546875" style="21" bestFit="1" customWidth="1"/>
    <col min="56" max="56" width="9.85546875" style="21" bestFit="1" customWidth="1"/>
    <col min="57" max="57" width="10.85546875" style="21" bestFit="1" customWidth="1"/>
    <col min="58" max="58" width="9.85546875" style="21" bestFit="1" customWidth="1"/>
    <col min="59" max="59" width="10.85546875" style="21" bestFit="1" customWidth="1"/>
    <col min="60" max="60" width="9.85546875" style="21" bestFit="1" customWidth="1"/>
    <col min="61" max="61" width="10.85546875" style="21" bestFit="1" customWidth="1"/>
    <col min="62" max="62" width="9.85546875" style="21" bestFit="1" customWidth="1"/>
    <col min="63" max="63" width="10.85546875" style="21" bestFit="1" customWidth="1"/>
    <col min="64" max="64" width="9.85546875" style="21" bestFit="1" customWidth="1"/>
    <col min="65" max="65" width="10.85546875" style="21" bestFit="1" customWidth="1"/>
    <col min="66" max="66" width="9.85546875" style="21" bestFit="1" customWidth="1"/>
    <col min="67" max="67" width="10.85546875" style="21" bestFit="1" customWidth="1"/>
    <col min="68" max="68" width="9.85546875" style="21" bestFit="1" customWidth="1"/>
    <col min="69" max="69" width="10.85546875" style="21" bestFit="1" customWidth="1"/>
    <col min="70" max="70" width="9.85546875" style="21" bestFit="1" customWidth="1"/>
    <col min="71" max="71" width="10.85546875" style="21" bestFit="1" customWidth="1"/>
    <col min="72" max="72" width="9.85546875" style="21" bestFit="1" customWidth="1"/>
    <col min="73" max="73" width="10.85546875" style="21" bestFit="1" customWidth="1"/>
    <col min="74" max="74" width="9.85546875" style="21" bestFit="1" customWidth="1"/>
    <col min="75" max="75" width="10.85546875" style="21" bestFit="1" customWidth="1"/>
    <col min="76" max="79" width="9.85546875" style="21" bestFit="1" customWidth="1"/>
  </cols>
  <sheetData>
    <row r="1" spans="1:75" ht="18.75">
      <c r="A1" s="1" t="s">
        <v>48</v>
      </c>
      <c r="B1" s="1"/>
      <c r="C1" s="1"/>
      <c r="D1" s="1"/>
      <c r="E1" s="1"/>
    </row>
    <row r="2" spans="1:75">
      <c r="A2" t="s">
        <v>49</v>
      </c>
    </row>
    <row r="5" spans="1:75" ht="15.75">
      <c r="A5" s="70" t="s">
        <v>169</v>
      </c>
      <c r="B5" s="70"/>
      <c r="C5" s="70"/>
      <c r="D5" s="43"/>
      <c r="E5" s="43"/>
      <c r="F5" s="43"/>
      <c r="G5" s="43"/>
    </row>
    <row r="6" spans="1:75">
      <c r="A6" t="s">
        <v>145</v>
      </c>
      <c r="B6" t="s">
        <v>13</v>
      </c>
      <c r="C6" t="s">
        <v>12</v>
      </c>
      <c r="D6" s="44"/>
      <c r="E6" s="44"/>
      <c r="F6" s="44"/>
      <c r="G6" s="44"/>
    </row>
    <row r="7" spans="1:75">
      <c r="A7" t="s">
        <v>172</v>
      </c>
      <c r="B7" t="s">
        <v>146</v>
      </c>
      <c r="C7" s="6">
        <f>Inputs!B12</f>
        <v>46661</v>
      </c>
    </row>
    <row r="8" spans="1:75">
      <c r="A8" t="s">
        <v>147</v>
      </c>
      <c r="B8" t="s">
        <v>146</v>
      </c>
      <c r="C8" s="6">
        <f>EDATE(C7, Inputs!B10)</f>
        <v>47392</v>
      </c>
    </row>
    <row r="9" spans="1:75">
      <c r="A9" t="s">
        <v>148</v>
      </c>
      <c r="B9" t="s">
        <v>146</v>
      </c>
      <c r="C9" s="6">
        <f>EDATE(C8, Inputs!B45*6)</f>
        <v>47392</v>
      </c>
    </row>
    <row r="10" spans="1:75">
      <c r="A10" t="s">
        <v>149</v>
      </c>
      <c r="B10" t="s">
        <v>146</v>
      </c>
      <c r="C10" s="6">
        <f>EDATE(C8,Inputs!B42*12)</f>
        <v>51775</v>
      </c>
    </row>
    <row r="11" spans="1:75">
      <c r="A11" t="s">
        <v>150</v>
      </c>
      <c r="B11" t="s">
        <v>146</v>
      </c>
      <c r="C11" s="6">
        <f>EDATE(C8,Inputs!B11*12)</f>
        <v>58349</v>
      </c>
    </row>
    <row r="14" spans="1:75" ht="15.75">
      <c r="A14" s="70" t="s">
        <v>170</v>
      </c>
      <c r="B14" s="70"/>
      <c r="C14" s="70"/>
      <c r="D14" s="70"/>
      <c r="E14" s="33"/>
      <c r="F14" s="33"/>
      <c r="G14" s="33"/>
      <c r="H14" s="33"/>
      <c r="I14" s="29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38"/>
      <c r="AG14" s="38"/>
      <c r="AH14" s="38"/>
      <c r="AI14" s="38"/>
      <c r="AJ14" s="38"/>
      <c r="AK14" s="38"/>
      <c r="AL14" s="38"/>
      <c r="AM14" s="38"/>
      <c r="AN14" s="38"/>
      <c r="AO14" s="38"/>
      <c r="AP14" s="38"/>
      <c r="AQ14" s="38"/>
      <c r="AR14" s="38"/>
      <c r="AS14" s="38"/>
      <c r="AT14" s="38"/>
      <c r="AU14" s="38"/>
      <c r="AV14" s="38"/>
      <c r="AW14" s="38"/>
      <c r="AX14" s="38"/>
      <c r="AY14" s="38"/>
      <c r="AZ14" s="38"/>
      <c r="BA14" s="38"/>
      <c r="BB14" s="38"/>
      <c r="BC14" s="38"/>
      <c r="BD14" s="38"/>
      <c r="BE14" s="38"/>
      <c r="BF14" s="38"/>
      <c r="BG14" s="38"/>
      <c r="BH14" s="38"/>
      <c r="BI14" s="38"/>
      <c r="BJ14" s="38"/>
      <c r="BK14" s="38"/>
      <c r="BL14" s="38"/>
      <c r="BM14" s="38"/>
      <c r="BN14" s="38"/>
      <c r="BO14" s="38"/>
      <c r="BP14" s="38"/>
      <c r="BQ14" s="38"/>
      <c r="BR14" s="38"/>
      <c r="BS14" s="38"/>
      <c r="BT14" s="38"/>
      <c r="BU14" s="38"/>
      <c r="BV14" s="38"/>
      <c r="BW14" s="38"/>
    </row>
    <row r="15" spans="1:75">
      <c r="A15" t="s">
        <v>151</v>
      </c>
      <c r="B15" t="s">
        <v>173</v>
      </c>
      <c r="C15" t="s">
        <v>175</v>
      </c>
      <c r="D15">
        <v>1</v>
      </c>
      <c r="E15">
        <f>D15+1</f>
        <v>2</v>
      </c>
      <c r="F15">
        <f>E15+1</f>
        <v>3</v>
      </c>
      <c r="G15">
        <f t="shared" ref="G15:BR15" si="0">F15+1</f>
        <v>4</v>
      </c>
      <c r="H15" s="21">
        <f t="shared" si="0"/>
        <v>5</v>
      </c>
      <c r="I15" s="21">
        <f t="shared" si="0"/>
        <v>6</v>
      </c>
      <c r="J15" s="21">
        <f t="shared" si="0"/>
        <v>7</v>
      </c>
      <c r="K15" s="21">
        <f t="shared" si="0"/>
        <v>8</v>
      </c>
      <c r="L15" s="21">
        <f t="shared" si="0"/>
        <v>9</v>
      </c>
      <c r="M15" s="21">
        <f t="shared" si="0"/>
        <v>10</v>
      </c>
      <c r="N15" s="21">
        <f t="shared" si="0"/>
        <v>11</v>
      </c>
      <c r="O15" s="21">
        <f t="shared" si="0"/>
        <v>12</v>
      </c>
      <c r="P15" s="21">
        <f t="shared" si="0"/>
        <v>13</v>
      </c>
      <c r="Q15" s="21">
        <f t="shared" si="0"/>
        <v>14</v>
      </c>
      <c r="R15" s="21">
        <f t="shared" si="0"/>
        <v>15</v>
      </c>
      <c r="S15" s="21">
        <f t="shared" si="0"/>
        <v>16</v>
      </c>
      <c r="T15" s="21">
        <f t="shared" si="0"/>
        <v>17</v>
      </c>
      <c r="U15" s="21">
        <f t="shared" si="0"/>
        <v>18</v>
      </c>
      <c r="V15" s="21">
        <f t="shared" si="0"/>
        <v>19</v>
      </c>
      <c r="W15" s="21">
        <f t="shared" si="0"/>
        <v>20</v>
      </c>
      <c r="X15" s="21">
        <f t="shared" si="0"/>
        <v>21</v>
      </c>
      <c r="Y15" s="21">
        <f t="shared" si="0"/>
        <v>22</v>
      </c>
      <c r="Z15" s="21">
        <f t="shared" si="0"/>
        <v>23</v>
      </c>
      <c r="AA15" s="21">
        <f t="shared" si="0"/>
        <v>24</v>
      </c>
      <c r="AB15" s="21">
        <f t="shared" si="0"/>
        <v>25</v>
      </c>
      <c r="AC15" s="21">
        <f t="shared" si="0"/>
        <v>26</v>
      </c>
      <c r="AD15" s="21">
        <f t="shared" si="0"/>
        <v>27</v>
      </c>
      <c r="AE15" s="21">
        <f t="shared" si="0"/>
        <v>28</v>
      </c>
      <c r="AF15" s="21">
        <f t="shared" si="0"/>
        <v>29</v>
      </c>
      <c r="AG15" s="21">
        <f t="shared" si="0"/>
        <v>30</v>
      </c>
      <c r="AH15" s="21">
        <f t="shared" si="0"/>
        <v>31</v>
      </c>
      <c r="AI15" s="21">
        <f t="shared" si="0"/>
        <v>32</v>
      </c>
      <c r="AJ15" s="21">
        <f t="shared" si="0"/>
        <v>33</v>
      </c>
      <c r="AK15" s="21">
        <f t="shared" si="0"/>
        <v>34</v>
      </c>
      <c r="AL15" s="21">
        <f t="shared" si="0"/>
        <v>35</v>
      </c>
      <c r="AM15" s="21">
        <f t="shared" si="0"/>
        <v>36</v>
      </c>
      <c r="AN15" s="21">
        <f t="shared" si="0"/>
        <v>37</v>
      </c>
      <c r="AO15" s="21">
        <f t="shared" si="0"/>
        <v>38</v>
      </c>
      <c r="AP15" s="21">
        <f t="shared" si="0"/>
        <v>39</v>
      </c>
      <c r="AQ15" s="21">
        <f t="shared" si="0"/>
        <v>40</v>
      </c>
      <c r="AR15" s="21">
        <f t="shared" si="0"/>
        <v>41</v>
      </c>
      <c r="AS15" s="21">
        <f t="shared" si="0"/>
        <v>42</v>
      </c>
      <c r="AT15" s="21">
        <f t="shared" si="0"/>
        <v>43</v>
      </c>
      <c r="AU15" s="21">
        <f t="shared" si="0"/>
        <v>44</v>
      </c>
      <c r="AV15" s="21">
        <f t="shared" si="0"/>
        <v>45</v>
      </c>
      <c r="AW15" s="21">
        <f t="shared" si="0"/>
        <v>46</v>
      </c>
      <c r="AX15" s="21">
        <f t="shared" si="0"/>
        <v>47</v>
      </c>
      <c r="AY15" s="21">
        <f t="shared" si="0"/>
        <v>48</v>
      </c>
      <c r="AZ15" s="21">
        <f t="shared" si="0"/>
        <v>49</v>
      </c>
      <c r="BA15" s="21">
        <f t="shared" si="0"/>
        <v>50</v>
      </c>
      <c r="BB15" s="21">
        <f t="shared" si="0"/>
        <v>51</v>
      </c>
      <c r="BC15" s="21">
        <f t="shared" si="0"/>
        <v>52</v>
      </c>
      <c r="BD15" s="21">
        <f t="shared" si="0"/>
        <v>53</v>
      </c>
      <c r="BE15" s="21">
        <f t="shared" si="0"/>
        <v>54</v>
      </c>
      <c r="BF15" s="21">
        <f t="shared" si="0"/>
        <v>55</v>
      </c>
      <c r="BG15" s="21">
        <f t="shared" si="0"/>
        <v>56</v>
      </c>
      <c r="BH15" s="21">
        <f t="shared" si="0"/>
        <v>57</v>
      </c>
      <c r="BI15" s="21">
        <f t="shared" si="0"/>
        <v>58</v>
      </c>
      <c r="BJ15" s="21">
        <f t="shared" si="0"/>
        <v>59</v>
      </c>
      <c r="BK15" s="21">
        <f t="shared" si="0"/>
        <v>60</v>
      </c>
      <c r="BL15" s="21">
        <f t="shared" si="0"/>
        <v>61</v>
      </c>
      <c r="BM15" s="21">
        <f t="shared" si="0"/>
        <v>62</v>
      </c>
      <c r="BN15" s="21">
        <f t="shared" si="0"/>
        <v>63</v>
      </c>
      <c r="BO15" s="21">
        <f>BN15+1</f>
        <v>64</v>
      </c>
      <c r="BP15" s="21">
        <f t="shared" si="0"/>
        <v>65</v>
      </c>
      <c r="BQ15" s="21">
        <f t="shared" si="0"/>
        <v>66</v>
      </c>
      <c r="BR15" s="21">
        <f t="shared" si="0"/>
        <v>67</v>
      </c>
      <c r="BS15" s="21">
        <f t="shared" ref="BS15:BU15" si="1">BR15+1</f>
        <v>68</v>
      </c>
      <c r="BT15" s="21">
        <f t="shared" si="1"/>
        <v>69</v>
      </c>
      <c r="BU15" s="21">
        <f t="shared" si="1"/>
        <v>70</v>
      </c>
    </row>
    <row r="16" spans="1:75">
      <c r="A16" t="s">
        <v>152</v>
      </c>
      <c r="B16" t="s">
        <v>146</v>
      </c>
      <c r="C16" t="s">
        <v>131</v>
      </c>
      <c r="D16" s="6">
        <f>C7</f>
        <v>46661</v>
      </c>
      <c r="E16" s="6">
        <f>D17+1</f>
        <v>46844</v>
      </c>
      <c r="F16" s="6">
        <f t="shared" ref="F16:BQ16" si="2">E17+1</f>
        <v>47027</v>
      </c>
      <c r="G16" s="6">
        <f t="shared" si="2"/>
        <v>47209</v>
      </c>
      <c r="H16" s="36">
        <f t="shared" si="2"/>
        <v>47392</v>
      </c>
      <c r="I16" s="36">
        <f t="shared" si="2"/>
        <v>47574</v>
      </c>
      <c r="J16" s="36">
        <f t="shared" si="2"/>
        <v>47757</v>
      </c>
      <c r="K16" s="36">
        <f t="shared" si="2"/>
        <v>47939</v>
      </c>
      <c r="L16" s="36">
        <f t="shared" si="2"/>
        <v>48122</v>
      </c>
      <c r="M16" s="36">
        <f t="shared" si="2"/>
        <v>48305</v>
      </c>
      <c r="N16" s="36">
        <f t="shared" si="2"/>
        <v>48488</v>
      </c>
      <c r="O16" s="36">
        <f t="shared" si="2"/>
        <v>48670</v>
      </c>
      <c r="P16" s="36">
        <f t="shared" si="2"/>
        <v>48853</v>
      </c>
      <c r="Q16" s="36">
        <f t="shared" si="2"/>
        <v>49035</v>
      </c>
      <c r="R16" s="36">
        <f t="shared" si="2"/>
        <v>49218</v>
      </c>
      <c r="S16" s="36">
        <f t="shared" si="2"/>
        <v>49400</v>
      </c>
      <c r="T16" s="36">
        <f t="shared" si="2"/>
        <v>49583</v>
      </c>
      <c r="U16" s="36">
        <f t="shared" si="2"/>
        <v>49766</v>
      </c>
      <c r="V16" s="36">
        <f t="shared" si="2"/>
        <v>49949</v>
      </c>
      <c r="W16" s="36">
        <f t="shared" si="2"/>
        <v>50131</v>
      </c>
      <c r="X16" s="36">
        <f t="shared" si="2"/>
        <v>50314</v>
      </c>
      <c r="Y16" s="36">
        <f t="shared" si="2"/>
        <v>50496</v>
      </c>
      <c r="Z16" s="36">
        <f t="shared" si="2"/>
        <v>50679</v>
      </c>
      <c r="AA16" s="36">
        <f t="shared" si="2"/>
        <v>50861</v>
      </c>
      <c r="AB16" s="36">
        <f t="shared" si="2"/>
        <v>51044</v>
      </c>
      <c r="AC16" s="36">
        <f t="shared" si="2"/>
        <v>51227</v>
      </c>
      <c r="AD16" s="36">
        <f t="shared" si="2"/>
        <v>51410</v>
      </c>
      <c r="AE16" s="36">
        <f t="shared" si="2"/>
        <v>51592</v>
      </c>
      <c r="AF16" s="36">
        <f t="shared" si="2"/>
        <v>51775</v>
      </c>
      <c r="AG16" s="36">
        <f t="shared" si="2"/>
        <v>51957</v>
      </c>
      <c r="AH16" s="36">
        <f t="shared" si="2"/>
        <v>52140</v>
      </c>
      <c r="AI16" s="36">
        <f t="shared" si="2"/>
        <v>52322</v>
      </c>
      <c r="AJ16" s="36">
        <f t="shared" si="2"/>
        <v>52505</v>
      </c>
      <c r="AK16" s="36">
        <f t="shared" si="2"/>
        <v>52688</v>
      </c>
      <c r="AL16" s="36">
        <f t="shared" si="2"/>
        <v>52871</v>
      </c>
      <c r="AM16" s="36">
        <f t="shared" si="2"/>
        <v>53053</v>
      </c>
      <c r="AN16" s="36">
        <f t="shared" si="2"/>
        <v>53236</v>
      </c>
      <c r="AO16" s="36">
        <f t="shared" si="2"/>
        <v>53418</v>
      </c>
      <c r="AP16" s="36">
        <f t="shared" si="2"/>
        <v>53601</v>
      </c>
      <c r="AQ16" s="36">
        <f t="shared" si="2"/>
        <v>53783</v>
      </c>
      <c r="AR16" s="36">
        <f t="shared" si="2"/>
        <v>53966</v>
      </c>
      <c r="AS16" s="36">
        <f t="shared" si="2"/>
        <v>54149</v>
      </c>
      <c r="AT16" s="36">
        <f t="shared" si="2"/>
        <v>54332</v>
      </c>
      <c r="AU16" s="36">
        <f t="shared" si="2"/>
        <v>54514</v>
      </c>
      <c r="AV16" s="36">
        <f t="shared" si="2"/>
        <v>54697</v>
      </c>
      <c r="AW16" s="36">
        <f t="shared" si="2"/>
        <v>54879</v>
      </c>
      <c r="AX16" s="36">
        <f t="shared" si="2"/>
        <v>55062</v>
      </c>
      <c r="AY16" s="36">
        <f t="shared" si="2"/>
        <v>55244</v>
      </c>
      <c r="AZ16" s="36">
        <f t="shared" si="2"/>
        <v>55427</v>
      </c>
      <c r="BA16" s="36">
        <f t="shared" si="2"/>
        <v>55610</v>
      </c>
      <c r="BB16" s="36">
        <f t="shared" si="2"/>
        <v>55793</v>
      </c>
      <c r="BC16" s="36">
        <f t="shared" si="2"/>
        <v>55975</v>
      </c>
      <c r="BD16" s="36">
        <f t="shared" si="2"/>
        <v>56158</v>
      </c>
      <c r="BE16" s="36">
        <f t="shared" si="2"/>
        <v>56340</v>
      </c>
      <c r="BF16" s="36">
        <f t="shared" si="2"/>
        <v>56523</v>
      </c>
      <c r="BG16" s="36">
        <f t="shared" si="2"/>
        <v>56705</v>
      </c>
      <c r="BH16" s="36">
        <f t="shared" si="2"/>
        <v>56888</v>
      </c>
      <c r="BI16" s="36">
        <f t="shared" si="2"/>
        <v>57071</v>
      </c>
      <c r="BJ16" s="36">
        <f t="shared" si="2"/>
        <v>57254</v>
      </c>
      <c r="BK16" s="36">
        <f t="shared" si="2"/>
        <v>57436</v>
      </c>
      <c r="BL16" s="36">
        <f t="shared" si="2"/>
        <v>57619</v>
      </c>
      <c r="BM16" s="36">
        <f t="shared" si="2"/>
        <v>57801</v>
      </c>
      <c r="BN16" s="36">
        <f t="shared" si="2"/>
        <v>57984</v>
      </c>
      <c r="BO16" s="36">
        <f t="shared" si="2"/>
        <v>58166</v>
      </c>
      <c r="BP16" s="36">
        <f t="shared" si="2"/>
        <v>58349</v>
      </c>
      <c r="BQ16" s="36">
        <f t="shared" si="2"/>
        <v>58532</v>
      </c>
      <c r="BR16" s="36">
        <f t="shared" ref="BR16:BU16" si="3">BQ17+1</f>
        <v>58715</v>
      </c>
      <c r="BS16" s="36">
        <f t="shared" si="3"/>
        <v>58897</v>
      </c>
      <c r="BT16" s="36">
        <f t="shared" si="3"/>
        <v>59080</v>
      </c>
      <c r="BU16" s="36">
        <f t="shared" si="3"/>
        <v>59262</v>
      </c>
    </row>
    <row r="17" spans="1:73">
      <c r="A17" t="s">
        <v>153</v>
      </c>
      <c r="B17" t="s">
        <v>146</v>
      </c>
      <c r="C17" t="s">
        <v>131</v>
      </c>
      <c r="D17" s="6">
        <f>EOMONTH(D16,5)</f>
        <v>46843</v>
      </c>
      <c r="E17" s="6">
        <f t="shared" ref="E17:BP17" si="4">EOMONTH(E16,5)</f>
        <v>47026</v>
      </c>
      <c r="F17" s="6">
        <f t="shared" si="4"/>
        <v>47208</v>
      </c>
      <c r="G17" s="6">
        <f t="shared" si="4"/>
        <v>47391</v>
      </c>
      <c r="H17" s="6">
        <f t="shared" si="4"/>
        <v>47573</v>
      </c>
      <c r="I17" s="6">
        <f t="shared" si="4"/>
        <v>47756</v>
      </c>
      <c r="J17" s="6">
        <f t="shared" si="4"/>
        <v>47938</v>
      </c>
      <c r="K17" s="6">
        <f t="shared" si="4"/>
        <v>48121</v>
      </c>
      <c r="L17" s="6">
        <f t="shared" si="4"/>
        <v>48304</v>
      </c>
      <c r="M17" s="6">
        <f t="shared" si="4"/>
        <v>48487</v>
      </c>
      <c r="N17" s="6">
        <f t="shared" si="4"/>
        <v>48669</v>
      </c>
      <c r="O17" s="6">
        <f t="shared" si="4"/>
        <v>48852</v>
      </c>
      <c r="P17" s="6">
        <f t="shared" si="4"/>
        <v>49034</v>
      </c>
      <c r="Q17" s="6">
        <f t="shared" si="4"/>
        <v>49217</v>
      </c>
      <c r="R17" s="6">
        <f t="shared" si="4"/>
        <v>49399</v>
      </c>
      <c r="S17" s="6">
        <f t="shared" si="4"/>
        <v>49582</v>
      </c>
      <c r="T17" s="6">
        <f t="shared" si="4"/>
        <v>49765</v>
      </c>
      <c r="U17" s="6">
        <f t="shared" si="4"/>
        <v>49948</v>
      </c>
      <c r="V17" s="6">
        <f t="shared" si="4"/>
        <v>50130</v>
      </c>
      <c r="W17" s="6">
        <f t="shared" si="4"/>
        <v>50313</v>
      </c>
      <c r="X17" s="6">
        <f t="shared" si="4"/>
        <v>50495</v>
      </c>
      <c r="Y17" s="6">
        <f t="shared" si="4"/>
        <v>50678</v>
      </c>
      <c r="Z17" s="6">
        <f t="shared" si="4"/>
        <v>50860</v>
      </c>
      <c r="AA17" s="6">
        <f t="shared" si="4"/>
        <v>51043</v>
      </c>
      <c r="AB17" s="6">
        <f t="shared" si="4"/>
        <v>51226</v>
      </c>
      <c r="AC17" s="6">
        <f t="shared" si="4"/>
        <v>51409</v>
      </c>
      <c r="AD17" s="6">
        <f t="shared" si="4"/>
        <v>51591</v>
      </c>
      <c r="AE17" s="6">
        <f t="shared" si="4"/>
        <v>51774</v>
      </c>
      <c r="AF17" s="6">
        <f t="shared" si="4"/>
        <v>51956</v>
      </c>
      <c r="AG17" s="6">
        <f t="shared" si="4"/>
        <v>52139</v>
      </c>
      <c r="AH17" s="6">
        <f t="shared" si="4"/>
        <v>52321</v>
      </c>
      <c r="AI17" s="6">
        <f t="shared" si="4"/>
        <v>52504</v>
      </c>
      <c r="AJ17" s="6">
        <f t="shared" si="4"/>
        <v>52687</v>
      </c>
      <c r="AK17" s="6">
        <f t="shared" si="4"/>
        <v>52870</v>
      </c>
      <c r="AL17" s="6">
        <f t="shared" si="4"/>
        <v>53052</v>
      </c>
      <c r="AM17" s="6">
        <f t="shared" si="4"/>
        <v>53235</v>
      </c>
      <c r="AN17" s="6">
        <f t="shared" si="4"/>
        <v>53417</v>
      </c>
      <c r="AO17" s="6">
        <f t="shared" si="4"/>
        <v>53600</v>
      </c>
      <c r="AP17" s="6">
        <f t="shared" si="4"/>
        <v>53782</v>
      </c>
      <c r="AQ17" s="6">
        <f t="shared" si="4"/>
        <v>53965</v>
      </c>
      <c r="AR17" s="6">
        <f t="shared" si="4"/>
        <v>54148</v>
      </c>
      <c r="AS17" s="6">
        <f t="shared" si="4"/>
        <v>54331</v>
      </c>
      <c r="AT17" s="6">
        <f t="shared" si="4"/>
        <v>54513</v>
      </c>
      <c r="AU17" s="6">
        <f t="shared" si="4"/>
        <v>54696</v>
      </c>
      <c r="AV17" s="6">
        <f t="shared" si="4"/>
        <v>54878</v>
      </c>
      <c r="AW17" s="6">
        <f t="shared" si="4"/>
        <v>55061</v>
      </c>
      <c r="AX17" s="6">
        <f t="shared" si="4"/>
        <v>55243</v>
      </c>
      <c r="AY17" s="6">
        <f t="shared" si="4"/>
        <v>55426</v>
      </c>
      <c r="AZ17" s="6">
        <f t="shared" si="4"/>
        <v>55609</v>
      </c>
      <c r="BA17" s="6">
        <f t="shared" si="4"/>
        <v>55792</v>
      </c>
      <c r="BB17" s="6">
        <f t="shared" si="4"/>
        <v>55974</v>
      </c>
      <c r="BC17" s="6">
        <f t="shared" si="4"/>
        <v>56157</v>
      </c>
      <c r="BD17" s="6">
        <f t="shared" si="4"/>
        <v>56339</v>
      </c>
      <c r="BE17" s="6">
        <f t="shared" si="4"/>
        <v>56522</v>
      </c>
      <c r="BF17" s="6">
        <f t="shared" si="4"/>
        <v>56704</v>
      </c>
      <c r="BG17" s="6">
        <f t="shared" si="4"/>
        <v>56887</v>
      </c>
      <c r="BH17" s="6">
        <f t="shared" si="4"/>
        <v>57070</v>
      </c>
      <c r="BI17" s="6">
        <f t="shared" si="4"/>
        <v>57253</v>
      </c>
      <c r="BJ17" s="6">
        <f t="shared" si="4"/>
        <v>57435</v>
      </c>
      <c r="BK17" s="6">
        <f t="shared" si="4"/>
        <v>57618</v>
      </c>
      <c r="BL17" s="6">
        <f t="shared" si="4"/>
        <v>57800</v>
      </c>
      <c r="BM17" s="6">
        <f t="shared" si="4"/>
        <v>57983</v>
      </c>
      <c r="BN17" s="6">
        <f t="shared" si="4"/>
        <v>58165</v>
      </c>
      <c r="BO17" s="6">
        <f t="shared" si="4"/>
        <v>58348</v>
      </c>
      <c r="BP17" s="6">
        <f t="shared" si="4"/>
        <v>58531</v>
      </c>
      <c r="BQ17" s="6">
        <f t="shared" ref="BQ17:BU17" si="5">EOMONTH(BQ16,5)</f>
        <v>58714</v>
      </c>
      <c r="BR17" s="6">
        <f t="shared" si="5"/>
        <v>58896</v>
      </c>
      <c r="BS17" s="6">
        <f t="shared" si="5"/>
        <v>59079</v>
      </c>
      <c r="BT17" s="6">
        <f t="shared" si="5"/>
        <v>59261</v>
      </c>
      <c r="BU17" s="6">
        <f t="shared" si="5"/>
        <v>59444</v>
      </c>
    </row>
    <row r="18" spans="1:73">
      <c r="A18" t="s">
        <v>154</v>
      </c>
      <c r="B18" t="s">
        <v>105</v>
      </c>
      <c r="C18" t="s">
        <v>131</v>
      </c>
      <c r="D18">
        <f>YEAR(D17)</f>
        <v>2028</v>
      </c>
      <c r="E18">
        <f>YEAR(E17)</f>
        <v>2028</v>
      </c>
      <c r="F18">
        <f t="shared" ref="F18:BQ18" si="6">YEAR(F17)</f>
        <v>2029</v>
      </c>
      <c r="G18">
        <f t="shared" si="6"/>
        <v>2029</v>
      </c>
      <c r="H18" s="21">
        <f t="shared" si="6"/>
        <v>2030</v>
      </c>
      <c r="I18" s="21">
        <f t="shared" si="6"/>
        <v>2030</v>
      </c>
      <c r="J18" s="21">
        <f t="shared" si="6"/>
        <v>2031</v>
      </c>
      <c r="K18" s="21">
        <f t="shared" si="6"/>
        <v>2031</v>
      </c>
      <c r="L18" s="21">
        <f t="shared" si="6"/>
        <v>2032</v>
      </c>
      <c r="M18" s="21">
        <f t="shared" si="6"/>
        <v>2032</v>
      </c>
      <c r="N18" s="21">
        <f t="shared" si="6"/>
        <v>2033</v>
      </c>
      <c r="O18" s="21">
        <f t="shared" si="6"/>
        <v>2033</v>
      </c>
      <c r="P18" s="21">
        <f t="shared" si="6"/>
        <v>2034</v>
      </c>
      <c r="Q18" s="21">
        <f t="shared" si="6"/>
        <v>2034</v>
      </c>
      <c r="R18" s="21">
        <f t="shared" si="6"/>
        <v>2035</v>
      </c>
      <c r="S18" s="21">
        <f t="shared" si="6"/>
        <v>2035</v>
      </c>
      <c r="T18" s="21">
        <f t="shared" si="6"/>
        <v>2036</v>
      </c>
      <c r="U18" s="21">
        <f t="shared" si="6"/>
        <v>2036</v>
      </c>
      <c r="V18" s="21">
        <f t="shared" si="6"/>
        <v>2037</v>
      </c>
      <c r="W18" s="21">
        <f t="shared" si="6"/>
        <v>2037</v>
      </c>
      <c r="X18" s="21">
        <f t="shared" si="6"/>
        <v>2038</v>
      </c>
      <c r="Y18" s="21">
        <f t="shared" si="6"/>
        <v>2038</v>
      </c>
      <c r="Z18" s="21">
        <f t="shared" si="6"/>
        <v>2039</v>
      </c>
      <c r="AA18" s="21">
        <f t="shared" si="6"/>
        <v>2039</v>
      </c>
      <c r="AB18" s="21">
        <f t="shared" si="6"/>
        <v>2040</v>
      </c>
      <c r="AC18" s="21">
        <f t="shared" si="6"/>
        <v>2040</v>
      </c>
      <c r="AD18" s="21">
        <f t="shared" si="6"/>
        <v>2041</v>
      </c>
      <c r="AE18" s="21">
        <f t="shared" si="6"/>
        <v>2041</v>
      </c>
      <c r="AF18" s="21">
        <f t="shared" si="6"/>
        <v>2042</v>
      </c>
      <c r="AG18" s="21">
        <f t="shared" si="6"/>
        <v>2042</v>
      </c>
      <c r="AH18" s="21">
        <f t="shared" si="6"/>
        <v>2043</v>
      </c>
      <c r="AI18" s="21">
        <f t="shared" si="6"/>
        <v>2043</v>
      </c>
      <c r="AJ18" s="21">
        <f t="shared" si="6"/>
        <v>2044</v>
      </c>
      <c r="AK18" s="21">
        <f t="shared" si="6"/>
        <v>2044</v>
      </c>
      <c r="AL18" s="21">
        <f t="shared" si="6"/>
        <v>2045</v>
      </c>
      <c r="AM18" s="21">
        <f t="shared" si="6"/>
        <v>2045</v>
      </c>
      <c r="AN18" s="21">
        <f t="shared" si="6"/>
        <v>2046</v>
      </c>
      <c r="AO18" s="21">
        <f t="shared" si="6"/>
        <v>2046</v>
      </c>
      <c r="AP18" s="21">
        <f t="shared" si="6"/>
        <v>2047</v>
      </c>
      <c r="AQ18" s="21">
        <f t="shared" si="6"/>
        <v>2047</v>
      </c>
      <c r="AR18" s="21">
        <f t="shared" si="6"/>
        <v>2048</v>
      </c>
      <c r="AS18" s="21">
        <f t="shared" si="6"/>
        <v>2048</v>
      </c>
      <c r="AT18" s="21">
        <f t="shared" si="6"/>
        <v>2049</v>
      </c>
      <c r="AU18" s="21">
        <f t="shared" si="6"/>
        <v>2049</v>
      </c>
      <c r="AV18" s="21">
        <f t="shared" si="6"/>
        <v>2050</v>
      </c>
      <c r="AW18" s="21">
        <f t="shared" si="6"/>
        <v>2050</v>
      </c>
      <c r="AX18" s="21">
        <f t="shared" si="6"/>
        <v>2051</v>
      </c>
      <c r="AY18" s="21">
        <f t="shared" si="6"/>
        <v>2051</v>
      </c>
      <c r="AZ18" s="21">
        <f t="shared" si="6"/>
        <v>2052</v>
      </c>
      <c r="BA18" s="21">
        <f t="shared" si="6"/>
        <v>2052</v>
      </c>
      <c r="BB18" s="21">
        <f t="shared" si="6"/>
        <v>2053</v>
      </c>
      <c r="BC18" s="21">
        <f t="shared" si="6"/>
        <v>2053</v>
      </c>
      <c r="BD18" s="21">
        <f t="shared" si="6"/>
        <v>2054</v>
      </c>
      <c r="BE18" s="21">
        <f t="shared" si="6"/>
        <v>2054</v>
      </c>
      <c r="BF18" s="21">
        <f t="shared" si="6"/>
        <v>2055</v>
      </c>
      <c r="BG18" s="21">
        <f t="shared" si="6"/>
        <v>2055</v>
      </c>
      <c r="BH18" s="21">
        <f t="shared" si="6"/>
        <v>2056</v>
      </c>
      <c r="BI18" s="21">
        <f t="shared" si="6"/>
        <v>2056</v>
      </c>
      <c r="BJ18" s="21">
        <f t="shared" si="6"/>
        <v>2057</v>
      </c>
      <c r="BK18" s="21">
        <f t="shared" si="6"/>
        <v>2057</v>
      </c>
      <c r="BL18" s="21">
        <f t="shared" si="6"/>
        <v>2058</v>
      </c>
      <c r="BM18" s="21">
        <f t="shared" si="6"/>
        <v>2058</v>
      </c>
      <c r="BN18" s="21">
        <f t="shared" si="6"/>
        <v>2059</v>
      </c>
      <c r="BO18" s="21">
        <f t="shared" si="6"/>
        <v>2059</v>
      </c>
      <c r="BP18" s="21">
        <f t="shared" si="6"/>
        <v>2060</v>
      </c>
      <c r="BQ18" s="21">
        <f t="shared" si="6"/>
        <v>2060</v>
      </c>
      <c r="BR18" s="21">
        <f t="shared" ref="BR18:BU18" si="7">YEAR(BR17)</f>
        <v>2061</v>
      </c>
      <c r="BS18" s="21">
        <f t="shared" si="7"/>
        <v>2061</v>
      </c>
      <c r="BT18" s="21">
        <f t="shared" si="7"/>
        <v>2062</v>
      </c>
      <c r="BU18" s="21">
        <f t="shared" si="7"/>
        <v>2062</v>
      </c>
    </row>
    <row r="19" spans="1:73">
      <c r="A19" t="s">
        <v>155</v>
      </c>
      <c r="B19" s="40" t="str">
        <f>"1/2"</f>
        <v>1/2</v>
      </c>
      <c r="C19" t="s">
        <v>131</v>
      </c>
      <c r="D19">
        <f>IF(MONTH(D17)=3,1,2)</f>
        <v>1</v>
      </c>
      <c r="E19">
        <f>IF(MONTH(E17)=3,1,2)</f>
        <v>2</v>
      </c>
      <c r="F19">
        <f t="shared" ref="F19:BQ19" si="8">IF(MONTH(F17)=3,1,2)</f>
        <v>1</v>
      </c>
      <c r="G19">
        <f t="shared" si="8"/>
        <v>2</v>
      </c>
      <c r="H19" s="21">
        <f t="shared" si="8"/>
        <v>1</v>
      </c>
      <c r="I19" s="21">
        <f t="shared" si="8"/>
        <v>2</v>
      </c>
      <c r="J19" s="21">
        <f t="shared" si="8"/>
        <v>1</v>
      </c>
      <c r="K19" s="21">
        <f t="shared" si="8"/>
        <v>2</v>
      </c>
      <c r="L19" s="21">
        <f t="shared" si="8"/>
        <v>1</v>
      </c>
      <c r="M19" s="21">
        <f t="shared" si="8"/>
        <v>2</v>
      </c>
      <c r="N19" s="21">
        <f t="shared" si="8"/>
        <v>1</v>
      </c>
      <c r="O19" s="21">
        <f t="shared" si="8"/>
        <v>2</v>
      </c>
      <c r="P19" s="21">
        <f t="shared" si="8"/>
        <v>1</v>
      </c>
      <c r="Q19" s="21">
        <f t="shared" si="8"/>
        <v>2</v>
      </c>
      <c r="R19" s="21">
        <f t="shared" si="8"/>
        <v>1</v>
      </c>
      <c r="S19" s="21">
        <f t="shared" si="8"/>
        <v>2</v>
      </c>
      <c r="T19" s="21">
        <f t="shared" si="8"/>
        <v>1</v>
      </c>
      <c r="U19" s="21">
        <f t="shared" si="8"/>
        <v>2</v>
      </c>
      <c r="V19" s="21">
        <f t="shared" si="8"/>
        <v>1</v>
      </c>
      <c r="W19" s="21">
        <f t="shared" si="8"/>
        <v>2</v>
      </c>
      <c r="X19" s="21">
        <f t="shared" si="8"/>
        <v>1</v>
      </c>
      <c r="Y19" s="21">
        <f t="shared" si="8"/>
        <v>2</v>
      </c>
      <c r="Z19" s="21">
        <f t="shared" si="8"/>
        <v>1</v>
      </c>
      <c r="AA19" s="21">
        <f t="shared" si="8"/>
        <v>2</v>
      </c>
      <c r="AB19" s="21">
        <f t="shared" si="8"/>
        <v>1</v>
      </c>
      <c r="AC19" s="21">
        <f t="shared" si="8"/>
        <v>2</v>
      </c>
      <c r="AD19" s="21">
        <f t="shared" si="8"/>
        <v>1</v>
      </c>
      <c r="AE19" s="21">
        <f t="shared" si="8"/>
        <v>2</v>
      </c>
      <c r="AF19" s="21">
        <f t="shared" si="8"/>
        <v>1</v>
      </c>
      <c r="AG19" s="21">
        <f t="shared" si="8"/>
        <v>2</v>
      </c>
      <c r="AH19" s="21">
        <f t="shared" si="8"/>
        <v>1</v>
      </c>
      <c r="AI19" s="21">
        <f t="shared" si="8"/>
        <v>2</v>
      </c>
      <c r="AJ19" s="21">
        <f t="shared" si="8"/>
        <v>1</v>
      </c>
      <c r="AK19" s="21">
        <f t="shared" si="8"/>
        <v>2</v>
      </c>
      <c r="AL19" s="21">
        <f t="shared" si="8"/>
        <v>1</v>
      </c>
      <c r="AM19" s="21">
        <f t="shared" si="8"/>
        <v>2</v>
      </c>
      <c r="AN19" s="21">
        <f t="shared" si="8"/>
        <v>1</v>
      </c>
      <c r="AO19" s="21">
        <f t="shared" si="8"/>
        <v>2</v>
      </c>
      <c r="AP19" s="21">
        <f t="shared" si="8"/>
        <v>1</v>
      </c>
      <c r="AQ19" s="21">
        <f t="shared" si="8"/>
        <v>2</v>
      </c>
      <c r="AR19" s="21">
        <f t="shared" si="8"/>
        <v>1</v>
      </c>
      <c r="AS19" s="21">
        <f t="shared" si="8"/>
        <v>2</v>
      </c>
      <c r="AT19" s="21">
        <f t="shared" si="8"/>
        <v>1</v>
      </c>
      <c r="AU19" s="21">
        <f t="shared" si="8"/>
        <v>2</v>
      </c>
      <c r="AV19" s="21">
        <f t="shared" si="8"/>
        <v>1</v>
      </c>
      <c r="AW19" s="21">
        <f t="shared" si="8"/>
        <v>2</v>
      </c>
      <c r="AX19" s="21">
        <f t="shared" si="8"/>
        <v>1</v>
      </c>
      <c r="AY19" s="21">
        <f t="shared" si="8"/>
        <v>2</v>
      </c>
      <c r="AZ19" s="21">
        <f t="shared" si="8"/>
        <v>1</v>
      </c>
      <c r="BA19" s="21">
        <f t="shared" si="8"/>
        <v>2</v>
      </c>
      <c r="BB19" s="21">
        <f t="shared" si="8"/>
        <v>1</v>
      </c>
      <c r="BC19" s="21">
        <f t="shared" si="8"/>
        <v>2</v>
      </c>
      <c r="BD19" s="21">
        <f t="shared" si="8"/>
        <v>1</v>
      </c>
      <c r="BE19" s="21">
        <f t="shared" si="8"/>
        <v>2</v>
      </c>
      <c r="BF19" s="21">
        <f t="shared" si="8"/>
        <v>1</v>
      </c>
      <c r="BG19" s="21">
        <f t="shared" si="8"/>
        <v>2</v>
      </c>
      <c r="BH19" s="21">
        <f t="shared" si="8"/>
        <v>1</v>
      </c>
      <c r="BI19" s="21">
        <f t="shared" si="8"/>
        <v>2</v>
      </c>
      <c r="BJ19" s="21">
        <f t="shared" si="8"/>
        <v>1</v>
      </c>
      <c r="BK19" s="21">
        <f t="shared" si="8"/>
        <v>2</v>
      </c>
      <c r="BL19" s="21">
        <f t="shared" si="8"/>
        <v>1</v>
      </c>
      <c r="BM19" s="21">
        <f t="shared" si="8"/>
        <v>2</v>
      </c>
      <c r="BN19" s="21">
        <f t="shared" si="8"/>
        <v>1</v>
      </c>
      <c r="BO19" s="21">
        <f t="shared" si="8"/>
        <v>2</v>
      </c>
      <c r="BP19" s="21">
        <f t="shared" si="8"/>
        <v>1</v>
      </c>
      <c r="BQ19" s="21">
        <f t="shared" si="8"/>
        <v>2</v>
      </c>
      <c r="BR19" s="21">
        <f t="shared" ref="BR19:BU19" si="9">IF(MONTH(BR17)=3,1,2)</f>
        <v>1</v>
      </c>
      <c r="BS19" s="21">
        <f t="shared" si="9"/>
        <v>2</v>
      </c>
      <c r="BT19" s="21">
        <f t="shared" si="9"/>
        <v>1</v>
      </c>
      <c r="BU19" s="21">
        <f t="shared" si="9"/>
        <v>2</v>
      </c>
    </row>
    <row r="20" spans="1:73">
      <c r="A20" t="s">
        <v>156</v>
      </c>
      <c r="B20" s="40" t="s">
        <v>174</v>
      </c>
      <c r="C20">
        <f>SUM(D20:BU20)</f>
        <v>4</v>
      </c>
      <c r="D20">
        <f t="shared" ref="D20:AI20" si="10">IF(AND(D16&gt;=$C$7,D16&lt;$C$8),1,0)</f>
        <v>1</v>
      </c>
      <c r="E20">
        <f t="shared" si="10"/>
        <v>1</v>
      </c>
      <c r="F20">
        <f t="shared" si="10"/>
        <v>1</v>
      </c>
      <c r="G20">
        <f t="shared" si="10"/>
        <v>1</v>
      </c>
      <c r="H20" s="21">
        <f t="shared" si="10"/>
        <v>0</v>
      </c>
      <c r="I20" s="21">
        <f t="shared" si="10"/>
        <v>0</v>
      </c>
      <c r="J20" s="21">
        <f t="shared" si="10"/>
        <v>0</v>
      </c>
      <c r="K20" s="21">
        <f t="shared" si="10"/>
        <v>0</v>
      </c>
      <c r="L20" s="21">
        <f t="shared" si="10"/>
        <v>0</v>
      </c>
      <c r="M20" s="21">
        <f t="shared" si="10"/>
        <v>0</v>
      </c>
      <c r="N20" s="21">
        <f t="shared" si="10"/>
        <v>0</v>
      </c>
      <c r="O20" s="21">
        <f t="shared" si="10"/>
        <v>0</v>
      </c>
      <c r="P20" s="21">
        <f t="shared" si="10"/>
        <v>0</v>
      </c>
      <c r="Q20" s="21">
        <f t="shared" si="10"/>
        <v>0</v>
      </c>
      <c r="R20" s="21">
        <f t="shared" si="10"/>
        <v>0</v>
      </c>
      <c r="S20" s="21">
        <f t="shared" si="10"/>
        <v>0</v>
      </c>
      <c r="T20" s="21">
        <f t="shared" si="10"/>
        <v>0</v>
      </c>
      <c r="U20" s="21">
        <f t="shared" si="10"/>
        <v>0</v>
      </c>
      <c r="V20" s="21">
        <f t="shared" si="10"/>
        <v>0</v>
      </c>
      <c r="W20" s="21">
        <f t="shared" si="10"/>
        <v>0</v>
      </c>
      <c r="X20" s="21">
        <f t="shared" si="10"/>
        <v>0</v>
      </c>
      <c r="Y20" s="21">
        <f t="shared" si="10"/>
        <v>0</v>
      </c>
      <c r="Z20" s="21">
        <f t="shared" si="10"/>
        <v>0</v>
      </c>
      <c r="AA20" s="21">
        <f t="shared" si="10"/>
        <v>0</v>
      </c>
      <c r="AB20" s="21">
        <f t="shared" si="10"/>
        <v>0</v>
      </c>
      <c r="AC20" s="21">
        <f t="shared" si="10"/>
        <v>0</v>
      </c>
      <c r="AD20" s="21">
        <f t="shared" si="10"/>
        <v>0</v>
      </c>
      <c r="AE20" s="21">
        <f t="shared" si="10"/>
        <v>0</v>
      </c>
      <c r="AF20" s="21">
        <f t="shared" si="10"/>
        <v>0</v>
      </c>
      <c r="AG20" s="21">
        <f t="shared" si="10"/>
        <v>0</v>
      </c>
      <c r="AH20" s="21">
        <f t="shared" si="10"/>
        <v>0</v>
      </c>
      <c r="AI20" s="21">
        <f t="shared" si="10"/>
        <v>0</v>
      </c>
      <c r="AJ20" s="21">
        <f t="shared" ref="AJ20:BO20" si="11">IF(AND(AJ16&gt;=$C$7,AJ16&lt;$C$8),1,0)</f>
        <v>0</v>
      </c>
      <c r="AK20" s="21">
        <f t="shared" si="11"/>
        <v>0</v>
      </c>
      <c r="AL20" s="21">
        <f t="shared" si="11"/>
        <v>0</v>
      </c>
      <c r="AM20" s="21">
        <f t="shared" si="11"/>
        <v>0</v>
      </c>
      <c r="AN20" s="21">
        <f t="shared" si="11"/>
        <v>0</v>
      </c>
      <c r="AO20" s="21">
        <f t="shared" si="11"/>
        <v>0</v>
      </c>
      <c r="AP20" s="21">
        <f t="shared" si="11"/>
        <v>0</v>
      </c>
      <c r="AQ20" s="21">
        <f t="shared" si="11"/>
        <v>0</v>
      </c>
      <c r="AR20" s="21">
        <f t="shared" si="11"/>
        <v>0</v>
      </c>
      <c r="AS20" s="21">
        <f t="shared" si="11"/>
        <v>0</v>
      </c>
      <c r="AT20" s="21">
        <f t="shared" si="11"/>
        <v>0</v>
      </c>
      <c r="AU20" s="21">
        <f t="shared" si="11"/>
        <v>0</v>
      </c>
      <c r="AV20" s="21">
        <f t="shared" si="11"/>
        <v>0</v>
      </c>
      <c r="AW20" s="21">
        <f t="shared" si="11"/>
        <v>0</v>
      </c>
      <c r="AX20" s="21">
        <f t="shared" si="11"/>
        <v>0</v>
      </c>
      <c r="AY20" s="21">
        <f t="shared" si="11"/>
        <v>0</v>
      </c>
      <c r="AZ20" s="21">
        <f t="shared" si="11"/>
        <v>0</v>
      </c>
      <c r="BA20" s="21">
        <f t="shared" si="11"/>
        <v>0</v>
      </c>
      <c r="BB20" s="21">
        <f t="shared" si="11"/>
        <v>0</v>
      </c>
      <c r="BC20" s="21">
        <f t="shared" si="11"/>
        <v>0</v>
      </c>
      <c r="BD20" s="21">
        <f t="shared" si="11"/>
        <v>0</v>
      </c>
      <c r="BE20" s="21">
        <f t="shared" si="11"/>
        <v>0</v>
      </c>
      <c r="BF20" s="21">
        <f t="shared" si="11"/>
        <v>0</v>
      </c>
      <c r="BG20" s="21">
        <f t="shared" si="11"/>
        <v>0</v>
      </c>
      <c r="BH20" s="21">
        <f t="shared" si="11"/>
        <v>0</v>
      </c>
      <c r="BI20" s="21">
        <f t="shared" si="11"/>
        <v>0</v>
      </c>
      <c r="BJ20" s="21">
        <f t="shared" si="11"/>
        <v>0</v>
      </c>
      <c r="BK20" s="21">
        <f t="shared" si="11"/>
        <v>0</v>
      </c>
      <c r="BL20" s="21">
        <f t="shared" si="11"/>
        <v>0</v>
      </c>
      <c r="BM20" s="21">
        <f t="shared" si="11"/>
        <v>0</v>
      </c>
      <c r="BN20" s="21">
        <f t="shared" si="11"/>
        <v>0</v>
      </c>
      <c r="BO20" s="21">
        <f t="shared" si="11"/>
        <v>0</v>
      </c>
      <c r="BP20" s="21">
        <f t="shared" ref="BP20:BU20" si="12">IF(AND(BP16&gt;=$C$7,BP16&lt;$C$8),1,0)</f>
        <v>0</v>
      </c>
      <c r="BQ20" s="21">
        <f t="shared" si="12"/>
        <v>0</v>
      </c>
      <c r="BR20" s="21">
        <f t="shared" si="12"/>
        <v>0</v>
      </c>
      <c r="BS20" s="21">
        <f t="shared" si="12"/>
        <v>0</v>
      </c>
      <c r="BT20" s="21">
        <f t="shared" si="12"/>
        <v>0</v>
      </c>
      <c r="BU20" s="21">
        <f t="shared" si="12"/>
        <v>0</v>
      </c>
    </row>
    <row r="21" spans="1:73">
      <c r="A21" t="s">
        <v>157</v>
      </c>
      <c r="B21" t="s">
        <v>174</v>
      </c>
      <c r="C21">
        <f>SUM(D21:BU21)</f>
        <v>60</v>
      </c>
      <c r="D21">
        <f t="shared" ref="D21:AI21" si="13">IF(AND(D16&gt;=$C$8,D16&lt;$C$11),1,0)</f>
        <v>0</v>
      </c>
      <c r="E21">
        <f t="shared" si="13"/>
        <v>0</v>
      </c>
      <c r="F21">
        <f t="shared" si="13"/>
        <v>0</v>
      </c>
      <c r="G21">
        <f t="shared" si="13"/>
        <v>0</v>
      </c>
      <c r="H21" s="21">
        <f t="shared" si="13"/>
        <v>1</v>
      </c>
      <c r="I21" s="21">
        <f t="shared" si="13"/>
        <v>1</v>
      </c>
      <c r="J21" s="21">
        <f t="shared" si="13"/>
        <v>1</v>
      </c>
      <c r="K21" s="21">
        <f t="shared" si="13"/>
        <v>1</v>
      </c>
      <c r="L21" s="21">
        <f t="shared" si="13"/>
        <v>1</v>
      </c>
      <c r="M21" s="21">
        <f t="shared" si="13"/>
        <v>1</v>
      </c>
      <c r="N21" s="21">
        <f t="shared" si="13"/>
        <v>1</v>
      </c>
      <c r="O21" s="21">
        <f t="shared" si="13"/>
        <v>1</v>
      </c>
      <c r="P21" s="21">
        <f t="shared" si="13"/>
        <v>1</v>
      </c>
      <c r="Q21" s="21">
        <f t="shared" si="13"/>
        <v>1</v>
      </c>
      <c r="R21" s="21">
        <f t="shared" si="13"/>
        <v>1</v>
      </c>
      <c r="S21" s="21">
        <f t="shared" si="13"/>
        <v>1</v>
      </c>
      <c r="T21" s="21">
        <f t="shared" si="13"/>
        <v>1</v>
      </c>
      <c r="U21" s="21">
        <f t="shared" si="13"/>
        <v>1</v>
      </c>
      <c r="V21" s="21">
        <f t="shared" si="13"/>
        <v>1</v>
      </c>
      <c r="W21" s="21">
        <f t="shared" si="13"/>
        <v>1</v>
      </c>
      <c r="X21" s="21">
        <f t="shared" si="13"/>
        <v>1</v>
      </c>
      <c r="Y21" s="21">
        <f t="shared" si="13"/>
        <v>1</v>
      </c>
      <c r="Z21" s="21">
        <f t="shared" si="13"/>
        <v>1</v>
      </c>
      <c r="AA21" s="21">
        <f t="shared" si="13"/>
        <v>1</v>
      </c>
      <c r="AB21" s="21">
        <f t="shared" si="13"/>
        <v>1</v>
      </c>
      <c r="AC21" s="21">
        <f t="shared" si="13"/>
        <v>1</v>
      </c>
      <c r="AD21" s="21">
        <f t="shared" si="13"/>
        <v>1</v>
      </c>
      <c r="AE21" s="21">
        <f t="shared" si="13"/>
        <v>1</v>
      </c>
      <c r="AF21" s="21">
        <f t="shared" si="13"/>
        <v>1</v>
      </c>
      <c r="AG21" s="21">
        <f t="shared" si="13"/>
        <v>1</v>
      </c>
      <c r="AH21" s="21">
        <f t="shared" si="13"/>
        <v>1</v>
      </c>
      <c r="AI21" s="21">
        <f t="shared" si="13"/>
        <v>1</v>
      </c>
      <c r="AJ21" s="21">
        <f t="shared" ref="AJ21:BO21" si="14">IF(AND(AJ16&gt;=$C$8,AJ16&lt;$C$11),1,0)</f>
        <v>1</v>
      </c>
      <c r="AK21" s="21">
        <f t="shared" si="14"/>
        <v>1</v>
      </c>
      <c r="AL21" s="21">
        <f t="shared" si="14"/>
        <v>1</v>
      </c>
      <c r="AM21" s="21">
        <f t="shared" si="14"/>
        <v>1</v>
      </c>
      <c r="AN21" s="21">
        <f t="shared" si="14"/>
        <v>1</v>
      </c>
      <c r="AO21" s="21">
        <f t="shared" si="14"/>
        <v>1</v>
      </c>
      <c r="AP21" s="21">
        <f t="shared" si="14"/>
        <v>1</v>
      </c>
      <c r="AQ21" s="21">
        <f t="shared" si="14"/>
        <v>1</v>
      </c>
      <c r="AR21" s="21">
        <f t="shared" si="14"/>
        <v>1</v>
      </c>
      <c r="AS21" s="21">
        <f t="shared" si="14"/>
        <v>1</v>
      </c>
      <c r="AT21" s="21">
        <f t="shared" si="14"/>
        <v>1</v>
      </c>
      <c r="AU21" s="21">
        <f t="shared" si="14"/>
        <v>1</v>
      </c>
      <c r="AV21" s="21">
        <f t="shared" si="14"/>
        <v>1</v>
      </c>
      <c r="AW21" s="21">
        <f t="shared" si="14"/>
        <v>1</v>
      </c>
      <c r="AX21" s="21">
        <f t="shared" si="14"/>
        <v>1</v>
      </c>
      <c r="AY21" s="21">
        <f t="shared" si="14"/>
        <v>1</v>
      </c>
      <c r="AZ21" s="21">
        <f t="shared" si="14"/>
        <v>1</v>
      </c>
      <c r="BA21" s="21">
        <f t="shared" si="14"/>
        <v>1</v>
      </c>
      <c r="BB21" s="21">
        <f t="shared" si="14"/>
        <v>1</v>
      </c>
      <c r="BC21" s="21">
        <f t="shared" si="14"/>
        <v>1</v>
      </c>
      <c r="BD21" s="21">
        <f t="shared" si="14"/>
        <v>1</v>
      </c>
      <c r="BE21" s="21">
        <f t="shared" si="14"/>
        <v>1</v>
      </c>
      <c r="BF21" s="21">
        <f t="shared" si="14"/>
        <v>1</v>
      </c>
      <c r="BG21" s="21">
        <f t="shared" si="14"/>
        <v>1</v>
      </c>
      <c r="BH21" s="21">
        <f t="shared" si="14"/>
        <v>1</v>
      </c>
      <c r="BI21" s="21">
        <f t="shared" si="14"/>
        <v>1</v>
      </c>
      <c r="BJ21" s="21">
        <f t="shared" si="14"/>
        <v>1</v>
      </c>
      <c r="BK21" s="21">
        <f t="shared" si="14"/>
        <v>1</v>
      </c>
      <c r="BL21" s="21">
        <f t="shared" si="14"/>
        <v>1</v>
      </c>
      <c r="BM21" s="21">
        <f t="shared" si="14"/>
        <v>1</v>
      </c>
      <c r="BN21" s="21">
        <f t="shared" si="14"/>
        <v>1</v>
      </c>
      <c r="BO21" s="21">
        <f t="shared" si="14"/>
        <v>1</v>
      </c>
      <c r="BP21" s="21">
        <f t="shared" ref="BP21:BU21" si="15">IF(AND(BP16&gt;=$C$8,BP16&lt;$C$11),1,0)</f>
        <v>0</v>
      </c>
      <c r="BQ21" s="21">
        <f t="shared" si="15"/>
        <v>0</v>
      </c>
      <c r="BR21" s="21">
        <f t="shared" si="15"/>
        <v>0</v>
      </c>
      <c r="BS21" s="21">
        <f t="shared" si="15"/>
        <v>0</v>
      </c>
      <c r="BT21" s="21">
        <f t="shared" si="15"/>
        <v>0</v>
      </c>
      <c r="BU21" s="21">
        <f t="shared" si="15"/>
        <v>0</v>
      </c>
    </row>
    <row r="22" spans="1:73">
      <c r="A22" t="s">
        <v>158</v>
      </c>
      <c r="B22" t="s">
        <v>174</v>
      </c>
      <c r="C22">
        <f>SUM(D22:BU22)</f>
        <v>24</v>
      </c>
      <c r="D22">
        <f t="shared" ref="D22:AI22" si="16">IF(AND(D16&gt;=$C$9,D16&lt;$C$10),1,0)</f>
        <v>0</v>
      </c>
      <c r="E22">
        <f t="shared" si="16"/>
        <v>0</v>
      </c>
      <c r="F22">
        <f t="shared" si="16"/>
        <v>0</v>
      </c>
      <c r="G22">
        <f t="shared" si="16"/>
        <v>0</v>
      </c>
      <c r="H22" s="21">
        <f t="shared" si="16"/>
        <v>1</v>
      </c>
      <c r="I22" s="21">
        <f t="shared" si="16"/>
        <v>1</v>
      </c>
      <c r="J22" s="21">
        <f t="shared" si="16"/>
        <v>1</v>
      </c>
      <c r="K22" s="21">
        <f t="shared" si="16"/>
        <v>1</v>
      </c>
      <c r="L22" s="21">
        <f t="shared" si="16"/>
        <v>1</v>
      </c>
      <c r="M22" s="21">
        <f t="shared" si="16"/>
        <v>1</v>
      </c>
      <c r="N22" s="21">
        <f t="shared" si="16"/>
        <v>1</v>
      </c>
      <c r="O22" s="21">
        <f t="shared" si="16"/>
        <v>1</v>
      </c>
      <c r="P22" s="21">
        <f t="shared" si="16"/>
        <v>1</v>
      </c>
      <c r="Q22" s="21">
        <f t="shared" si="16"/>
        <v>1</v>
      </c>
      <c r="R22" s="21">
        <f t="shared" si="16"/>
        <v>1</v>
      </c>
      <c r="S22" s="21">
        <f t="shared" si="16"/>
        <v>1</v>
      </c>
      <c r="T22" s="21">
        <f t="shared" si="16"/>
        <v>1</v>
      </c>
      <c r="U22" s="21">
        <f t="shared" si="16"/>
        <v>1</v>
      </c>
      <c r="V22" s="21">
        <f t="shared" si="16"/>
        <v>1</v>
      </c>
      <c r="W22" s="21">
        <f t="shared" si="16"/>
        <v>1</v>
      </c>
      <c r="X22" s="21">
        <f t="shared" si="16"/>
        <v>1</v>
      </c>
      <c r="Y22" s="21">
        <f t="shared" si="16"/>
        <v>1</v>
      </c>
      <c r="Z22" s="21">
        <f t="shared" si="16"/>
        <v>1</v>
      </c>
      <c r="AA22" s="21">
        <f t="shared" si="16"/>
        <v>1</v>
      </c>
      <c r="AB22" s="21">
        <f t="shared" si="16"/>
        <v>1</v>
      </c>
      <c r="AC22" s="21">
        <f t="shared" si="16"/>
        <v>1</v>
      </c>
      <c r="AD22" s="21">
        <f t="shared" si="16"/>
        <v>1</v>
      </c>
      <c r="AE22" s="21">
        <f t="shared" si="16"/>
        <v>1</v>
      </c>
      <c r="AF22" s="21">
        <f t="shared" si="16"/>
        <v>0</v>
      </c>
      <c r="AG22" s="21">
        <f t="shared" si="16"/>
        <v>0</v>
      </c>
      <c r="AH22" s="21">
        <f t="shared" si="16"/>
        <v>0</v>
      </c>
      <c r="AI22" s="21">
        <f t="shared" si="16"/>
        <v>0</v>
      </c>
      <c r="AJ22" s="21">
        <f t="shared" ref="AJ22:BO22" si="17">IF(AND(AJ16&gt;=$C$9,AJ16&lt;$C$10),1,0)</f>
        <v>0</v>
      </c>
      <c r="AK22" s="21">
        <f t="shared" si="17"/>
        <v>0</v>
      </c>
      <c r="AL22" s="21">
        <f t="shared" si="17"/>
        <v>0</v>
      </c>
      <c r="AM22" s="21">
        <f t="shared" si="17"/>
        <v>0</v>
      </c>
      <c r="AN22" s="21">
        <f t="shared" si="17"/>
        <v>0</v>
      </c>
      <c r="AO22" s="21">
        <f t="shared" si="17"/>
        <v>0</v>
      </c>
      <c r="AP22" s="21">
        <f t="shared" si="17"/>
        <v>0</v>
      </c>
      <c r="AQ22" s="21">
        <f t="shared" si="17"/>
        <v>0</v>
      </c>
      <c r="AR22" s="21">
        <f t="shared" si="17"/>
        <v>0</v>
      </c>
      <c r="AS22" s="21">
        <f t="shared" si="17"/>
        <v>0</v>
      </c>
      <c r="AT22" s="21">
        <f t="shared" si="17"/>
        <v>0</v>
      </c>
      <c r="AU22" s="21">
        <f t="shared" si="17"/>
        <v>0</v>
      </c>
      <c r="AV22" s="21">
        <f t="shared" si="17"/>
        <v>0</v>
      </c>
      <c r="AW22" s="21">
        <f t="shared" si="17"/>
        <v>0</v>
      </c>
      <c r="AX22" s="21">
        <f t="shared" si="17"/>
        <v>0</v>
      </c>
      <c r="AY22" s="21">
        <f t="shared" si="17"/>
        <v>0</v>
      </c>
      <c r="AZ22" s="21">
        <f t="shared" si="17"/>
        <v>0</v>
      </c>
      <c r="BA22" s="21">
        <f t="shared" si="17"/>
        <v>0</v>
      </c>
      <c r="BB22" s="21">
        <f t="shared" si="17"/>
        <v>0</v>
      </c>
      <c r="BC22" s="21">
        <f t="shared" si="17"/>
        <v>0</v>
      </c>
      <c r="BD22" s="21">
        <f t="shared" si="17"/>
        <v>0</v>
      </c>
      <c r="BE22" s="21">
        <f t="shared" si="17"/>
        <v>0</v>
      </c>
      <c r="BF22" s="21">
        <f t="shared" si="17"/>
        <v>0</v>
      </c>
      <c r="BG22" s="21">
        <f t="shared" si="17"/>
        <v>0</v>
      </c>
      <c r="BH22" s="21">
        <f t="shared" si="17"/>
        <v>0</v>
      </c>
      <c r="BI22" s="21">
        <f t="shared" si="17"/>
        <v>0</v>
      </c>
      <c r="BJ22" s="21">
        <f t="shared" si="17"/>
        <v>0</v>
      </c>
      <c r="BK22" s="21">
        <f t="shared" si="17"/>
        <v>0</v>
      </c>
      <c r="BL22" s="21">
        <f t="shared" si="17"/>
        <v>0</v>
      </c>
      <c r="BM22" s="21">
        <f t="shared" si="17"/>
        <v>0</v>
      </c>
      <c r="BN22" s="21">
        <f t="shared" si="17"/>
        <v>0</v>
      </c>
      <c r="BO22" s="21">
        <f t="shared" si="17"/>
        <v>0</v>
      </c>
      <c r="BP22" s="21">
        <f t="shared" ref="BP22:BU22" si="18">IF(AND(BP16&gt;=$C$9,BP16&lt;$C$10),1,0)</f>
        <v>0</v>
      </c>
      <c r="BQ22" s="21">
        <f t="shared" si="18"/>
        <v>0</v>
      </c>
      <c r="BR22" s="21">
        <f t="shared" si="18"/>
        <v>0</v>
      </c>
      <c r="BS22" s="21">
        <f t="shared" si="18"/>
        <v>0</v>
      </c>
      <c r="BT22" s="21">
        <f t="shared" si="18"/>
        <v>0</v>
      </c>
      <c r="BU22" s="21">
        <f t="shared" si="18"/>
        <v>0</v>
      </c>
    </row>
    <row r="23" spans="1:73">
      <c r="A23" t="s">
        <v>159</v>
      </c>
      <c r="B23" t="s">
        <v>31</v>
      </c>
      <c r="C23" t="s">
        <v>131</v>
      </c>
      <c r="D23" s="8">
        <f>(D16-DATE(Inputs!$B$21,7,1))/365.25</f>
        <v>3.2498288843258041</v>
      </c>
      <c r="E23" s="8">
        <f>(E16-DATE(Inputs!$B$21,7,1))/365.25</f>
        <v>3.7508555783709787</v>
      </c>
      <c r="F23" s="8">
        <f>(F16-DATE(Inputs!$B$21,7,1))/365.25</f>
        <v>4.2518822724161529</v>
      </c>
      <c r="G23" s="8">
        <f>(G16-DATE(Inputs!$B$21,7,1))/365.25</f>
        <v>4.7501711156741955</v>
      </c>
      <c r="H23" s="8">
        <f>(H16-DATE(Inputs!$B$21,7,1))/365.25</f>
        <v>5.2511978097193701</v>
      </c>
      <c r="I23" s="8">
        <f>(I16-DATE(Inputs!$B$21,7,1))/365.25</f>
        <v>5.7494866529774127</v>
      </c>
      <c r="J23" s="8">
        <f>(J16-DATE(Inputs!$B$21,7,1))/365.25</f>
        <v>6.2505133470225873</v>
      </c>
      <c r="K23" s="8">
        <f>(K16-DATE(Inputs!$B$21,7,1))/365.25</f>
        <v>6.7488021902806299</v>
      </c>
      <c r="L23" s="8">
        <f>(L16-DATE(Inputs!$B$21,7,1))/365.25</f>
        <v>7.2498288843258045</v>
      </c>
      <c r="M23" s="8">
        <f>(M16-DATE(Inputs!$B$21,7,1))/365.25</f>
        <v>7.7508555783709792</v>
      </c>
      <c r="N23" s="8">
        <f>(N16-DATE(Inputs!$B$21,7,1))/365.25</f>
        <v>8.2518822724161538</v>
      </c>
      <c r="O23" s="8">
        <f>(O16-DATE(Inputs!$B$21,7,1))/365.25</f>
        <v>8.7501711156741955</v>
      </c>
      <c r="P23" s="8">
        <f>(P16-DATE(Inputs!$B$21,7,1))/365.25</f>
        <v>9.2511978097193701</v>
      </c>
      <c r="Q23" s="8">
        <f>(Q16-DATE(Inputs!$B$21,7,1))/365.25</f>
        <v>9.7494866529774136</v>
      </c>
      <c r="R23" s="8">
        <f>(R16-DATE(Inputs!$B$21,7,1))/365.25</f>
        <v>10.250513347022586</v>
      </c>
      <c r="S23" s="8">
        <f>(S16-DATE(Inputs!$B$21,7,1))/365.25</f>
        <v>10.74880219028063</v>
      </c>
      <c r="T23" s="8">
        <f>(T16-DATE(Inputs!$B$21,7,1))/365.25</f>
        <v>11.249828884325805</v>
      </c>
      <c r="U23" s="8">
        <f>(U16-DATE(Inputs!$B$21,7,1))/365.25</f>
        <v>11.750855578370979</v>
      </c>
      <c r="V23" s="8">
        <f>(V16-DATE(Inputs!$B$21,7,1))/365.25</f>
        <v>12.251882272416154</v>
      </c>
      <c r="W23" s="8">
        <f>(W16-DATE(Inputs!$B$21,7,1))/365.25</f>
        <v>12.750171115674195</v>
      </c>
      <c r="X23" s="8">
        <f>(X16-DATE(Inputs!$B$21,7,1))/365.25</f>
        <v>13.25119780971937</v>
      </c>
      <c r="Y23" s="8">
        <f>(Y16-DATE(Inputs!$B$21,7,1))/365.25</f>
        <v>13.749486652977414</v>
      </c>
      <c r="Z23" s="8">
        <f>(Z16-DATE(Inputs!$B$21,7,1))/365.25</f>
        <v>14.250513347022586</v>
      </c>
      <c r="AA23" s="8">
        <f>(AA16-DATE(Inputs!$B$21,7,1))/365.25</f>
        <v>14.74880219028063</v>
      </c>
      <c r="AB23" s="8">
        <f>(AB16-DATE(Inputs!$B$21,7,1))/365.25</f>
        <v>15.249828884325805</v>
      </c>
      <c r="AC23" s="8">
        <f>(AC16-DATE(Inputs!$B$21,7,1))/365.25</f>
        <v>15.750855578370979</v>
      </c>
      <c r="AD23" s="8">
        <f>(AD16-DATE(Inputs!$B$21,7,1))/365.25</f>
        <v>16.251882272416154</v>
      </c>
      <c r="AE23" s="8">
        <f>(AE16-DATE(Inputs!$B$21,7,1))/365.25</f>
        <v>16.750171115674195</v>
      </c>
      <c r="AF23" s="8">
        <f>(AF16-DATE(Inputs!$B$21,7,1))/365.25</f>
        <v>17.251197809719372</v>
      </c>
      <c r="AG23" s="8">
        <f>(AG16-DATE(Inputs!$B$21,7,1))/365.25</f>
        <v>17.749486652977414</v>
      </c>
      <c r="AH23" s="8">
        <f>(AH16-DATE(Inputs!$B$21,7,1))/365.25</f>
        <v>18.250513347022586</v>
      </c>
      <c r="AI23" s="8">
        <f>(AI16-DATE(Inputs!$B$21,7,1))/365.25</f>
        <v>18.748802190280628</v>
      </c>
      <c r="AJ23" s="8">
        <f>(AJ16-DATE(Inputs!$B$21,7,1))/365.25</f>
        <v>19.249828884325805</v>
      </c>
      <c r="AK23" s="8">
        <f>(AK16-DATE(Inputs!$B$21,7,1))/365.25</f>
        <v>19.750855578370977</v>
      </c>
      <c r="AL23" s="8">
        <f>(AL16-DATE(Inputs!$B$21,7,1))/365.25</f>
        <v>20.251882272416154</v>
      </c>
      <c r="AM23" s="8">
        <f>(AM16-DATE(Inputs!$B$21,7,1))/365.25</f>
        <v>20.750171115674195</v>
      </c>
      <c r="AN23" s="8">
        <f>(AN16-DATE(Inputs!$B$21,7,1))/365.25</f>
        <v>21.251197809719372</v>
      </c>
      <c r="AO23" s="8">
        <f>(AO16-DATE(Inputs!$B$21,7,1))/365.25</f>
        <v>21.749486652977414</v>
      </c>
      <c r="AP23" s="8">
        <f>(AP16-DATE(Inputs!$B$21,7,1))/365.25</f>
        <v>22.250513347022586</v>
      </c>
      <c r="AQ23" s="8">
        <f>(AQ16-DATE(Inputs!$B$21,7,1))/365.25</f>
        <v>22.748802190280628</v>
      </c>
      <c r="AR23" s="8">
        <f>(AR16-DATE(Inputs!$B$21,7,1))/365.25</f>
        <v>23.249828884325805</v>
      </c>
      <c r="AS23" s="8">
        <f>(AS16-DATE(Inputs!$B$21,7,1))/365.25</f>
        <v>23.750855578370977</v>
      </c>
      <c r="AT23" s="8">
        <f>(AT16-DATE(Inputs!$B$21,7,1))/365.25</f>
        <v>24.251882272416154</v>
      </c>
      <c r="AU23" s="8">
        <f>(AU16-DATE(Inputs!$B$21,7,1))/365.25</f>
        <v>24.750171115674195</v>
      </c>
      <c r="AV23" s="8">
        <f>(AV16-DATE(Inputs!$B$21,7,1))/365.25</f>
        <v>25.251197809719372</v>
      </c>
      <c r="AW23" s="8">
        <f>(AW16-DATE(Inputs!$B$21,7,1))/365.25</f>
        <v>25.749486652977414</v>
      </c>
      <c r="AX23" s="8">
        <f>(AX16-DATE(Inputs!$B$21,7,1))/365.25</f>
        <v>26.250513347022586</v>
      </c>
      <c r="AY23" s="8">
        <f>(AY16-DATE(Inputs!$B$21,7,1))/365.25</f>
        <v>26.748802190280628</v>
      </c>
      <c r="AZ23" s="8">
        <f>(AZ16-DATE(Inputs!$B$21,7,1))/365.25</f>
        <v>27.249828884325805</v>
      </c>
      <c r="BA23" s="8">
        <f>(BA16-DATE(Inputs!$B$21,7,1))/365.25</f>
        <v>27.750855578370977</v>
      </c>
      <c r="BB23" s="8">
        <f>(BB16-DATE(Inputs!$B$21,7,1))/365.25</f>
        <v>28.251882272416154</v>
      </c>
      <c r="BC23" s="8">
        <f>(BC16-DATE(Inputs!$B$21,7,1))/365.25</f>
        <v>28.750171115674195</v>
      </c>
      <c r="BD23" s="8">
        <f>(BD16-DATE(Inputs!$B$21,7,1))/365.25</f>
        <v>29.251197809719372</v>
      </c>
      <c r="BE23" s="8">
        <f>(BE16-DATE(Inputs!$B$21,7,1))/365.25</f>
        <v>29.749486652977414</v>
      </c>
      <c r="BF23" s="8">
        <f>(BF16-DATE(Inputs!$B$21,7,1))/365.25</f>
        <v>30.250513347022586</v>
      </c>
      <c r="BG23" s="8">
        <f>(BG16-DATE(Inputs!$B$21,7,1))/365.25</f>
        <v>30.748802190280628</v>
      </c>
      <c r="BH23" s="8">
        <f>(BH16-DATE(Inputs!$B$21,7,1))/365.25</f>
        <v>31.249828884325805</v>
      </c>
      <c r="BI23" s="8">
        <f>(BI16-DATE(Inputs!$B$21,7,1))/365.25</f>
        <v>31.750855578370977</v>
      </c>
      <c r="BJ23" s="8">
        <f>(BJ16-DATE(Inputs!$B$21,7,1))/365.25</f>
        <v>32.251882272416154</v>
      </c>
      <c r="BK23" s="8">
        <f>(BK16-DATE(Inputs!$B$21,7,1))/365.25</f>
        <v>32.750171115674199</v>
      </c>
      <c r="BL23" s="8">
        <f>(BL16-DATE(Inputs!$B$21,7,1))/365.25</f>
        <v>33.251197809719372</v>
      </c>
      <c r="BM23" s="8">
        <f>(BM16-DATE(Inputs!$B$21,7,1))/365.25</f>
        <v>33.74948665297741</v>
      </c>
      <c r="BN23" s="8">
        <f>(BN16-DATE(Inputs!$B$21,7,1))/365.25</f>
        <v>34.25051334702259</v>
      </c>
      <c r="BO23" s="8">
        <f>(BO16-DATE(Inputs!$B$21,7,1))/365.25</f>
        <v>34.748802190280628</v>
      </c>
      <c r="BP23" s="8">
        <f>(BP16-DATE(Inputs!$B$21,7,1))/365.25</f>
        <v>35.249828884325801</v>
      </c>
      <c r="BQ23" s="8">
        <f>(BQ16-DATE(Inputs!$B$21,7,1))/365.25</f>
        <v>35.750855578370981</v>
      </c>
      <c r="BR23" s="8">
        <f>(BR16-DATE(Inputs!$B$21,7,1))/365.25</f>
        <v>36.251882272416154</v>
      </c>
      <c r="BS23" s="8">
        <f>(BS16-DATE(Inputs!$B$21,7,1))/365.25</f>
        <v>36.750171115674199</v>
      </c>
      <c r="BT23" s="8">
        <f>(BT16-DATE(Inputs!$B$21,7,1))/365.25</f>
        <v>37.251197809719372</v>
      </c>
      <c r="BU23" s="8">
        <f>(BU16-DATE(Inputs!$B$21,7,1))/365.25</f>
        <v>37.74948665297741</v>
      </c>
    </row>
    <row r="24" spans="1:73">
      <c r="A24" t="s">
        <v>226</v>
      </c>
      <c r="B24" t="s">
        <v>227</v>
      </c>
      <c r="C24" s="50" t="s">
        <v>131</v>
      </c>
      <c r="D24" s="8">
        <f>(D16-$C$8)/365.25*D21</f>
        <v>0</v>
      </c>
      <c r="E24" s="8">
        <f t="shared" ref="E24:BP24" si="19">(E16-$C$8)/365.25*E21</f>
        <v>0</v>
      </c>
      <c r="F24" s="8">
        <f t="shared" si="19"/>
        <v>0</v>
      </c>
      <c r="G24" s="8">
        <f t="shared" si="19"/>
        <v>0</v>
      </c>
      <c r="H24" s="8">
        <f t="shared" si="19"/>
        <v>0</v>
      </c>
      <c r="I24" s="8">
        <f t="shared" si="19"/>
        <v>0.49828884325804246</v>
      </c>
      <c r="J24" s="8">
        <f t="shared" si="19"/>
        <v>0.99931553730321698</v>
      </c>
      <c r="K24" s="8">
        <f t="shared" si="19"/>
        <v>1.4976043805612593</v>
      </c>
      <c r="L24" s="8">
        <f t="shared" si="19"/>
        <v>1.998631074606434</v>
      </c>
      <c r="M24" s="8">
        <f t="shared" si="19"/>
        <v>2.4996577686516086</v>
      </c>
      <c r="N24" s="8">
        <f t="shared" si="19"/>
        <v>3.0006844626967832</v>
      </c>
      <c r="O24" s="8">
        <f t="shared" si="19"/>
        <v>3.4989733059548254</v>
      </c>
      <c r="P24" s="8">
        <f t="shared" si="19"/>
        <v>4</v>
      </c>
      <c r="Q24" s="8">
        <f t="shared" si="19"/>
        <v>4.4982888432580426</v>
      </c>
      <c r="R24" s="8">
        <f t="shared" si="19"/>
        <v>4.9993155373032172</v>
      </c>
      <c r="S24" s="8">
        <f t="shared" si="19"/>
        <v>5.4976043805612598</v>
      </c>
      <c r="T24" s="8">
        <f t="shared" si="19"/>
        <v>5.9986310746064335</v>
      </c>
      <c r="U24" s="8">
        <f t="shared" si="19"/>
        <v>6.4996577686516082</v>
      </c>
      <c r="V24" s="8">
        <f t="shared" si="19"/>
        <v>7.0006844626967828</v>
      </c>
      <c r="W24" s="8">
        <f t="shared" si="19"/>
        <v>7.4989733059548254</v>
      </c>
      <c r="X24" s="8">
        <f t="shared" si="19"/>
        <v>8</v>
      </c>
      <c r="Y24" s="8">
        <f t="shared" si="19"/>
        <v>8.4982888432580417</v>
      </c>
      <c r="Z24" s="8">
        <f t="shared" si="19"/>
        <v>8.9993155373032163</v>
      </c>
      <c r="AA24" s="8">
        <f t="shared" si="19"/>
        <v>9.4976043805612598</v>
      </c>
      <c r="AB24" s="8">
        <f t="shared" si="19"/>
        <v>9.9986310746064344</v>
      </c>
      <c r="AC24" s="8">
        <f t="shared" si="19"/>
        <v>10.499657768651609</v>
      </c>
      <c r="AD24" s="8">
        <f t="shared" si="19"/>
        <v>11.000684462696784</v>
      </c>
      <c r="AE24" s="8">
        <f t="shared" si="19"/>
        <v>11.498973305954825</v>
      </c>
      <c r="AF24" s="8">
        <f t="shared" si="19"/>
        <v>12</v>
      </c>
      <c r="AG24" s="8">
        <f t="shared" si="19"/>
        <v>12.498288843258042</v>
      </c>
      <c r="AH24" s="8">
        <f t="shared" si="19"/>
        <v>12.999315537303216</v>
      </c>
      <c r="AI24" s="8">
        <f t="shared" si="19"/>
        <v>13.49760438056126</v>
      </c>
      <c r="AJ24" s="8">
        <f t="shared" si="19"/>
        <v>13.998631074606434</v>
      </c>
      <c r="AK24" s="8">
        <f t="shared" si="19"/>
        <v>14.499657768651609</v>
      </c>
      <c r="AL24" s="8">
        <f t="shared" si="19"/>
        <v>15.000684462696784</v>
      </c>
      <c r="AM24" s="8">
        <f t="shared" si="19"/>
        <v>15.498973305954825</v>
      </c>
      <c r="AN24" s="8">
        <f t="shared" si="19"/>
        <v>16</v>
      </c>
      <c r="AO24" s="8">
        <f t="shared" si="19"/>
        <v>16.498288843258042</v>
      </c>
      <c r="AP24" s="8">
        <f t="shared" si="19"/>
        <v>16.999315537303218</v>
      </c>
      <c r="AQ24" s="8">
        <f t="shared" si="19"/>
        <v>17.49760438056126</v>
      </c>
      <c r="AR24" s="8">
        <f t="shared" si="19"/>
        <v>17.998631074606433</v>
      </c>
      <c r="AS24" s="8">
        <f t="shared" si="19"/>
        <v>18.499657768651609</v>
      </c>
      <c r="AT24" s="8">
        <f t="shared" si="19"/>
        <v>19.000684462696782</v>
      </c>
      <c r="AU24" s="8">
        <f t="shared" si="19"/>
        <v>19.498973305954827</v>
      </c>
      <c r="AV24" s="8">
        <f t="shared" si="19"/>
        <v>20</v>
      </c>
      <c r="AW24" s="8">
        <f t="shared" si="19"/>
        <v>20.498288843258042</v>
      </c>
      <c r="AX24" s="8">
        <f t="shared" si="19"/>
        <v>20.999315537303218</v>
      </c>
      <c r="AY24" s="8">
        <f t="shared" si="19"/>
        <v>21.49760438056126</v>
      </c>
      <c r="AZ24" s="8">
        <f t="shared" si="19"/>
        <v>21.998631074606433</v>
      </c>
      <c r="BA24" s="8">
        <f t="shared" si="19"/>
        <v>22.499657768651609</v>
      </c>
      <c r="BB24" s="8">
        <f t="shared" si="19"/>
        <v>23.000684462696782</v>
      </c>
      <c r="BC24" s="8">
        <f t="shared" si="19"/>
        <v>23.498973305954827</v>
      </c>
      <c r="BD24" s="8">
        <f t="shared" si="19"/>
        <v>24</v>
      </c>
      <c r="BE24" s="8">
        <f t="shared" si="19"/>
        <v>24.498288843258042</v>
      </c>
      <c r="BF24" s="8">
        <f t="shared" si="19"/>
        <v>24.999315537303218</v>
      </c>
      <c r="BG24" s="8">
        <f t="shared" si="19"/>
        <v>25.49760438056126</v>
      </c>
      <c r="BH24" s="8">
        <f t="shared" si="19"/>
        <v>25.998631074606433</v>
      </c>
      <c r="BI24" s="8">
        <f t="shared" si="19"/>
        <v>26.499657768651609</v>
      </c>
      <c r="BJ24" s="8">
        <f t="shared" si="19"/>
        <v>27.000684462696782</v>
      </c>
      <c r="BK24" s="8">
        <f t="shared" si="19"/>
        <v>27.498973305954827</v>
      </c>
      <c r="BL24" s="8">
        <f t="shared" si="19"/>
        <v>28</v>
      </c>
      <c r="BM24" s="8">
        <f t="shared" si="19"/>
        <v>28.498288843258042</v>
      </c>
      <c r="BN24" s="8">
        <f t="shared" si="19"/>
        <v>28.999315537303218</v>
      </c>
      <c r="BO24" s="8">
        <f t="shared" si="19"/>
        <v>29.49760438056126</v>
      </c>
      <c r="BP24" s="8">
        <f t="shared" si="19"/>
        <v>0</v>
      </c>
      <c r="BQ24" s="8">
        <f t="shared" ref="BQ24:BU24" si="20">(BQ16-$C$8)/365.25*BQ21</f>
        <v>0</v>
      </c>
      <c r="BR24" s="8">
        <f t="shared" si="20"/>
        <v>0</v>
      </c>
      <c r="BS24" s="8">
        <f t="shared" si="20"/>
        <v>0</v>
      </c>
      <c r="BT24" s="8">
        <f t="shared" si="20"/>
        <v>0</v>
      </c>
      <c r="BU24" s="8">
        <f t="shared" si="20"/>
        <v>0</v>
      </c>
    </row>
    <row r="25" spans="1:73">
      <c r="A25" t="s">
        <v>166</v>
      </c>
      <c r="B25" t="s">
        <v>165</v>
      </c>
      <c r="C25" t="s">
        <v>131</v>
      </c>
      <c r="D25">
        <f>IF(D20+D21&gt;1,1,0)</f>
        <v>0</v>
      </c>
      <c r="E25">
        <f>IF(E20+E21&gt;1,1,0)</f>
        <v>0</v>
      </c>
      <c r="F25">
        <f t="shared" ref="F25:BQ25" si="21">IF(F20+F21&gt;1,1,0)</f>
        <v>0</v>
      </c>
      <c r="G25">
        <f t="shared" si="21"/>
        <v>0</v>
      </c>
      <c r="H25" s="21">
        <f t="shared" si="21"/>
        <v>0</v>
      </c>
      <c r="I25" s="21">
        <f t="shared" si="21"/>
        <v>0</v>
      </c>
      <c r="J25" s="21">
        <f t="shared" si="21"/>
        <v>0</v>
      </c>
      <c r="K25" s="21">
        <f t="shared" si="21"/>
        <v>0</v>
      </c>
      <c r="L25" s="21">
        <f t="shared" si="21"/>
        <v>0</v>
      </c>
      <c r="M25" s="21">
        <f t="shared" si="21"/>
        <v>0</v>
      </c>
      <c r="N25" s="21">
        <f t="shared" si="21"/>
        <v>0</v>
      </c>
      <c r="O25" s="21">
        <f t="shared" si="21"/>
        <v>0</v>
      </c>
      <c r="P25" s="21">
        <f t="shared" si="21"/>
        <v>0</v>
      </c>
      <c r="Q25" s="21">
        <f t="shared" si="21"/>
        <v>0</v>
      </c>
      <c r="R25" s="21">
        <f t="shared" si="21"/>
        <v>0</v>
      </c>
      <c r="S25" s="21">
        <f t="shared" si="21"/>
        <v>0</v>
      </c>
      <c r="T25" s="21">
        <f t="shared" si="21"/>
        <v>0</v>
      </c>
      <c r="U25" s="21">
        <f t="shared" si="21"/>
        <v>0</v>
      </c>
      <c r="V25" s="21">
        <f t="shared" si="21"/>
        <v>0</v>
      </c>
      <c r="W25" s="21">
        <f t="shared" si="21"/>
        <v>0</v>
      </c>
      <c r="X25" s="21">
        <f t="shared" si="21"/>
        <v>0</v>
      </c>
      <c r="Y25" s="21">
        <f t="shared" si="21"/>
        <v>0</v>
      </c>
      <c r="Z25" s="21">
        <f t="shared" si="21"/>
        <v>0</v>
      </c>
      <c r="AA25" s="21">
        <f t="shared" si="21"/>
        <v>0</v>
      </c>
      <c r="AB25" s="21">
        <f t="shared" si="21"/>
        <v>0</v>
      </c>
      <c r="AC25" s="21">
        <f t="shared" si="21"/>
        <v>0</v>
      </c>
      <c r="AD25" s="21">
        <f t="shared" si="21"/>
        <v>0</v>
      </c>
      <c r="AE25" s="21">
        <f t="shared" si="21"/>
        <v>0</v>
      </c>
      <c r="AF25" s="21">
        <f t="shared" si="21"/>
        <v>0</v>
      </c>
      <c r="AG25" s="21">
        <f t="shared" si="21"/>
        <v>0</v>
      </c>
      <c r="AH25" s="21">
        <f t="shared" si="21"/>
        <v>0</v>
      </c>
      <c r="AI25" s="21">
        <f t="shared" si="21"/>
        <v>0</v>
      </c>
      <c r="AJ25" s="21">
        <f t="shared" si="21"/>
        <v>0</v>
      </c>
      <c r="AK25" s="21">
        <f t="shared" si="21"/>
        <v>0</v>
      </c>
      <c r="AL25" s="21">
        <f t="shared" si="21"/>
        <v>0</v>
      </c>
      <c r="AM25" s="21">
        <f t="shared" si="21"/>
        <v>0</v>
      </c>
      <c r="AN25" s="21">
        <f t="shared" si="21"/>
        <v>0</v>
      </c>
      <c r="AO25" s="21">
        <f t="shared" si="21"/>
        <v>0</v>
      </c>
      <c r="AP25" s="21">
        <f t="shared" si="21"/>
        <v>0</v>
      </c>
      <c r="AQ25" s="21">
        <f t="shared" si="21"/>
        <v>0</v>
      </c>
      <c r="AR25" s="21">
        <f t="shared" si="21"/>
        <v>0</v>
      </c>
      <c r="AS25" s="21">
        <f t="shared" si="21"/>
        <v>0</v>
      </c>
      <c r="AT25" s="21">
        <f t="shared" si="21"/>
        <v>0</v>
      </c>
      <c r="AU25" s="21">
        <f t="shared" si="21"/>
        <v>0</v>
      </c>
      <c r="AV25" s="21">
        <f t="shared" si="21"/>
        <v>0</v>
      </c>
      <c r="AW25" s="21">
        <f t="shared" si="21"/>
        <v>0</v>
      </c>
      <c r="AX25" s="21">
        <f t="shared" si="21"/>
        <v>0</v>
      </c>
      <c r="AY25" s="21">
        <f t="shared" si="21"/>
        <v>0</v>
      </c>
      <c r="AZ25" s="21">
        <f t="shared" si="21"/>
        <v>0</v>
      </c>
      <c r="BA25" s="21">
        <f t="shared" si="21"/>
        <v>0</v>
      </c>
      <c r="BB25" s="21">
        <f t="shared" si="21"/>
        <v>0</v>
      </c>
      <c r="BC25" s="21">
        <f t="shared" si="21"/>
        <v>0</v>
      </c>
      <c r="BD25" s="21">
        <f t="shared" si="21"/>
        <v>0</v>
      </c>
      <c r="BE25" s="21">
        <f t="shared" si="21"/>
        <v>0</v>
      </c>
      <c r="BF25" s="21">
        <f t="shared" si="21"/>
        <v>0</v>
      </c>
      <c r="BG25" s="21">
        <f t="shared" si="21"/>
        <v>0</v>
      </c>
      <c r="BH25" s="21">
        <f t="shared" si="21"/>
        <v>0</v>
      </c>
      <c r="BI25" s="21">
        <f t="shared" si="21"/>
        <v>0</v>
      </c>
      <c r="BJ25" s="21">
        <f t="shared" si="21"/>
        <v>0</v>
      </c>
      <c r="BK25" s="21">
        <f t="shared" si="21"/>
        <v>0</v>
      </c>
      <c r="BL25" s="21">
        <f t="shared" si="21"/>
        <v>0</v>
      </c>
      <c r="BM25" s="21">
        <f t="shared" si="21"/>
        <v>0</v>
      </c>
      <c r="BN25" s="21">
        <f t="shared" si="21"/>
        <v>0</v>
      </c>
      <c r="BO25" s="21">
        <f t="shared" si="21"/>
        <v>0</v>
      </c>
      <c r="BP25" s="21">
        <f t="shared" si="21"/>
        <v>0</v>
      </c>
      <c r="BQ25" s="21">
        <f t="shared" si="21"/>
        <v>0</v>
      </c>
      <c r="BR25" s="21">
        <f t="shared" ref="BR25:BU25" si="22">IF(BR20+BR21&gt;1,1,0)</f>
        <v>0</v>
      </c>
      <c r="BS25" s="21">
        <f t="shared" si="22"/>
        <v>0</v>
      </c>
      <c r="BT25" s="21">
        <f t="shared" si="22"/>
        <v>0</v>
      </c>
      <c r="BU25" s="21">
        <f t="shared" si="22"/>
        <v>0</v>
      </c>
    </row>
    <row r="27" spans="1:73" ht="15.75">
      <c r="A27" s="70" t="s">
        <v>171</v>
      </c>
      <c r="B27" s="70"/>
      <c r="C27" s="70"/>
      <c r="D27" s="70"/>
      <c r="E27" s="41"/>
      <c r="F27" s="41"/>
      <c r="G27" s="41"/>
    </row>
    <row r="28" spans="1:73">
      <c r="A28" t="s">
        <v>168</v>
      </c>
      <c r="B28" t="s">
        <v>13</v>
      </c>
      <c r="C28" t="s">
        <v>164</v>
      </c>
    </row>
    <row r="29" spans="1:73">
      <c r="A29" s="58" t="s">
        <v>160</v>
      </c>
      <c r="B29" s="59" t="s">
        <v>165</v>
      </c>
      <c r="C29" s="59">
        <f>SUM(D20:BU20)-Inputs!B10/6</f>
        <v>0</v>
      </c>
      <c r="D29" s="60" t="s">
        <v>167</v>
      </c>
      <c r="E29" s="12"/>
    </row>
    <row r="30" spans="1:73">
      <c r="A30" s="58" t="s">
        <v>161</v>
      </c>
      <c r="B30" s="59" t="s">
        <v>165</v>
      </c>
      <c r="C30" s="59">
        <f>SUM(D21:BU21)-Inputs!B11*2</f>
        <v>0</v>
      </c>
      <c r="D30" s="60" t="s">
        <v>167</v>
      </c>
      <c r="E30" s="12"/>
    </row>
    <row r="31" spans="1:73">
      <c r="A31" s="58" t="s">
        <v>162</v>
      </c>
      <c r="B31" s="59" t="s">
        <v>165</v>
      </c>
      <c r="C31" s="59">
        <f>SUM(D22:BU22)-Inputs!B42*2</f>
        <v>0</v>
      </c>
      <c r="D31" s="60" t="s">
        <v>167</v>
      </c>
      <c r="E31" s="12"/>
    </row>
    <row r="32" spans="1:73">
      <c r="A32" s="58" t="s">
        <v>163</v>
      </c>
      <c r="B32" s="59" t="s">
        <v>165</v>
      </c>
      <c r="C32" s="59">
        <f>SUM(D25:BU25)</f>
        <v>0</v>
      </c>
      <c r="D32" s="60" t="s">
        <v>167</v>
      </c>
      <c r="E32" s="12"/>
    </row>
  </sheetData>
  <mergeCells count="3">
    <mergeCell ref="A27:D27"/>
    <mergeCell ref="A14:D14"/>
    <mergeCell ref="A5:C5"/>
  </mergeCells>
  <pageMargins left="0.75" right="0.75" top="1" bottom="1" header="0.5" footer="0.5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V62"/>
  <sheetViews>
    <sheetView topLeftCell="A31" zoomScale="85" zoomScaleNormal="85" workbookViewId="0">
      <pane xSplit="3" topLeftCell="D1" activePane="topRight" state="frozen"/>
      <selection pane="topRight" activeCell="C59" sqref="C59"/>
    </sheetView>
  </sheetViews>
  <sheetFormatPr baseColWidth="10" defaultColWidth="9.140625" defaultRowHeight="15"/>
  <cols>
    <col min="1" max="1" width="58.85546875" bestFit="1" customWidth="1"/>
    <col min="2" max="2" width="8.140625" bestFit="1" customWidth="1"/>
    <col min="3" max="3" width="12.42578125" bestFit="1" customWidth="1"/>
    <col min="4" max="73" width="12.28515625" bestFit="1" customWidth="1"/>
    <col min="74" max="74" width="8.7109375" bestFit="1" customWidth="1"/>
  </cols>
  <sheetData>
    <row r="1" spans="1:74" ht="18.75">
      <c r="A1" s="1" t="s">
        <v>50</v>
      </c>
    </row>
    <row r="2" spans="1:74">
      <c r="A2" t="s">
        <v>51</v>
      </c>
    </row>
    <row r="4" spans="1:74" ht="15.75">
      <c r="A4" s="70" t="s">
        <v>192</v>
      </c>
      <c r="B4" s="70"/>
      <c r="C4" s="70"/>
    </row>
    <row r="5" spans="1:74">
      <c r="A5" t="s">
        <v>145</v>
      </c>
      <c r="B5" t="s">
        <v>13</v>
      </c>
      <c r="C5" t="s">
        <v>187</v>
      </c>
    </row>
    <row r="6" spans="1:74">
      <c r="A6" t="s">
        <v>152</v>
      </c>
      <c r="B6" t="s">
        <v>146</v>
      </c>
      <c r="C6" t="s">
        <v>131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</row>
    <row r="7" spans="1:74">
      <c r="A7" t="s">
        <v>156</v>
      </c>
      <c r="B7" t="s">
        <v>174</v>
      </c>
      <c r="C7" t="s">
        <v>131</v>
      </c>
      <c r="D7">
        <f>Timeline!D20</f>
        <v>1</v>
      </c>
      <c r="E7">
        <f>Timeline!E20</f>
        <v>1</v>
      </c>
      <c r="F7">
        <f>Timeline!F20</f>
        <v>1</v>
      </c>
      <c r="G7">
        <f>Timeline!G20</f>
        <v>1</v>
      </c>
      <c r="H7">
        <f>Timeline!H20</f>
        <v>0</v>
      </c>
      <c r="I7">
        <f>Timeline!I20</f>
        <v>0</v>
      </c>
      <c r="J7">
        <f>Timeline!J20</f>
        <v>0</v>
      </c>
      <c r="K7">
        <f>Timeline!K20</f>
        <v>0</v>
      </c>
      <c r="L7">
        <f>Timeline!L20</f>
        <v>0</v>
      </c>
      <c r="M7">
        <f>Timeline!M20</f>
        <v>0</v>
      </c>
      <c r="N7">
        <f>Timeline!N20</f>
        <v>0</v>
      </c>
      <c r="O7">
        <f>Timeline!O20</f>
        <v>0</v>
      </c>
      <c r="P7">
        <f>Timeline!P20</f>
        <v>0</v>
      </c>
      <c r="Q7">
        <f>Timeline!Q20</f>
        <v>0</v>
      </c>
      <c r="R7">
        <f>Timeline!R20</f>
        <v>0</v>
      </c>
      <c r="S7">
        <f>Timeline!S20</f>
        <v>0</v>
      </c>
      <c r="T7">
        <f>Timeline!T20</f>
        <v>0</v>
      </c>
      <c r="U7">
        <f>Timeline!U20</f>
        <v>0</v>
      </c>
      <c r="V7">
        <f>Timeline!V20</f>
        <v>0</v>
      </c>
      <c r="W7">
        <f>Timeline!W20</f>
        <v>0</v>
      </c>
      <c r="X7">
        <f>Timeline!X20</f>
        <v>0</v>
      </c>
      <c r="Y7">
        <f>Timeline!Y20</f>
        <v>0</v>
      </c>
      <c r="Z7">
        <f>Timeline!Z20</f>
        <v>0</v>
      </c>
      <c r="AA7">
        <f>Timeline!AA20</f>
        <v>0</v>
      </c>
      <c r="AB7">
        <f>Timeline!AB20</f>
        <v>0</v>
      </c>
      <c r="AC7">
        <f>Timeline!AC20</f>
        <v>0</v>
      </c>
      <c r="AD7">
        <f>Timeline!AD20</f>
        <v>0</v>
      </c>
      <c r="AE7">
        <f>Timeline!AE20</f>
        <v>0</v>
      </c>
      <c r="AF7">
        <f>Timeline!AF20</f>
        <v>0</v>
      </c>
      <c r="AG7">
        <f>Timeline!AG20</f>
        <v>0</v>
      </c>
      <c r="AH7">
        <f>Timeline!AH20</f>
        <v>0</v>
      </c>
      <c r="AI7">
        <f>Timeline!AI20</f>
        <v>0</v>
      </c>
      <c r="AJ7">
        <f>Timeline!AJ20</f>
        <v>0</v>
      </c>
      <c r="AK7">
        <f>Timeline!AK20</f>
        <v>0</v>
      </c>
      <c r="AL7">
        <f>Timeline!AL20</f>
        <v>0</v>
      </c>
      <c r="AM7">
        <f>Timeline!AM20</f>
        <v>0</v>
      </c>
      <c r="AN7">
        <f>Timeline!AN20</f>
        <v>0</v>
      </c>
      <c r="AO7">
        <f>Timeline!AO20</f>
        <v>0</v>
      </c>
      <c r="AP7">
        <f>Timeline!AP20</f>
        <v>0</v>
      </c>
      <c r="AQ7">
        <f>Timeline!AQ20</f>
        <v>0</v>
      </c>
      <c r="AR7">
        <f>Timeline!AR20</f>
        <v>0</v>
      </c>
      <c r="AS7">
        <f>Timeline!AS20</f>
        <v>0</v>
      </c>
      <c r="AT7">
        <f>Timeline!AT20</f>
        <v>0</v>
      </c>
      <c r="AU7">
        <f>Timeline!AU20</f>
        <v>0</v>
      </c>
      <c r="AV7">
        <f>Timeline!AV20</f>
        <v>0</v>
      </c>
      <c r="AW7">
        <f>Timeline!AW20</f>
        <v>0</v>
      </c>
      <c r="AX7">
        <f>Timeline!AX20</f>
        <v>0</v>
      </c>
      <c r="AY7">
        <f>Timeline!AY20</f>
        <v>0</v>
      </c>
      <c r="AZ7">
        <f>Timeline!AZ20</f>
        <v>0</v>
      </c>
      <c r="BA7">
        <f>Timeline!BA20</f>
        <v>0</v>
      </c>
      <c r="BB7">
        <f>Timeline!BB20</f>
        <v>0</v>
      </c>
      <c r="BC7">
        <f>Timeline!BC20</f>
        <v>0</v>
      </c>
      <c r="BD7">
        <f>Timeline!BD20</f>
        <v>0</v>
      </c>
      <c r="BE7">
        <f>Timeline!BE20</f>
        <v>0</v>
      </c>
      <c r="BF7">
        <f>Timeline!BF20</f>
        <v>0</v>
      </c>
      <c r="BG7">
        <f>Timeline!BG20</f>
        <v>0</v>
      </c>
      <c r="BH7">
        <f>Timeline!BH20</f>
        <v>0</v>
      </c>
      <c r="BI7">
        <f>Timeline!BI20</f>
        <v>0</v>
      </c>
      <c r="BJ7">
        <f>Timeline!BJ20</f>
        <v>0</v>
      </c>
      <c r="BK7">
        <f>Timeline!BK20</f>
        <v>0</v>
      </c>
      <c r="BL7">
        <f>Timeline!BL20</f>
        <v>0</v>
      </c>
      <c r="BM7">
        <f>Timeline!BM20</f>
        <v>0</v>
      </c>
      <c r="BN7">
        <f>Timeline!BN20</f>
        <v>0</v>
      </c>
      <c r="BO7">
        <f>Timeline!BO20</f>
        <v>0</v>
      </c>
      <c r="BP7">
        <f>Timeline!BP20</f>
        <v>0</v>
      </c>
      <c r="BQ7">
        <f>Timeline!BQ20</f>
        <v>0</v>
      </c>
      <c r="BR7">
        <f>Timeline!BR20</f>
        <v>0</v>
      </c>
      <c r="BS7">
        <f>Timeline!BS20</f>
        <v>0</v>
      </c>
      <c r="BT7">
        <f>Timeline!BT20</f>
        <v>0</v>
      </c>
      <c r="BU7">
        <f>Timeline!BU20</f>
        <v>0</v>
      </c>
    </row>
    <row r="8" spans="1:74">
      <c r="A8" t="s">
        <v>159</v>
      </c>
      <c r="B8" t="s">
        <v>31</v>
      </c>
      <c r="C8" t="s">
        <v>131</v>
      </c>
      <c r="D8" s="8">
        <f>Timeline!D23</f>
        <v>3.2498288843258041</v>
      </c>
      <c r="E8" s="8">
        <f>Timeline!E23</f>
        <v>3.7508555783709787</v>
      </c>
      <c r="F8" s="8">
        <f>Timeline!F23</f>
        <v>4.2518822724161529</v>
      </c>
      <c r="G8" s="8">
        <f>Timeline!G23</f>
        <v>4.7501711156741955</v>
      </c>
      <c r="H8" s="8">
        <f>Timeline!H23</f>
        <v>5.2511978097193701</v>
      </c>
      <c r="I8" s="8">
        <f>Timeline!I23</f>
        <v>5.7494866529774127</v>
      </c>
      <c r="J8" s="8">
        <f>Timeline!J23</f>
        <v>6.2505133470225873</v>
      </c>
      <c r="K8" s="8">
        <f>Timeline!K23</f>
        <v>6.7488021902806299</v>
      </c>
      <c r="L8" s="8">
        <f>Timeline!L23</f>
        <v>7.2498288843258045</v>
      </c>
      <c r="M8" s="8">
        <f>Timeline!M23</f>
        <v>7.7508555783709792</v>
      </c>
      <c r="N8" s="8">
        <f>Timeline!N23</f>
        <v>8.2518822724161538</v>
      </c>
      <c r="O8" s="8">
        <f>Timeline!O23</f>
        <v>8.7501711156741955</v>
      </c>
      <c r="P8" s="8">
        <f>Timeline!P23</f>
        <v>9.2511978097193701</v>
      </c>
      <c r="Q8" s="8">
        <f>Timeline!Q23</f>
        <v>9.7494866529774136</v>
      </c>
      <c r="R8" s="8">
        <f>Timeline!R23</f>
        <v>10.250513347022586</v>
      </c>
      <c r="S8" s="8">
        <f>Timeline!S23</f>
        <v>10.74880219028063</v>
      </c>
      <c r="T8" s="8">
        <f>Timeline!T23</f>
        <v>11.249828884325805</v>
      </c>
      <c r="U8" s="8">
        <f>Timeline!U23</f>
        <v>11.750855578370979</v>
      </c>
      <c r="V8" s="8">
        <f>Timeline!V23</f>
        <v>12.251882272416154</v>
      </c>
      <c r="W8" s="8">
        <f>Timeline!W23</f>
        <v>12.750171115674195</v>
      </c>
      <c r="X8" s="8">
        <f>Timeline!X23</f>
        <v>13.25119780971937</v>
      </c>
      <c r="Y8" s="8">
        <f>Timeline!Y23</f>
        <v>13.749486652977414</v>
      </c>
      <c r="Z8" s="8">
        <f>Timeline!Z23</f>
        <v>14.250513347022586</v>
      </c>
      <c r="AA8" s="8">
        <f>Timeline!AA23</f>
        <v>14.74880219028063</v>
      </c>
      <c r="AB8" s="8">
        <f>Timeline!AB23</f>
        <v>15.249828884325805</v>
      </c>
      <c r="AC8" s="8">
        <f>Timeline!AC23</f>
        <v>15.750855578370979</v>
      </c>
      <c r="AD8" s="8">
        <f>Timeline!AD23</f>
        <v>16.251882272416154</v>
      </c>
      <c r="AE8" s="8">
        <f>Timeline!AE23</f>
        <v>16.750171115674195</v>
      </c>
      <c r="AF8" s="8">
        <f>Timeline!AF23</f>
        <v>17.251197809719372</v>
      </c>
      <c r="AG8" s="8">
        <f>Timeline!AG23</f>
        <v>17.749486652977414</v>
      </c>
      <c r="AH8" s="8">
        <f>Timeline!AH23</f>
        <v>18.250513347022586</v>
      </c>
      <c r="AI8" s="8">
        <f>Timeline!AI23</f>
        <v>18.748802190280628</v>
      </c>
      <c r="AJ8" s="8">
        <f>Timeline!AJ23</f>
        <v>19.249828884325805</v>
      </c>
      <c r="AK8" s="8">
        <f>Timeline!AK23</f>
        <v>19.750855578370977</v>
      </c>
      <c r="AL8" s="8">
        <f>Timeline!AL23</f>
        <v>20.251882272416154</v>
      </c>
      <c r="AM8" s="8">
        <f>Timeline!AM23</f>
        <v>20.750171115674195</v>
      </c>
      <c r="AN8" s="8">
        <f>Timeline!AN23</f>
        <v>21.251197809719372</v>
      </c>
      <c r="AO8" s="8">
        <f>Timeline!AO23</f>
        <v>21.749486652977414</v>
      </c>
      <c r="AP8" s="8">
        <f>Timeline!AP23</f>
        <v>22.250513347022586</v>
      </c>
      <c r="AQ8" s="8">
        <f>Timeline!AQ23</f>
        <v>22.748802190280628</v>
      </c>
      <c r="AR8" s="8">
        <f>Timeline!AR23</f>
        <v>23.249828884325805</v>
      </c>
      <c r="AS8" s="8">
        <f>Timeline!AS23</f>
        <v>23.750855578370977</v>
      </c>
      <c r="AT8" s="8">
        <f>Timeline!AT23</f>
        <v>24.251882272416154</v>
      </c>
      <c r="AU8" s="8">
        <f>Timeline!AU23</f>
        <v>24.750171115674195</v>
      </c>
      <c r="AV8" s="8">
        <f>Timeline!AV23</f>
        <v>25.251197809719372</v>
      </c>
      <c r="AW8" s="8">
        <f>Timeline!AW23</f>
        <v>25.749486652977414</v>
      </c>
      <c r="AX8" s="8">
        <f>Timeline!AX23</f>
        <v>26.250513347022586</v>
      </c>
      <c r="AY8" s="8">
        <f>Timeline!AY23</f>
        <v>26.748802190280628</v>
      </c>
      <c r="AZ8" s="8">
        <f>Timeline!AZ23</f>
        <v>27.249828884325805</v>
      </c>
      <c r="BA8" s="8">
        <f>Timeline!BA23</f>
        <v>27.750855578370977</v>
      </c>
      <c r="BB8" s="8">
        <f>Timeline!BB23</f>
        <v>28.251882272416154</v>
      </c>
      <c r="BC8" s="8">
        <f>Timeline!BC23</f>
        <v>28.750171115674195</v>
      </c>
      <c r="BD8" s="8">
        <f>Timeline!BD23</f>
        <v>29.251197809719372</v>
      </c>
      <c r="BE8" s="8">
        <f>Timeline!BE23</f>
        <v>29.749486652977414</v>
      </c>
      <c r="BF8" s="8">
        <f>Timeline!BF23</f>
        <v>30.250513347022586</v>
      </c>
      <c r="BG8" s="8">
        <f>Timeline!BG23</f>
        <v>30.748802190280628</v>
      </c>
      <c r="BH8" s="8">
        <f>Timeline!BH23</f>
        <v>31.249828884325805</v>
      </c>
      <c r="BI8" s="8">
        <f>Timeline!BI23</f>
        <v>31.750855578370977</v>
      </c>
      <c r="BJ8" s="8">
        <f>Timeline!BJ23</f>
        <v>32.251882272416154</v>
      </c>
      <c r="BK8" s="8">
        <f>Timeline!BK23</f>
        <v>32.750171115674199</v>
      </c>
      <c r="BL8" s="8">
        <f>Timeline!BL23</f>
        <v>33.251197809719372</v>
      </c>
      <c r="BM8" s="8">
        <f>Timeline!BM23</f>
        <v>33.74948665297741</v>
      </c>
      <c r="BN8" s="8">
        <f>Timeline!BN23</f>
        <v>34.25051334702259</v>
      </c>
      <c r="BO8" s="8">
        <f>Timeline!BO23</f>
        <v>34.748802190280628</v>
      </c>
      <c r="BP8" s="8">
        <f>Timeline!BP23</f>
        <v>35.249828884325801</v>
      </c>
      <c r="BQ8" s="8">
        <f>Timeline!BQ23</f>
        <v>35.750855578370981</v>
      </c>
      <c r="BR8" s="8">
        <f>Timeline!BR23</f>
        <v>36.251882272416154</v>
      </c>
      <c r="BS8" s="8">
        <f>Timeline!BS23</f>
        <v>36.750171115674199</v>
      </c>
      <c r="BT8" s="8">
        <f>Timeline!BT23</f>
        <v>37.251197809719372</v>
      </c>
      <c r="BU8" s="8">
        <f>Timeline!BU23</f>
        <v>37.74948665297741</v>
      </c>
      <c r="BV8" s="8"/>
    </row>
    <row r="9" spans="1:74" ht="15.75">
      <c r="A9" s="70" t="s">
        <v>193</v>
      </c>
      <c r="B9" s="70"/>
      <c r="C9" s="70"/>
    </row>
    <row r="10" spans="1:74">
      <c r="A10" t="s">
        <v>186</v>
      </c>
      <c r="B10" t="s">
        <v>184</v>
      </c>
      <c r="C10">
        <f>Inputs!$B$18*1000*Inputs!$B$19</f>
        <v>33000000</v>
      </c>
    </row>
    <row r="11" spans="1:74">
      <c r="A11" t="s">
        <v>177</v>
      </c>
      <c r="B11" t="s">
        <v>185</v>
      </c>
      <c r="C11" t="s">
        <v>131</v>
      </c>
      <c r="D11">
        <f>IF(D7=1,SUM($D$7:D7),0)</f>
        <v>1</v>
      </c>
      <c r="E11">
        <f>IF(E7=1,SUM($D$7:E7),0)</f>
        <v>2</v>
      </c>
      <c r="F11">
        <f>IF(F7=1,SUM($D$7:F7),0)</f>
        <v>3</v>
      </c>
      <c r="G11">
        <f>IF(G7=1,SUM($D$7:G7),0)</f>
        <v>4</v>
      </c>
      <c r="H11">
        <f>IF(H7=1,SUM($D$7:H7),0)</f>
        <v>0</v>
      </c>
      <c r="I11">
        <f>IF(I7=1,SUM($D$7:I7),0)</f>
        <v>0</v>
      </c>
      <c r="J11">
        <f>IF(J7=1,SUM($D$7:J7),0)</f>
        <v>0</v>
      </c>
      <c r="K11">
        <f>IF(K7=1,SUM($D$7:K7),0)</f>
        <v>0</v>
      </c>
      <c r="L11">
        <f>IF(L7=1,SUM($D$7:L7),0)</f>
        <v>0</v>
      </c>
      <c r="M11">
        <f>IF(M7=1,SUM($D$7:M7),0)</f>
        <v>0</v>
      </c>
      <c r="N11">
        <f>IF(N7=1,SUM($D$7:N7),0)</f>
        <v>0</v>
      </c>
      <c r="O11">
        <f>IF(O7=1,SUM($D$7:O7),0)</f>
        <v>0</v>
      </c>
      <c r="P11">
        <f>IF(P7=1,SUM($D$7:P7),0)</f>
        <v>0</v>
      </c>
      <c r="Q11">
        <f>IF(Q7=1,SUM($D$7:Q7),0)</f>
        <v>0</v>
      </c>
      <c r="R11">
        <f>IF(R7=1,SUM($D$7:R7),0)</f>
        <v>0</v>
      </c>
      <c r="S11">
        <f>IF(S7=1,SUM($D$7:S7),0)</f>
        <v>0</v>
      </c>
      <c r="T11">
        <f>IF(T7=1,SUM($D$7:T7),0)</f>
        <v>0</v>
      </c>
      <c r="U11">
        <f>IF(U7=1,SUM($D$7:U7),0)</f>
        <v>0</v>
      </c>
      <c r="V11">
        <f>IF(V7=1,SUM($D$7:V7),0)</f>
        <v>0</v>
      </c>
      <c r="W11">
        <f>IF(W7=1,SUM($D$7:W7),0)</f>
        <v>0</v>
      </c>
      <c r="X11">
        <f>IF(X7=1,SUM($D$7:X7),0)</f>
        <v>0</v>
      </c>
      <c r="Y11">
        <f>IF(Y7=1,SUM($D$7:Y7),0)</f>
        <v>0</v>
      </c>
      <c r="Z11">
        <f>IF(Z7=1,SUM($D$7:Z7),0)</f>
        <v>0</v>
      </c>
      <c r="AA11">
        <f>IF(AA7=1,SUM($D$7:AA7),0)</f>
        <v>0</v>
      </c>
      <c r="AB11">
        <f>IF(AB7=1,SUM($D$7:AB7),0)</f>
        <v>0</v>
      </c>
      <c r="AC11">
        <f>IF(AC7=1,SUM($D$7:AC7),0)</f>
        <v>0</v>
      </c>
      <c r="AD11">
        <f>IF(AD7=1,SUM($D$7:AD7),0)</f>
        <v>0</v>
      </c>
      <c r="AE11">
        <f>IF(AE7=1,SUM($D$7:AE7),0)</f>
        <v>0</v>
      </c>
      <c r="AF11">
        <f>IF(AF7=1,SUM($D$7:AF7),0)</f>
        <v>0</v>
      </c>
      <c r="AG11">
        <f>IF(AG7=1,SUM($D$7:AG7),0)</f>
        <v>0</v>
      </c>
      <c r="AH11">
        <f>IF(AH7=1,SUM($D$7:AH7),0)</f>
        <v>0</v>
      </c>
      <c r="AI11">
        <f>IF(AI7=1,SUM($D$7:AI7),0)</f>
        <v>0</v>
      </c>
      <c r="AJ11">
        <f>IF(AJ7=1,SUM($D$7:AJ7),0)</f>
        <v>0</v>
      </c>
      <c r="AK11">
        <f>IF(AK7=1,SUM($D$7:AK7),0)</f>
        <v>0</v>
      </c>
      <c r="AL11">
        <f>IF(AL7=1,SUM($D$7:AL7),0)</f>
        <v>0</v>
      </c>
      <c r="AM11">
        <f>IF(AM7=1,SUM($D$7:AM7),0)</f>
        <v>0</v>
      </c>
      <c r="AN11">
        <f>IF(AN7=1,SUM($D$7:AN7),0)</f>
        <v>0</v>
      </c>
      <c r="AO11">
        <f>IF(AO7=1,SUM($D$7:AO7),0)</f>
        <v>0</v>
      </c>
      <c r="AP11">
        <f>IF(AP7=1,SUM($D$7:AP7),0)</f>
        <v>0</v>
      </c>
      <c r="AQ11">
        <f>IF(AQ7=1,SUM($D$7:AQ7),0)</f>
        <v>0</v>
      </c>
      <c r="AR11">
        <f>IF(AR7=1,SUM($D$7:AR7),0)</f>
        <v>0</v>
      </c>
      <c r="AS11">
        <f>IF(AS7=1,SUM($D$7:AS7),0)</f>
        <v>0</v>
      </c>
      <c r="AT11">
        <f>IF(AT7=1,SUM($D$7:AT7),0)</f>
        <v>0</v>
      </c>
      <c r="AU11">
        <f>IF(AU7=1,SUM($D$7:AU7),0)</f>
        <v>0</v>
      </c>
      <c r="AV11">
        <f>IF(AV7=1,SUM($D$7:AV7),0)</f>
        <v>0</v>
      </c>
      <c r="AW11">
        <f>IF(AW7=1,SUM($D$7:AW7),0)</f>
        <v>0</v>
      </c>
      <c r="AX11">
        <f>IF(AX7=1,SUM($D$7:AX7),0)</f>
        <v>0</v>
      </c>
      <c r="AY11">
        <f>IF(AY7=1,SUM($D$7:AY7),0)</f>
        <v>0</v>
      </c>
      <c r="AZ11">
        <f>IF(AZ7=1,SUM($D$7:AZ7),0)</f>
        <v>0</v>
      </c>
      <c r="BA11">
        <f>IF(BA7=1,SUM($D$7:BA7),0)</f>
        <v>0</v>
      </c>
      <c r="BB11">
        <f>IF(BB7=1,SUM($D$7:BB7),0)</f>
        <v>0</v>
      </c>
      <c r="BC11">
        <f>IF(BC7=1,SUM($D$7:BC7),0)</f>
        <v>0</v>
      </c>
      <c r="BD11">
        <f>IF(BD7=1,SUM($D$7:BD7),0)</f>
        <v>0</v>
      </c>
      <c r="BE11">
        <f>IF(BE7=1,SUM($D$7:BE7),0)</f>
        <v>0</v>
      </c>
      <c r="BF11">
        <f>IF(BF7=1,SUM($D$7:BF7),0)</f>
        <v>0</v>
      </c>
      <c r="BG11">
        <f>IF(BG7=1,SUM($D$7:BG7),0)</f>
        <v>0</v>
      </c>
      <c r="BH11">
        <f>IF(BH7=1,SUM($D$7:BH7),0)</f>
        <v>0</v>
      </c>
      <c r="BI11">
        <f>IF(BI7=1,SUM($D$7:BI7),0)</f>
        <v>0</v>
      </c>
      <c r="BJ11">
        <f>IF(BJ7=1,SUM($D$7:BJ7),0)</f>
        <v>0</v>
      </c>
      <c r="BK11">
        <f>IF(BK7=1,SUM($D$7:BK7),0)</f>
        <v>0</v>
      </c>
      <c r="BL11">
        <f>IF(BL7=1,SUM($D$7:BL7),0)</f>
        <v>0</v>
      </c>
      <c r="BM11">
        <f>IF(BM7=1,SUM($D$7:BM7),0)</f>
        <v>0</v>
      </c>
      <c r="BN11">
        <f>IF(BN7=1,SUM($D$7:BN7),0)</f>
        <v>0</v>
      </c>
      <c r="BO11">
        <f>IF(BO7=1,SUM($D$7:BO7),0)</f>
        <v>0</v>
      </c>
      <c r="BP11">
        <f>IF(BP7=1,SUM($D$7:BP7),0)</f>
        <v>0</v>
      </c>
      <c r="BQ11">
        <f>IF(BQ7=1,SUM($D$7:BQ7),0)</f>
        <v>0</v>
      </c>
      <c r="BR11">
        <f>IF(BR7=1,SUM($D$7:BR7),0)</f>
        <v>0</v>
      </c>
      <c r="BS11">
        <f>IF(BS7=1,SUM($D$7:BS7),0)</f>
        <v>0</v>
      </c>
      <c r="BT11">
        <f>IF(BT7=1,SUM($D$7:BT7),0)</f>
        <v>0</v>
      </c>
      <c r="BU11">
        <f>IF(BU7=1,SUM($D$7:BU7),0)</f>
        <v>0</v>
      </c>
    </row>
    <row r="12" spans="1:74">
      <c r="A12" t="s">
        <v>178</v>
      </c>
      <c r="B12" t="s">
        <v>20</v>
      </c>
      <c r="C12">
        <f>SUM(D12:BU12)</f>
        <v>1</v>
      </c>
      <c r="D12">
        <f>IF(D11&gt;0,INDEX(Inputs!$B$24:$B$27,D11),0)</f>
        <v>0.15</v>
      </c>
      <c r="E12">
        <f>IF(E11&gt;0,INDEX(Inputs!$B$24:$B$27,E11),0)</f>
        <v>0.35</v>
      </c>
      <c r="F12">
        <f>IF(F11&gt;0,INDEX(Inputs!$B$24:$B$27,F11),0)</f>
        <v>0.35</v>
      </c>
      <c r="G12">
        <f>IF(G11&gt;0,INDEX(Inputs!$B$24:$B$27,G11),0)</f>
        <v>0.15</v>
      </c>
      <c r="H12">
        <f>IF(H11&gt;0,INDEX(Inputs!$B$24:$B$27,H11),0)</f>
        <v>0</v>
      </c>
      <c r="I12">
        <f>IF(I11&gt;0,INDEX(Inputs!$B$24:$B$27,I11),0)</f>
        <v>0</v>
      </c>
      <c r="J12">
        <f>IF(J11&gt;0,INDEX(Inputs!$B$24:$B$27,J11),0)</f>
        <v>0</v>
      </c>
      <c r="K12">
        <f>IF(K11&gt;0,INDEX(Inputs!$B$24:$B$27,K11),0)</f>
        <v>0</v>
      </c>
      <c r="L12">
        <f>IF(L11&gt;0,INDEX(Inputs!$B$24:$B$27,L11),0)</f>
        <v>0</v>
      </c>
      <c r="M12">
        <f>IF(M11&gt;0,INDEX(Inputs!$B$24:$B$27,M11),0)</f>
        <v>0</v>
      </c>
      <c r="N12">
        <f>IF(N11&gt;0,INDEX(Inputs!$B$24:$B$27,N11),0)</f>
        <v>0</v>
      </c>
      <c r="O12">
        <f>IF(O11&gt;0,INDEX(Inputs!$B$24:$B$27,O11),0)</f>
        <v>0</v>
      </c>
      <c r="P12">
        <f>IF(P11&gt;0,INDEX(Inputs!$B$24:$B$27,P11),0)</f>
        <v>0</v>
      </c>
      <c r="Q12">
        <f>IF(Q11&gt;0,INDEX(Inputs!$B$24:$B$27,Q11),0)</f>
        <v>0</v>
      </c>
      <c r="R12">
        <f>IF(R11&gt;0,INDEX(Inputs!$B$24:$B$27,R11),0)</f>
        <v>0</v>
      </c>
      <c r="S12">
        <f>IF(S11&gt;0,INDEX(Inputs!$B$24:$B$27,S11),0)</f>
        <v>0</v>
      </c>
      <c r="T12">
        <f>IF(T11&gt;0,INDEX(Inputs!$B$24:$B$27,T11),0)</f>
        <v>0</v>
      </c>
      <c r="U12">
        <f>IF(U11&gt;0,INDEX(Inputs!$B$24:$B$27,U11),0)</f>
        <v>0</v>
      </c>
      <c r="V12">
        <f>IF(V11&gt;0,INDEX(Inputs!$B$24:$B$27,V11),0)</f>
        <v>0</v>
      </c>
      <c r="W12">
        <f>IF(W11&gt;0,INDEX(Inputs!$B$24:$B$27,W11),0)</f>
        <v>0</v>
      </c>
      <c r="X12">
        <f>IF(X11&gt;0,INDEX(Inputs!$B$24:$B$27,X11),0)</f>
        <v>0</v>
      </c>
      <c r="Y12">
        <f>IF(Y11&gt;0,INDEX(Inputs!$B$24:$B$27,Y11),0)</f>
        <v>0</v>
      </c>
      <c r="Z12">
        <f>IF(Z11&gt;0,INDEX(Inputs!$B$24:$B$27,Z11),0)</f>
        <v>0</v>
      </c>
      <c r="AA12">
        <f>IF(AA11&gt;0,INDEX(Inputs!$B$24:$B$27,AA11),0)</f>
        <v>0</v>
      </c>
      <c r="AB12">
        <f>IF(AB11&gt;0,INDEX(Inputs!$B$24:$B$27,AB11),0)</f>
        <v>0</v>
      </c>
      <c r="AC12">
        <f>IF(AC11&gt;0,INDEX(Inputs!$B$24:$B$27,AC11),0)</f>
        <v>0</v>
      </c>
      <c r="AD12">
        <f>IF(AD11&gt;0,INDEX(Inputs!$B$24:$B$27,AD11),0)</f>
        <v>0</v>
      </c>
      <c r="AE12">
        <f>IF(AE11&gt;0,INDEX(Inputs!$B$24:$B$27,AE11),0)</f>
        <v>0</v>
      </c>
      <c r="AF12">
        <f>IF(AF11&gt;0,INDEX(Inputs!$B$24:$B$27,AF11),0)</f>
        <v>0</v>
      </c>
      <c r="AG12">
        <f>IF(AG11&gt;0,INDEX(Inputs!$B$24:$B$27,AG11),0)</f>
        <v>0</v>
      </c>
      <c r="AH12">
        <f>IF(AH11&gt;0,INDEX(Inputs!$B$24:$B$27,AH11),0)</f>
        <v>0</v>
      </c>
      <c r="AI12">
        <f>IF(AI11&gt;0,INDEX(Inputs!$B$24:$B$27,AI11),0)</f>
        <v>0</v>
      </c>
      <c r="AJ12">
        <f>IF(AJ11&gt;0,INDEX(Inputs!$B$24:$B$27,AJ11),0)</f>
        <v>0</v>
      </c>
      <c r="AK12">
        <f>IF(AK11&gt;0,INDEX(Inputs!$B$24:$B$27,AK11),0)</f>
        <v>0</v>
      </c>
      <c r="AL12">
        <f>IF(AL11&gt;0,INDEX(Inputs!$B$24:$B$27,AL11),0)</f>
        <v>0</v>
      </c>
      <c r="AM12">
        <f>IF(AM11&gt;0,INDEX(Inputs!$B$24:$B$27,AM11),0)</f>
        <v>0</v>
      </c>
      <c r="AN12">
        <f>IF(AN11&gt;0,INDEX(Inputs!$B$24:$B$27,AN11),0)</f>
        <v>0</v>
      </c>
      <c r="AO12">
        <f>IF(AO11&gt;0,INDEX(Inputs!$B$24:$B$27,AO11),0)</f>
        <v>0</v>
      </c>
      <c r="AP12">
        <f>IF(AP11&gt;0,INDEX(Inputs!$B$24:$B$27,AP11),0)</f>
        <v>0</v>
      </c>
      <c r="AQ12">
        <f>IF(AQ11&gt;0,INDEX(Inputs!$B$24:$B$27,AQ11),0)</f>
        <v>0</v>
      </c>
      <c r="AR12">
        <f>IF(AR11&gt;0,INDEX(Inputs!$B$24:$B$27,AR11),0)</f>
        <v>0</v>
      </c>
      <c r="AS12">
        <f>IF(AS11&gt;0,INDEX(Inputs!$B$24:$B$27,AS11),0)</f>
        <v>0</v>
      </c>
      <c r="AT12">
        <f>IF(AT11&gt;0,INDEX(Inputs!$B$24:$B$27,AT11),0)</f>
        <v>0</v>
      </c>
      <c r="AU12">
        <f>IF(AU11&gt;0,INDEX(Inputs!$B$24:$B$27,AU11),0)</f>
        <v>0</v>
      </c>
      <c r="AV12">
        <f>IF(AV11&gt;0,INDEX(Inputs!$B$24:$B$27,AV11),0)</f>
        <v>0</v>
      </c>
      <c r="AW12">
        <f>IF(AW11&gt;0,INDEX(Inputs!$B$24:$B$27,AW11),0)</f>
        <v>0</v>
      </c>
      <c r="AX12">
        <f>IF(AX11&gt;0,INDEX(Inputs!$B$24:$B$27,AX11),0)</f>
        <v>0</v>
      </c>
      <c r="AY12">
        <f>IF(AY11&gt;0,INDEX(Inputs!$B$24:$B$27,AY11),0)</f>
        <v>0</v>
      </c>
      <c r="AZ12">
        <f>IF(AZ11&gt;0,INDEX(Inputs!$B$24:$B$27,AZ11),0)</f>
        <v>0</v>
      </c>
      <c r="BA12">
        <f>IF(BA11&gt;0,INDEX(Inputs!$B$24:$B$27,BA11),0)</f>
        <v>0</v>
      </c>
      <c r="BB12">
        <f>IF(BB11&gt;0,INDEX(Inputs!$B$24:$B$27,BB11),0)</f>
        <v>0</v>
      </c>
      <c r="BC12">
        <f>IF(BC11&gt;0,INDEX(Inputs!$B$24:$B$27,BC11),0)</f>
        <v>0</v>
      </c>
      <c r="BD12">
        <f>IF(BD11&gt;0,INDEX(Inputs!$B$24:$B$27,BD11),0)</f>
        <v>0</v>
      </c>
      <c r="BE12">
        <f>IF(BE11&gt;0,INDEX(Inputs!$B$24:$B$27,BE11),0)</f>
        <v>0</v>
      </c>
      <c r="BF12">
        <f>IF(BF11&gt;0,INDEX(Inputs!$B$24:$B$27,BF11),0)</f>
        <v>0</v>
      </c>
      <c r="BG12">
        <f>IF(BG11&gt;0,INDEX(Inputs!$B$24:$B$27,BG11),0)</f>
        <v>0</v>
      </c>
      <c r="BH12">
        <f>IF(BH11&gt;0,INDEX(Inputs!$B$24:$B$27,BH11),0)</f>
        <v>0</v>
      </c>
      <c r="BI12">
        <f>IF(BI11&gt;0,INDEX(Inputs!$B$24:$B$27,BI11),0)</f>
        <v>0</v>
      </c>
      <c r="BJ12">
        <f>IF(BJ11&gt;0,INDEX(Inputs!$B$24:$B$27,BJ11),0)</f>
        <v>0</v>
      </c>
      <c r="BK12">
        <f>IF(BK11&gt;0,INDEX(Inputs!$B$24:$B$27,BK11),0)</f>
        <v>0</v>
      </c>
      <c r="BL12">
        <f>IF(BL11&gt;0,INDEX(Inputs!$B$24:$B$27,BL11),0)</f>
        <v>0</v>
      </c>
      <c r="BM12">
        <f>IF(BM11&gt;0,INDEX(Inputs!$B$24:$B$27,BM11),0)</f>
        <v>0</v>
      </c>
      <c r="BN12">
        <f>IF(BN11&gt;0,INDEX(Inputs!$B$24:$B$27,BN11),0)</f>
        <v>0</v>
      </c>
      <c r="BO12">
        <f>IF(BO11&gt;0,INDEX(Inputs!$B$24:$B$27,BO11),0)</f>
        <v>0</v>
      </c>
      <c r="BP12">
        <f>IF(BP11&gt;0,INDEX(Inputs!$B$24:$B$27,BP11),0)</f>
        <v>0</v>
      </c>
      <c r="BQ12">
        <f>IF(BQ11&gt;0,INDEX(Inputs!$B$24:$B$27,BQ11),0)</f>
        <v>0</v>
      </c>
      <c r="BR12">
        <f>IF(BR11&gt;0,INDEX(Inputs!$B$24:$B$27,BR11),0)</f>
        <v>0</v>
      </c>
      <c r="BS12">
        <f>IF(BS11&gt;0,INDEX(Inputs!$B$24:$B$27,BS11),0)</f>
        <v>0</v>
      </c>
      <c r="BT12">
        <f>IF(BT11&gt;0,INDEX(Inputs!$B$24:$B$27,BT11),0)</f>
        <v>0</v>
      </c>
      <c r="BU12">
        <f>IF(BU11&gt;0,INDEX(Inputs!$B$24:$B$27,BU11),0)</f>
        <v>0</v>
      </c>
    </row>
    <row r="13" spans="1:74">
      <c r="A13" t="s">
        <v>179</v>
      </c>
      <c r="B13" t="s">
        <v>39</v>
      </c>
      <c r="C13" t="s">
        <v>131</v>
      </c>
      <c r="D13" s="8">
        <f>IF(D7=1,(1+Inputs!$B$29)^D8,1)</f>
        <v>1.0664710889029547</v>
      </c>
      <c r="E13" s="8">
        <f>IF(E7=1,(1+Inputs!$B$29)^E8,1)</f>
        <v>1.0771049015547092</v>
      </c>
      <c r="F13" s="8">
        <f>IF(F7=1,(1+Inputs!$B$29)^F8,1)</f>
        <v>1.0878447442458046</v>
      </c>
      <c r="G13" s="8">
        <f>IF(G7=1,(1+Inputs!$B$29)^G8,1)</f>
        <v>1.0986321084498547</v>
      </c>
      <c r="H13" s="8">
        <f>IF(H7=1,(1+Inputs!$B$29)^H8,1)</f>
        <v>1</v>
      </c>
      <c r="I13" s="8">
        <f>IF(I7=1,(1+Inputs!$B$29)^I8,1)</f>
        <v>1</v>
      </c>
      <c r="J13" s="8">
        <f>IF(J7=1,(1+Inputs!$B$29)^J8,1)</f>
        <v>1</v>
      </c>
      <c r="K13" s="8">
        <f>IF(K7=1,(1+Inputs!$B$29)^K8,1)</f>
        <v>1</v>
      </c>
      <c r="L13" s="8">
        <f>IF(L7=1,(1+Inputs!$B$29)^L8,1)</f>
        <v>1</v>
      </c>
      <c r="M13" s="8">
        <f>IF(M7=1,(1+Inputs!$B$29)^M8,1)</f>
        <v>1</v>
      </c>
      <c r="N13" s="8">
        <f>IF(N7=1,(1+Inputs!$B$29)^N8,1)</f>
        <v>1</v>
      </c>
      <c r="O13" s="8">
        <f>IF(O7=1,(1+Inputs!$B$29)^O8,1)</f>
        <v>1</v>
      </c>
      <c r="P13" s="8">
        <f>IF(P7=1,(1+Inputs!$B$29)^P8,1)</f>
        <v>1</v>
      </c>
      <c r="Q13" s="8">
        <f>IF(Q7=1,(1+Inputs!$B$29)^Q8,1)</f>
        <v>1</v>
      </c>
      <c r="R13" s="8">
        <f>IF(R7=1,(1+Inputs!$B$29)^R8,1)</f>
        <v>1</v>
      </c>
      <c r="S13" s="8">
        <f>IF(S7=1,(1+Inputs!$B$29)^S8,1)</f>
        <v>1</v>
      </c>
      <c r="T13" s="8">
        <f>IF(T7=1,(1+Inputs!$B$29)^T8,1)</f>
        <v>1</v>
      </c>
      <c r="U13" s="8">
        <f>IF(U7=1,(1+Inputs!$B$29)^U8,1)</f>
        <v>1</v>
      </c>
      <c r="V13" s="8">
        <f>IF(V7=1,(1+Inputs!$B$29)^V8,1)</f>
        <v>1</v>
      </c>
      <c r="W13" s="8">
        <f>IF(W7=1,(1+Inputs!$B$29)^W8,1)</f>
        <v>1</v>
      </c>
      <c r="X13" s="8">
        <f>IF(X7=1,(1+Inputs!$B$29)^X8,1)</f>
        <v>1</v>
      </c>
      <c r="Y13" s="8">
        <f>IF(Y7=1,(1+Inputs!$B$29)^Y8,1)</f>
        <v>1</v>
      </c>
      <c r="Z13" s="8">
        <f>IF(Z7=1,(1+Inputs!$B$29)^Z8,1)</f>
        <v>1</v>
      </c>
      <c r="AA13" s="8">
        <f>IF(AA7=1,(1+Inputs!$B$29)^AA8,1)</f>
        <v>1</v>
      </c>
      <c r="AB13" s="8">
        <f>IF(AB7=1,(1+Inputs!$B$29)^AB8,1)</f>
        <v>1</v>
      </c>
      <c r="AC13" s="8">
        <f>IF(AC7=1,(1+Inputs!$B$29)^AC8,1)</f>
        <v>1</v>
      </c>
      <c r="AD13" s="8">
        <f>IF(AD7=1,(1+Inputs!$B$29)^AD8,1)</f>
        <v>1</v>
      </c>
      <c r="AE13" s="8">
        <f>IF(AE7=1,(1+Inputs!$B$29)^AE8,1)</f>
        <v>1</v>
      </c>
      <c r="AF13" s="8">
        <f>IF(AF7=1,(1+Inputs!$B$29)^AF8,1)</f>
        <v>1</v>
      </c>
      <c r="AG13" s="8">
        <f>IF(AG7=1,(1+Inputs!$B$29)^AG8,1)</f>
        <v>1</v>
      </c>
      <c r="AH13" s="8">
        <f>IF(AH7=1,(1+Inputs!$B$29)^AH8,1)</f>
        <v>1</v>
      </c>
      <c r="AI13" s="8">
        <f>IF(AI7=1,(1+Inputs!$B$29)^AI8,1)</f>
        <v>1</v>
      </c>
      <c r="AJ13" s="8">
        <f>IF(AJ7=1,(1+Inputs!$B$29)^AJ8,1)</f>
        <v>1</v>
      </c>
      <c r="AK13" s="8">
        <f>IF(AK7=1,(1+Inputs!$B$29)^AK8,1)</f>
        <v>1</v>
      </c>
      <c r="AL13" s="8">
        <f>IF(AL7=1,(1+Inputs!$B$29)^AL8,1)</f>
        <v>1</v>
      </c>
      <c r="AM13" s="8">
        <f>IF(AM7=1,(1+Inputs!$B$29)^AM8,1)</f>
        <v>1</v>
      </c>
      <c r="AN13" s="8">
        <f>IF(AN7=1,(1+Inputs!$B$29)^AN8,1)</f>
        <v>1</v>
      </c>
      <c r="AO13" s="8">
        <f>IF(AO7=1,(1+Inputs!$B$29)^AO8,1)</f>
        <v>1</v>
      </c>
      <c r="AP13" s="8">
        <f>IF(AP7=1,(1+Inputs!$B$29)^AP8,1)</f>
        <v>1</v>
      </c>
      <c r="AQ13" s="8">
        <f>IF(AQ7=1,(1+Inputs!$B$29)^AQ8,1)</f>
        <v>1</v>
      </c>
      <c r="AR13" s="8">
        <f>IF(AR7=1,(1+Inputs!$B$29)^AR8,1)</f>
        <v>1</v>
      </c>
      <c r="AS13" s="8">
        <f>IF(AS7=1,(1+Inputs!$B$29)^AS8,1)</f>
        <v>1</v>
      </c>
      <c r="AT13" s="8">
        <f>IF(AT7=1,(1+Inputs!$B$29)^AT8,1)</f>
        <v>1</v>
      </c>
      <c r="AU13" s="8">
        <f>IF(AU7=1,(1+Inputs!$B$29)^AU8,1)</f>
        <v>1</v>
      </c>
      <c r="AV13" s="8">
        <f>IF(AV7=1,(1+Inputs!$B$29)^AV8,1)</f>
        <v>1</v>
      </c>
      <c r="AW13" s="8">
        <f>IF(AW7=1,(1+Inputs!$B$29)^AW8,1)</f>
        <v>1</v>
      </c>
      <c r="AX13" s="8">
        <f>IF(AX7=1,(1+Inputs!$B$29)^AX8,1)</f>
        <v>1</v>
      </c>
      <c r="AY13" s="8">
        <f>IF(AY7=1,(1+Inputs!$B$29)^AY8,1)</f>
        <v>1</v>
      </c>
      <c r="AZ13" s="8">
        <f>IF(AZ7=1,(1+Inputs!$B$29)^AZ8,1)</f>
        <v>1</v>
      </c>
      <c r="BA13" s="8">
        <f>IF(BA7=1,(1+Inputs!$B$29)^BA8,1)</f>
        <v>1</v>
      </c>
      <c r="BB13" s="8">
        <f>IF(BB7=1,(1+Inputs!$B$29)^BB8,1)</f>
        <v>1</v>
      </c>
      <c r="BC13" s="8">
        <f>IF(BC7=1,(1+Inputs!$B$29)^BC8,1)</f>
        <v>1</v>
      </c>
      <c r="BD13" s="8">
        <f>IF(BD7=1,(1+Inputs!$B$29)^BD8,1)</f>
        <v>1</v>
      </c>
      <c r="BE13" s="8">
        <f>IF(BE7=1,(1+Inputs!$B$29)^BE8,1)</f>
        <v>1</v>
      </c>
      <c r="BF13" s="8">
        <f>IF(BF7=1,(1+Inputs!$B$29)^BF8,1)</f>
        <v>1</v>
      </c>
      <c r="BG13" s="8">
        <f>IF(BG7=1,(1+Inputs!$B$29)^BG8,1)</f>
        <v>1</v>
      </c>
      <c r="BH13" s="8">
        <f>IF(BH7=1,(1+Inputs!$B$29)^BH8,1)</f>
        <v>1</v>
      </c>
      <c r="BI13" s="8">
        <f>IF(BI7=1,(1+Inputs!$B$29)^BI8,1)</f>
        <v>1</v>
      </c>
      <c r="BJ13" s="8">
        <f>IF(BJ7=1,(1+Inputs!$B$29)^BJ8,1)</f>
        <v>1</v>
      </c>
      <c r="BK13" s="8">
        <f>IF(BK7=1,(1+Inputs!$B$29)^BK8,1)</f>
        <v>1</v>
      </c>
      <c r="BL13" s="8">
        <f>IF(BL7=1,(1+Inputs!$B$29)^BL8,1)</f>
        <v>1</v>
      </c>
      <c r="BM13" s="8">
        <f>IF(BM7=1,(1+Inputs!$B$29)^BM8,1)</f>
        <v>1</v>
      </c>
      <c r="BN13" s="8">
        <f>IF(BN7=1,(1+Inputs!$B$29)^BN8,1)</f>
        <v>1</v>
      </c>
      <c r="BO13" s="8">
        <f>IF(BO7=1,(1+Inputs!$B$29)^BO8,1)</f>
        <v>1</v>
      </c>
      <c r="BP13" s="8">
        <f>IF(BP7=1,(1+Inputs!$B$29)^BP8,1)</f>
        <v>1</v>
      </c>
      <c r="BQ13" s="8">
        <f>IF(BQ7=1,(1+Inputs!$B$29)^BQ8,1)</f>
        <v>1</v>
      </c>
      <c r="BR13" s="8">
        <f>IF(BR7=1,(1+Inputs!$B$29)^BR8,1)</f>
        <v>1</v>
      </c>
      <c r="BS13" s="8">
        <f>IF(BS7=1,(1+Inputs!$B$29)^BS8,1)</f>
        <v>1</v>
      </c>
      <c r="BT13" s="8">
        <f>IF(BT7=1,(1+Inputs!$B$29)^BT8,1)</f>
        <v>1</v>
      </c>
      <c r="BU13" s="8">
        <f>IF(BU7=1,(1+Inputs!$B$29)^BU8,1)</f>
        <v>1</v>
      </c>
    </row>
    <row r="14" spans="1:74">
      <c r="A14" t="s">
        <v>180</v>
      </c>
      <c r="B14" t="s">
        <v>184</v>
      </c>
      <c r="C14">
        <f>SUM(D14:BU14)</f>
        <v>35722429.235892341</v>
      </c>
      <c r="D14">
        <f t="shared" ref="D14:AI14" si="0">$C$10*D12*D13</f>
        <v>5279031.8900696263</v>
      </c>
      <c r="E14">
        <f t="shared" si="0"/>
        <v>12440561.612956891</v>
      </c>
      <c r="F14">
        <f t="shared" si="0"/>
        <v>12564606.796039043</v>
      </c>
      <c r="G14">
        <f t="shared" si="0"/>
        <v>5438228.9368267804</v>
      </c>
      <c r="H14">
        <f t="shared" si="0"/>
        <v>0</v>
      </c>
      <c r="I14">
        <f t="shared" si="0"/>
        <v>0</v>
      </c>
      <c r="J14">
        <f t="shared" si="0"/>
        <v>0</v>
      </c>
      <c r="K14">
        <f t="shared" si="0"/>
        <v>0</v>
      </c>
      <c r="L14">
        <f t="shared" si="0"/>
        <v>0</v>
      </c>
      <c r="M14">
        <f t="shared" si="0"/>
        <v>0</v>
      </c>
      <c r="N14">
        <f t="shared" si="0"/>
        <v>0</v>
      </c>
      <c r="O14">
        <f t="shared" si="0"/>
        <v>0</v>
      </c>
      <c r="P14">
        <f t="shared" si="0"/>
        <v>0</v>
      </c>
      <c r="Q14">
        <f t="shared" si="0"/>
        <v>0</v>
      </c>
      <c r="R14">
        <f t="shared" si="0"/>
        <v>0</v>
      </c>
      <c r="S14">
        <f t="shared" si="0"/>
        <v>0</v>
      </c>
      <c r="T14">
        <f t="shared" si="0"/>
        <v>0</v>
      </c>
      <c r="U14">
        <f t="shared" si="0"/>
        <v>0</v>
      </c>
      <c r="V14">
        <f t="shared" si="0"/>
        <v>0</v>
      </c>
      <c r="W14">
        <f t="shared" si="0"/>
        <v>0</v>
      </c>
      <c r="X14">
        <f t="shared" si="0"/>
        <v>0</v>
      </c>
      <c r="Y14">
        <f t="shared" si="0"/>
        <v>0</v>
      </c>
      <c r="Z14">
        <f t="shared" si="0"/>
        <v>0</v>
      </c>
      <c r="AA14">
        <f t="shared" si="0"/>
        <v>0</v>
      </c>
      <c r="AB14">
        <f t="shared" si="0"/>
        <v>0</v>
      </c>
      <c r="AC14">
        <f t="shared" si="0"/>
        <v>0</v>
      </c>
      <c r="AD14">
        <f t="shared" si="0"/>
        <v>0</v>
      </c>
      <c r="AE14">
        <f t="shared" si="0"/>
        <v>0</v>
      </c>
      <c r="AF14">
        <f t="shared" si="0"/>
        <v>0</v>
      </c>
      <c r="AG14">
        <f t="shared" si="0"/>
        <v>0</v>
      </c>
      <c r="AH14">
        <f t="shared" si="0"/>
        <v>0</v>
      </c>
      <c r="AI14">
        <f t="shared" si="0"/>
        <v>0</v>
      </c>
      <c r="AJ14">
        <f t="shared" ref="AJ14:BO14" si="1">$C$10*AJ12*AJ13</f>
        <v>0</v>
      </c>
      <c r="AK14">
        <f t="shared" si="1"/>
        <v>0</v>
      </c>
      <c r="AL14">
        <f t="shared" si="1"/>
        <v>0</v>
      </c>
      <c r="AM14">
        <f t="shared" si="1"/>
        <v>0</v>
      </c>
      <c r="AN14">
        <f t="shared" si="1"/>
        <v>0</v>
      </c>
      <c r="AO14">
        <f t="shared" si="1"/>
        <v>0</v>
      </c>
      <c r="AP14">
        <f t="shared" si="1"/>
        <v>0</v>
      </c>
      <c r="AQ14">
        <f t="shared" si="1"/>
        <v>0</v>
      </c>
      <c r="AR14">
        <f t="shared" si="1"/>
        <v>0</v>
      </c>
      <c r="AS14">
        <f t="shared" si="1"/>
        <v>0</v>
      </c>
      <c r="AT14">
        <f t="shared" si="1"/>
        <v>0</v>
      </c>
      <c r="AU14">
        <f t="shared" si="1"/>
        <v>0</v>
      </c>
      <c r="AV14">
        <f t="shared" si="1"/>
        <v>0</v>
      </c>
      <c r="AW14">
        <f t="shared" si="1"/>
        <v>0</v>
      </c>
      <c r="AX14">
        <f t="shared" si="1"/>
        <v>0</v>
      </c>
      <c r="AY14">
        <f t="shared" si="1"/>
        <v>0</v>
      </c>
      <c r="AZ14">
        <f t="shared" si="1"/>
        <v>0</v>
      </c>
      <c r="BA14">
        <f t="shared" si="1"/>
        <v>0</v>
      </c>
      <c r="BB14">
        <f t="shared" si="1"/>
        <v>0</v>
      </c>
      <c r="BC14">
        <f t="shared" si="1"/>
        <v>0</v>
      </c>
      <c r="BD14">
        <f t="shared" si="1"/>
        <v>0</v>
      </c>
      <c r="BE14">
        <f t="shared" si="1"/>
        <v>0</v>
      </c>
      <c r="BF14">
        <f t="shared" si="1"/>
        <v>0</v>
      </c>
      <c r="BG14">
        <f t="shared" si="1"/>
        <v>0</v>
      </c>
      <c r="BH14">
        <f t="shared" si="1"/>
        <v>0</v>
      </c>
      <c r="BI14">
        <f t="shared" si="1"/>
        <v>0</v>
      </c>
      <c r="BJ14">
        <f t="shared" si="1"/>
        <v>0</v>
      </c>
      <c r="BK14">
        <f t="shared" si="1"/>
        <v>0</v>
      </c>
      <c r="BL14">
        <f t="shared" si="1"/>
        <v>0</v>
      </c>
      <c r="BM14">
        <f t="shared" si="1"/>
        <v>0</v>
      </c>
      <c r="BN14">
        <f t="shared" si="1"/>
        <v>0</v>
      </c>
      <c r="BO14">
        <f t="shared" si="1"/>
        <v>0</v>
      </c>
      <c r="BP14">
        <f t="shared" ref="BP14:BU14" si="2">$C$10*BP12*BP13</f>
        <v>0</v>
      </c>
      <c r="BQ14">
        <f t="shared" si="2"/>
        <v>0</v>
      </c>
      <c r="BR14">
        <f t="shared" si="2"/>
        <v>0</v>
      </c>
      <c r="BS14">
        <f t="shared" si="2"/>
        <v>0</v>
      </c>
      <c r="BT14">
        <f t="shared" si="2"/>
        <v>0</v>
      </c>
      <c r="BU14">
        <f t="shared" si="2"/>
        <v>0</v>
      </c>
    </row>
    <row r="15" spans="1:74">
      <c r="A15" t="s">
        <v>102</v>
      </c>
      <c r="B15" t="s">
        <v>184</v>
      </c>
      <c r="C15">
        <f>SUM(D15:BU15)</f>
        <v>0</v>
      </c>
      <c r="D15">
        <f>Inputs!$B$22 *D14</f>
        <v>0</v>
      </c>
      <c r="E15">
        <f>Inputs!$B$22 *E14</f>
        <v>0</v>
      </c>
      <c r="F15">
        <f>Inputs!$B$22 *F14</f>
        <v>0</v>
      </c>
      <c r="G15">
        <f>Inputs!$B$22 *G14</f>
        <v>0</v>
      </c>
      <c r="H15">
        <f>Inputs!$B$22 *H14</f>
        <v>0</v>
      </c>
      <c r="I15">
        <f>Inputs!$B$22 *I14</f>
        <v>0</v>
      </c>
      <c r="J15">
        <f>Inputs!$B$22 *J14</f>
        <v>0</v>
      </c>
      <c r="K15">
        <f>Inputs!$B$22 *K14</f>
        <v>0</v>
      </c>
      <c r="L15">
        <f>Inputs!$B$22 *L14</f>
        <v>0</v>
      </c>
      <c r="M15">
        <f>Inputs!$B$22 *M14</f>
        <v>0</v>
      </c>
      <c r="N15">
        <f>Inputs!$B$22 *N14</f>
        <v>0</v>
      </c>
      <c r="O15">
        <f>Inputs!$B$22 *O14</f>
        <v>0</v>
      </c>
      <c r="P15">
        <f>Inputs!$B$22 *P14</f>
        <v>0</v>
      </c>
      <c r="Q15">
        <f>Inputs!$B$22 *Q14</f>
        <v>0</v>
      </c>
      <c r="R15">
        <f>Inputs!$B$22 *R14</f>
        <v>0</v>
      </c>
      <c r="S15">
        <f>Inputs!$B$22 *S14</f>
        <v>0</v>
      </c>
      <c r="T15">
        <f>Inputs!$B$22 *T14</f>
        <v>0</v>
      </c>
      <c r="U15">
        <f>Inputs!$B$22 *U14</f>
        <v>0</v>
      </c>
      <c r="V15">
        <f>Inputs!$B$22 *V14</f>
        <v>0</v>
      </c>
      <c r="W15">
        <f>Inputs!$B$22 *W14</f>
        <v>0</v>
      </c>
      <c r="X15">
        <f>Inputs!$B$22 *X14</f>
        <v>0</v>
      </c>
      <c r="Y15">
        <f>Inputs!$B$22 *Y14</f>
        <v>0</v>
      </c>
      <c r="Z15">
        <f>Inputs!$B$22 *Z14</f>
        <v>0</v>
      </c>
      <c r="AA15">
        <f>Inputs!$B$22 *AA14</f>
        <v>0</v>
      </c>
      <c r="AB15">
        <f>Inputs!$B$22 *AB14</f>
        <v>0</v>
      </c>
      <c r="AC15">
        <f>Inputs!$B$22 *AC14</f>
        <v>0</v>
      </c>
      <c r="AD15">
        <f>Inputs!$B$22 *AD14</f>
        <v>0</v>
      </c>
      <c r="AE15">
        <f>Inputs!$B$22 *AE14</f>
        <v>0</v>
      </c>
      <c r="AF15">
        <f>Inputs!$B$22 *AF14</f>
        <v>0</v>
      </c>
      <c r="AG15">
        <f>Inputs!$B$22 *AG14</f>
        <v>0</v>
      </c>
      <c r="AH15">
        <f>Inputs!$B$22 *AH14</f>
        <v>0</v>
      </c>
      <c r="AI15">
        <f>Inputs!$B$22 *AI14</f>
        <v>0</v>
      </c>
      <c r="AJ15">
        <f>Inputs!$B$22 *AJ14</f>
        <v>0</v>
      </c>
      <c r="AK15">
        <f>Inputs!$B$22 *AK14</f>
        <v>0</v>
      </c>
      <c r="AL15">
        <f>Inputs!$B$22 *AL14</f>
        <v>0</v>
      </c>
      <c r="AM15">
        <f>Inputs!$B$22 *AM14</f>
        <v>0</v>
      </c>
      <c r="AN15">
        <f>Inputs!$B$22 *AN14</f>
        <v>0</v>
      </c>
      <c r="AO15">
        <f>Inputs!$B$22 *AO14</f>
        <v>0</v>
      </c>
      <c r="AP15">
        <f>Inputs!$B$22 *AP14</f>
        <v>0</v>
      </c>
      <c r="AQ15">
        <f>Inputs!$B$22 *AQ14</f>
        <v>0</v>
      </c>
      <c r="AR15">
        <f>Inputs!$B$22 *AR14</f>
        <v>0</v>
      </c>
      <c r="AS15">
        <f>Inputs!$B$22 *AS14</f>
        <v>0</v>
      </c>
      <c r="AT15">
        <f>Inputs!$B$22 *AT14</f>
        <v>0</v>
      </c>
      <c r="AU15">
        <f>Inputs!$B$22 *AU14</f>
        <v>0</v>
      </c>
      <c r="AV15">
        <f>Inputs!$B$22 *AV14</f>
        <v>0</v>
      </c>
      <c r="AW15">
        <f>Inputs!$B$22 *AW14</f>
        <v>0</v>
      </c>
      <c r="AX15">
        <f>Inputs!$B$22 *AX14</f>
        <v>0</v>
      </c>
      <c r="AY15">
        <f>Inputs!$B$22 *AY14</f>
        <v>0</v>
      </c>
      <c r="AZ15">
        <f>Inputs!$B$22 *AZ14</f>
        <v>0</v>
      </c>
      <c r="BA15">
        <f>Inputs!$B$22 *BA14</f>
        <v>0</v>
      </c>
      <c r="BB15">
        <f>Inputs!$B$22 *BB14</f>
        <v>0</v>
      </c>
      <c r="BC15">
        <f>Inputs!$B$22 *BC14</f>
        <v>0</v>
      </c>
      <c r="BD15">
        <f>Inputs!$B$22 *BD14</f>
        <v>0</v>
      </c>
      <c r="BE15">
        <f>Inputs!$B$22 *BE14</f>
        <v>0</v>
      </c>
      <c r="BF15">
        <f>Inputs!$B$22 *BF14</f>
        <v>0</v>
      </c>
      <c r="BG15">
        <f>Inputs!$B$22 *BG14</f>
        <v>0</v>
      </c>
      <c r="BH15">
        <f>Inputs!$B$22 *BH14</f>
        <v>0</v>
      </c>
      <c r="BI15">
        <f>Inputs!$B$22 *BI14</f>
        <v>0</v>
      </c>
      <c r="BJ15">
        <f>Inputs!$B$22 *BJ14</f>
        <v>0</v>
      </c>
      <c r="BK15">
        <f>Inputs!$B$22 *BK14</f>
        <v>0</v>
      </c>
      <c r="BL15">
        <f>Inputs!$B$22 *BL14</f>
        <v>0</v>
      </c>
      <c r="BM15">
        <f>Inputs!$B$22 *BM14</f>
        <v>0</v>
      </c>
      <c r="BN15">
        <f>Inputs!$B$22 *BN14</f>
        <v>0</v>
      </c>
      <c r="BO15">
        <f>Inputs!$B$22 *BO14</f>
        <v>0</v>
      </c>
      <c r="BP15">
        <f>Inputs!$B$22 *BP14</f>
        <v>0</v>
      </c>
      <c r="BQ15">
        <f>Inputs!$B$22 *BQ14</f>
        <v>0</v>
      </c>
      <c r="BR15">
        <f>Inputs!$B$22 *BR14</f>
        <v>0</v>
      </c>
      <c r="BS15">
        <f>Inputs!$B$22 *BS14</f>
        <v>0</v>
      </c>
      <c r="BT15">
        <f>Inputs!$B$22 *BT14</f>
        <v>0</v>
      </c>
      <c r="BU15">
        <f>Inputs!$B$22 *BU14</f>
        <v>0</v>
      </c>
    </row>
    <row r="16" spans="1:74">
      <c r="A16" t="s">
        <v>103</v>
      </c>
      <c r="B16" t="s">
        <v>184</v>
      </c>
      <c r="C16">
        <f>SUM(D16:BU16)</f>
        <v>0</v>
      </c>
      <c r="D16">
        <f>IF(D11=1,Inputs!$B$18 * 1000 * Inputs!$B$20*D13,0)</f>
        <v>0</v>
      </c>
      <c r="E16">
        <f>IF(E11=1,Inputs!$B$18 * 1000 * Inputs!$B$20*E13,0)</f>
        <v>0</v>
      </c>
      <c r="F16">
        <f>IF(F11=1,Inputs!$B$18 * 1000 * Inputs!$B$20*F13,0)</f>
        <v>0</v>
      </c>
      <c r="G16">
        <f>IF(G11=1,Inputs!$B$18 * 1000 * Inputs!$B$20*G13,0)</f>
        <v>0</v>
      </c>
      <c r="H16">
        <f>IF(H11=1,Inputs!$B$18 * 1000 * Inputs!$B$20*H13,0)</f>
        <v>0</v>
      </c>
      <c r="I16">
        <f>IF(I11=1,Inputs!$B$18 * 1000 * Inputs!$B$20*I13,0)</f>
        <v>0</v>
      </c>
      <c r="J16">
        <f>IF(J11=1,Inputs!$B$18 * 1000 * Inputs!$B$20*J13,0)</f>
        <v>0</v>
      </c>
      <c r="K16">
        <f>IF(K11=1,Inputs!$B$18 * 1000 * Inputs!$B$20*K13,0)</f>
        <v>0</v>
      </c>
      <c r="L16">
        <f>IF(L11=1,Inputs!$B$18 * 1000 * Inputs!$B$20*L13,0)</f>
        <v>0</v>
      </c>
      <c r="M16">
        <f>IF(M11=1,Inputs!$B$18 * 1000 * Inputs!$B$20*M13,0)</f>
        <v>0</v>
      </c>
      <c r="N16">
        <f>IF(N11=1,Inputs!$B$18 * 1000 * Inputs!$B$20*N13,0)</f>
        <v>0</v>
      </c>
      <c r="O16">
        <f>IF(O11=1,Inputs!$B$18 * 1000 * Inputs!$B$20*O13,0)</f>
        <v>0</v>
      </c>
      <c r="P16">
        <f>IF(P11=1,Inputs!$B$18 * 1000 * Inputs!$B$20*P13,0)</f>
        <v>0</v>
      </c>
      <c r="Q16">
        <f>IF(Q11=1,Inputs!$B$18 * 1000 * Inputs!$B$20*Q13,0)</f>
        <v>0</v>
      </c>
      <c r="R16">
        <f>IF(R11=1,Inputs!$B$18 * 1000 * Inputs!$B$20*R13,0)</f>
        <v>0</v>
      </c>
      <c r="S16">
        <f>IF(S11=1,Inputs!$B$18 * 1000 * Inputs!$B$20*S13,0)</f>
        <v>0</v>
      </c>
      <c r="T16">
        <f>IF(T11=1,Inputs!$B$18 * 1000 * Inputs!$B$20*T13,0)</f>
        <v>0</v>
      </c>
      <c r="U16">
        <f>IF(U11=1,Inputs!$B$18 * 1000 * Inputs!$B$20*U13,0)</f>
        <v>0</v>
      </c>
      <c r="V16">
        <f>IF(V11=1,Inputs!$B$18 * 1000 * Inputs!$B$20*V13,0)</f>
        <v>0</v>
      </c>
      <c r="W16">
        <f>IF(W11=1,Inputs!$B$18 * 1000 * Inputs!$B$20*W13,0)</f>
        <v>0</v>
      </c>
      <c r="X16">
        <f>IF(X11=1,Inputs!$B$18 * 1000 * Inputs!$B$20*X13,0)</f>
        <v>0</v>
      </c>
      <c r="Y16">
        <f>IF(Y11=1,Inputs!$B$18 * 1000 * Inputs!$B$20*Y13,0)</f>
        <v>0</v>
      </c>
      <c r="Z16">
        <f>IF(Z11=1,Inputs!$B$18 * 1000 * Inputs!$B$20*Z13,0)</f>
        <v>0</v>
      </c>
      <c r="AA16">
        <f>IF(AA11=1,Inputs!$B$18 * 1000 * Inputs!$B$20*AA13,0)</f>
        <v>0</v>
      </c>
      <c r="AB16">
        <f>IF(AB11=1,Inputs!$B$18 * 1000 * Inputs!$B$20*AB13,0)</f>
        <v>0</v>
      </c>
      <c r="AC16">
        <f>IF(AC11=1,Inputs!$B$18 * 1000 * Inputs!$B$20*AC13,0)</f>
        <v>0</v>
      </c>
      <c r="AD16">
        <f>IF(AD11=1,Inputs!$B$18 * 1000 * Inputs!$B$20*AD13,0)</f>
        <v>0</v>
      </c>
      <c r="AE16">
        <f>IF(AE11=1,Inputs!$B$18 * 1000 * Inputs!$B$20*AE13,0)</f>
        <v>0</v>
      </c>
      <c r="AF16">
        <f>IF(AF11=1,Inputs!$B$18 * 1000 * Inputs!$B$20*AF13,0)</f>
        <v>0</v>
      </c>
      <c r="AG16">
        <f>IF(AG11=1,Inputs!$B$18 * 1000 * Inputs!$B$20*AG13,0)</f>
        <v>0</v>
      </c>
      <c r="AH16">
        <f>IF(AH11=1,Inputs!$B$18 * 1000 * Inputs!$B$20*AH13,0)</f>
        <v>0</v>
      </c>
      <c r="AI16">
        <f>IF(AI11=1,Inputs!$B$18 * 1000 * Inputs!$B$20*AI13,0)</f>
        <v>0</v>
      </c>
      <c r="AJ16">
        <f>IF(AJ11=1,Inputs!$B$18 * 1000 * Inputs!$B$20*AJ13,0)</f>
        <v>0</v>
      </c>
      <c r="AK16">
        <f>IF(AK11=1,Inputs!$B$18 * 1000 * Inputs!$B$20*AK13,0)</f>
        <v>0</v>
      </c>
      <c r="AL16">
        <f>IF(AL11=1,Inputs!$B$18 * 1000 * Inputs!$B$20*AL13,0)</f>
        <v>0</v>
      </c>
      <c r="AM16">
        <f>IF(AM11=1,Inputs!$B$18 * 1000 * Inputs!$B$20*AM13,0)</f>
        <v>0</v>
      </c>
      <c r="AN16">
        <f>IF(AN11=1,Inputs!$B$18 * 1000 * Inputs!$B$20*AN13,0)</f>
        <v>0</v>
      </c>
      <c r="AO16">
        <f>IF(AO11=1,Inputs!$B$18 * 1000 * Inputs!$B$20*AO13,0)</f>
        <v>0</v>
      </c>
      <c r="AP16">
        <f>IF(AP11=1,Inputs!$B$18 * 1000 * Inputs!$B$20*AP13,0)</f>
        <v>0</v>
      </c>
      <c r="AQ16">
        <f>IF(AQ11=1,Inputs!$B$18 * 1000 * Inputs!$B$20*AQ13,0)</f>
        <v>0</v>
      </c>
      <c r="AR16">
        <f>IF(AR11=1,Inputs!$B$18 * 1000 * Inputs!$B$20*AR13,0)</f>
        <v>0</v>
      </c>
      <c r="AS16">
        <f>IF(AS11=1,Inputs!$B$18 * 1000 * Inputs!$B$20*AS13,0)</f>
        <v>0</v>
      </c>
      <c r="AT16">
        <f>IF(AT11=1,Inputs!$B$18 * 1000 * Inputs!$B$20*AT13,0)</f>
        <v>0</v>
      </c>
      <c r="AU16">
        <f>IF(AU11=1,Inputs!$B$18 * 1000 * Inputs!$B$20*AU13,0)</f>
        <v>0</v>
      </c>
      <c r="AV16">
        <f>IF(AV11=1,Inputs!$B$18 * 1000 * Inputs!$B$20*AV13,0)</f>
        <v>0</v>
      </c>
      <c r="AW16">
        <f>IF(AW11=1,Inputs!$B$18 * 1000 * Inputs!$B$20*AW13,0)</f>
        <v>0</v>
      </c>
      <c r="AX16">
        <f>IF(AX11=1,Inputs!$B$18 * 1000 * Inputs!$B$20*AX13,0)</f>
        <v>0</v>
      </c>
      <c r="AY16">
        <f>IF(AY11=1,Inputs!$B$18 * 1000 * Inputs!$B$20*AY13,0)</f>
        <v>0</v>
      </c>
      <c r="AZ16">
        <f>IF(AZ11=1,Inputs!$B$18 * 1000 * Inputs!$B$20*AZ13,0)</f>
        <v>0</v>
      </c>
      <c r="BA16">
        <f>IF(BA11=1,Inputs!$B$18 * 1000 * Inputs!$B$20*BA13,0)</f>
        <v>0</v>
      </c>
      <c r="BB16">
        <f>IF(BB11=1,Inputs!$B$18 * 1000 * Inputs!$B$20*BB13,0)</f>
        <v>0</v>
      </c>
      <c r="BC16">
        <f>IF(BC11=1,Inputs!$B$18 * 1000 * Inputs!$B$20*BC13,0)</f>
        <v>0</v>
      </c>
      <c r="BD16">
        <f>IF(BD11=1,Inputs!$B$18 * 1000 * Inputs!$B$20*BD13,0)</f>
        <v>0</v>
      </c>
      <c r="BE16">
        <f>IF(BE11=1,Inputs!$B$18 * 1000 * Inputs!$B$20*BE13,0)</f>
        <v>0</v>
      </c>
      <c r="BF16">
        <f>IF(BF11=1,Inputs!$B$18 * 1000 * Inputs!$B$20*BF13,0)</f>
        <v>0</v>
      </c>
      <c r="BG16">
        <f>IF(BG11=1,Inputs!$B$18 * 1000 * Inputs!$B$20*BG13,0)</f>
        <v>0</v>
      </c>
      <c r="BH16">
        <f>IF(BH11=1,Inputs!$B$18 * 1000 * Inputs!$B$20*BH13,0)</f>
        <v>0</v>
      </c>
      <c r="BI16">
        <f>IF(BI11=1,Inputs!$B$18 * 1000 * Inputs!$B$20*BI13,0)</f>
        <v>0</v>
      </c>
      <c r="BJ16">
        <f>IF(BJ11=1,Inputs!$B$18 * 1000 * Inputs!$B$20*BJ13,0)</f>
        <v>0</v>
      </c>
      <c r="BK16">
        <f>IF(BK11=1,Inputs!$B$18 * 1000 * Inputs!$B$20*BK13,0)</f>
        <v>0</v>
      </c>
      <c r="BL16">
        <f>IF(BL11=1,Inputs!$B$18 * 1000 * Inputs!$B$20*BL13,0)</f>
        <v>0</v>
      </c>
      <c r="BM16">
        <f>IF(BM11=1,Inputs!$B$18 * 1000 * Inputs!$B$20*BM13,0)</f>
        <v>0</v>
      </c>
      <c r="BN16">
        <f>IF(BN11=1,Inputs!$B$18 * 1000 * Inputs!$B$20*BN13,0)</f>
        <v>0</v>
      </c>
      <c r="BO16">
        <f>IF(BO11=1,Inputs!$B$18 * 1000 * Inputs!$B$20*BO13,0)</f>
        <v>0</v>
      </c>
      <c r="BP16">
        <f>IF(BP11=1,Inputs!$B$18 * 1000 * Inputs!$B$20*BP13,0)</f>
        <v>0</v>
      </c>
      <c r="BQ16">
        <f>IF(BQ11=1,Inputs!$B$18 * 1000 * Inputs!$B$20*BQ13,0)</f>
        <v>0</v>
      </c>
      <c r="BR16">
        <f>IF(BR11=1,Inputs!$B$18 * 1000 * Inputs!$B$20*BR13,0)</f>
        <v>0</v>
      </c>
      <c r="BS16">
        <f>IF(BS11=1,Inputs!$B$18 * 1000 * Inputs!$B$20*BS13,0)</f>
        <v>0</v>
      </c>
      <c r="BT16">
        <f>IF(BT11=1,Inputs!$B$18 * 1000 * Inputs!$B$20*BT13,0)</f>
        <v>0</v>
      </c>
      <c r="BU16">
        <f>IF(BU11=1,Inputs!$B$18 * 1000 * Inputs!$B$20*BU13,0)</f>
        <v>0</v>
      </c>
    </row>
    <row r="18" spans="1:73">
      <c r="A18" t="s">
        <v>181</v>
      </c>
      <c r="B18" t="s">
        <v>184</v>
      </c>
      <c r="C18">
        <f>SUM(D18:BU18)</f>
        <v>35722429.235892341</v>
      </c>
      <c r="D18">
        <f>D14+D15+D16</f>
        <v>5279031.8900696263</v>
      </c>
      <c r="E18">
        <f t="shared" ref="E18:BP18" si="3">E14+E15+E16</f>
        <v>12440561.612956891</v>
      </c>
      <c r="F18">
        <f t="shared" si="3"/>
        <v>12564606.796039043</v>
      </c>
      <c r="G18">
        <f t="shared" si="3"/>
        <v>5438228.9368267804</v>
      </c>
      <c r="H18">
        <f t="shared" si="3"/>
        <v>0</v>
      </c>
      <c r="I18">
        <f t="shared" si="3"/>
        <v>0</v>
      </c>
      <c r="J18">
        <f t="shared" si="3"/>
        <v>0</v>
      </c>
      <c r="K18">
        <f t="shared" si="3"/>
        <v>0</v>
      </c>
      <c r="L18">
        <f t="shared" si="3"/>
        <v>0</v>
      </c>
      <c r="M18">
        <f t="shared" si="3"/>
        <v>0</v>
      </c>
      <c r="N18">
        <f t="shared" si="3"/>
        <v>0</v>
      </c>
      <c r="O18">
        <f t="shared" si="3"/>
        <v>0</v>
      </c>
      <c r="P18">
        <f t="shared" si="3"/>
        <v>0</v>
      </c>
      <c r="Q18">
        <f t="shared" si="3"/>
        <v>0</v>
      </c>
      <c r="R18">
        <f t="shared" si="3"/>
        <v>0</v>
      </c>
      <c r="S18">
        <f t="shared" si="3"/>
        <v>0</v>
      </c>
      <c r="T18">
        <f t="shared" si="3"/>
        <v>0</v>
      </c>
      <c r="U18">
        <f t="shared" si="3"/>
        <v>0</v>
      </c>
      <c r="V18">
        <f t="shared" si="3"/>
        <v>0</v>
      </c>
      <c r="W18">
        <f t="shared" si="3"/>
        <v>0</v>
      </c>
      <c r="X18">
        <f t="shared" si="3"/>
        <v>0</v>
      </c>
      <c r="Y18">
        <f t="shared" si="3"/>
        <v>0</v>
      </c>
      <c r="Z18">
        <f t="shared" si="3"/>
        <v>0</v>
      </c>
      <c r="AA18">
        <f t="shared" si="3"/>
        <v>0</v>
      </c>
      <c r="AB18">
        <f t="shared" si="3"/>
        <v>0</v>
      </c>
      <c r="AC18">
        <f t="shared" si="3"/>
        <v>0</v>
      </c>
      <c r="AD18">
        <f t="shared" si="3"/>
        <v>0</v>
      </c>
      <c r="AE18">
        <f t="shared" si="3"/>
        <v>0</v>
      </c>
      <c r="AF18">
        <f t="shared" si="3"/>
        <v>0</v>
      </c>
      <c r="AG18">
        <f t="shared" si="3"/>
        <v>0</v>
      </c>
      <c r="AH18">
        <f t="shared" si="3"/>
        <v>0</v>
      </c>
      <c r="AI18">
        <f t="shared" si="3"/>
        <v>0</v>
      </c>
      <c r="AJ18">
        <f t="shared" si="3"/>
        <v>0</v>
      </c>
      <c r="AK18">
        <f t="shared" si="3"/>
        <v>0</v>
      </c>
      <c r="AL18">
        <f t="shared" si="3"/>
        <v>0</v>
      </c>
      <c r="AM18">
        <f t="shared" si="3"/>
        <v>0</v>
      </c>
      <c r="AN18">
        <f t="shared" si="3"/>
        <v>0</v>
      </c>
      <c r="AO18">
        <f t="shared" si="3"/>
        <v>0</v>
      </c>
      <c r="AP18">
        <f t="shared" si="3"/>
        <v>0</v>
      </c>
      <c r="AQ18">
        <f t="shared" si="3"/>
        <v>0</v>
      </c>
      <c r="AR18">
        <f t="shared" si="3"/>
        <v>0</v>
      </c>
      <c r="AS18">
        <f t="shared" si="3"/>
        <v>0</v>
      </c>
      <c r="AT18">
        <f t="shared" si="3"/>
        <v>0</v>
      </c>
      <c r="AU18">
        <f t="shared" si="3"/>
        <v>0</v>
      </c>
      <c r="AV18">
        <f t="shared" si="3"/>
        <v>0</v>
      </c>
      <c r="AW18">
        <f t="shared" si="3"/>
        <v>0</v>
      </c>
      <c r="AX18">
        <f t="shared" si="3"/>
        <v>0</v>
      </c>
      <c r="AY18">
        <f t="shared" si="3"/>
        <v>0</v>
      </c>
      <c r="AZ18">
        <f t="shared" si="3"/>
        <v>0</v>
      </c>
      <c r="BA18">
        <f t="shared" si="3"/>
        <v>0</v>
      </c>
      <c r="BB18">
        <f t="shared" si="3"/>
        <v>0</v>
      </c>
      <c r="BC18">
        <f t="shared" si="3"/>
        <v>0</v>
      </c>
      <c r="BD18">
        <f t="shared" si="3"/>
        <v>0</v>
      </c>
      <c r="BE18">
        <f t="shared" si="3"/>
        <v>0</v>
      </c>
      <c r="BF18">
        <f t="shared" si="3"/>
        <v>0</v>
      </c>
      <c r="BG18">
        <f t="shared" si="3"/>
        <v>0</v>
      </c>
      <c r="BH18">
        <f t="shared" si="3"/>
        <v>0</v>
      </c>
      <c r="BI18">
        <f t="shared" si="3"/>
        <v>0</v>
      </c>
      <c r="BJ18">
        <f t="shared" si="3"/>
        <v>0</v>
      </c>
      <c r="BK18">
        <f t="shared" si="3"/>
        <v>0</v>
      </c>
      <c r="BL18">
        <f t="shared" si="3"/>
        <v>0</v>
      </c>
      <c r="BM18">
        <f t="shared" si="3"/>
        <v>0</v>
      </c>
      <c r="BN18">
        <f t="shared" si="3"/>
        <v>0</v>
      </c>
      <c r="BO18">
        <f t="shared" si="3"/>
        <v>0</v>
      </c>
      <c r="BP18">
        <f t="shared" si="3"/>
        <v>0</v>
      </c>
      <c r="BQ18">
        <f t="shared" ref="BQ18:BU18" si="4">BQ14+BQ15+BQ16</f>
        <v>0</v>
      </c>
      <c r="BR18">
        <f t="shared" si="4"/>
        <v>0</v>
      </c>
      <c r="BS18">
        <f t="shared" si="4"/>
        <v>0</v>
      </c>
      <c r="BT18">
        <f t="shared" si="4"/>
        <v>0</v>
      </c>
      <c r="BU18">
        <f t="shared" si="4"/>
        <v>0</v>
      </c>
    </row>
    <row r="19" spans="1:73" ht="15.75">
      <c r="A19" s="70" t="s">
        <v>194</v>
      </c>
      <c r="B19" s="70"/>
      <c r="C19" s="70"/>
      <c r="D19" s="70"/>
    </row>
    <row r="20" spans="1:73">
      <c r="A20" s="59" t="s">
        <v>182</v>
      </c>
      <c r="B20" s="59" t="s">
        <v>165</v>
      </c>
      <c r="C20" s="59">
        <f>SUM(D12:BU12)-1</f>
        <v>0</v>
      </c>
      <c r="D20" s="37" t="s">
        <v>167</v>
      </c>
    </row>
    <row r="21" spans="1:73">
      <c r="A21" s="59" t="s">
        <v>183</v>
      </c>
      <c r="B21" s="59" t="s">
        <v>165</v>
      </c>
      <c r="C21" s="59">
        <f>IF(SUM(D14:BU14)&gt;=C10,0,1)</f>
        <v>0</v>
      </c>
      <c r="D21" s="37" t="s">
        <v>167</v>
      </c>
    </row>
    <row r="24" spans="1:73" ht="15.75">
      <c r="A24" s="70" t="s">
        <v>205</v>
      </c>
      <c r="B24" s="70"/>
      <c r="C24" s="70"/>
    </row>
    <row r="25" spans="1:73">
      <c r="A25" t="s">
        <v>292</v>
      </c>
      <c r="B25" t="s">
        <v>184</v>
      </c>
      <c r="C25" s="47">
        <f>Debt!C20</f>
        <v>8064962.5333756506</v>
      </c>
    </row>
    <row r="26" spans="1:73">
      <c r="A26" t="s">
        <v>195</v>
      </c>
      <c r="B26" t="s">
        <v>20</v>
      </c>
      <c r="C26" s="46">
        <f>C25/C18</f>
        <v>0.22576747175055856</v>
      </c>
    </row>
    <row r="27" spans="1:73">
      <c r="A27" t="s">
        <v>196</v>
      </c>
      <c r="B27" t="s">
        <v>184</v>
      </c>
      <c r="C27">
        <f>SUM(D27:BU27)</f>
        <v>8064962.5333756506</v>
      </c>
      <c r="D27">
        <f t="shared" ref="D27:AI27" si="5">D18*$C$26</f>
        <v>1191833.6831115922</v>
      </c>
      <c r="E27">
        <f t="shared" si="5"/>
        <v>2808674.142514328</v>
      </c>
      <c r="F27">
        <f t="shared" si="5"/>
        <v>2836679.5098816208</v>
      </c>
      <c r="G27">
        <f t="shared" si="5"/>
        <v>1227775.1978681101</v>
      </c>
      <c r="H27">
        <f t="shared" si="5"/>
        <v>0</v>
      </c>
      <c r="I27">
        <f t="shared" si="5"/>
        <v>0</v>
      </c>
      <c r="J27">
        <f t="shared" si="5"/>
        <v>0</v>
      </c>
      <c r="K27">
        <f t="shared" si="5"/>
        <v>0</v>
      </c>
      <c r="L27">
        <f t="shared" si="5"/>
        <v>0</v>
      </c>
      <c r="M27">
        <f t="shared" si="5"/>
        <v>0</v>
      </c>
      <c r="N27">
        <f t="shared" si="5"/>
        <v>0</v>
      </c>
      <c r="O27">
        <f t="shared" si="5"/>
        <v>0</v>
      </c>
      <c r="P27">
        <f t="shared" si="5"/>
        <v>0</v>
      </c>
      <c r="Q27">
        <f t="shared" si="5"/>
        <v>0</v>
      </c>
      <c r="R27">
        <f t="shared" si="5"/>
        <v>0</v>
      </c>
      <c r="S27">
        <f t="shared" si="5"/>
        <v>0</v>
      </c>
      <c r="T27">
        <f t="shared" si="5"/>
        <v>0</v>
      </c>
      <c r="U27">
        <f t="shared" si="5"/>
        <v>0</v>
      </c>
      <c r="V27">
        <f t="shared" si="5"/>
        <v>0</v>
      </c>
      <c r="W27">
        <f t="shared" si="5"/>
        <v>0</v>
      </c>
      <c r="X27">
        <f t="shared" si="5"/>
        <v>0</v>
      </c>
      <c r="Y27">
        <f t="shared" si="5"/>
        <v>0</v>
      </c>
      <c r="Z27">
        <f t="shared" si="5"/>
        <v>0</v>
      </c>
      <c r="AA27">
        <f t="shared" si="5"/>
        <v>0</v>
      </c>
      <c r="AB27">
        <f t="shared" si="5"/>
        <v>0</v>
      </c>
      <c r="AC27">
        <f t="shared" si="5"/>
        <v>0</v>
      </c>
      <c r="AD27">
        <f t="shared" si="5"/>
        <v>0</v>
      </c>
      <c r="AE27">
        <f t="shared" si="5"/>
        <v>0</v>
      </c>
      <c r="AF27">
        <f t="shared" si="5"/>
        <v>0</v>
      </c>
      <c r="AG27">
        <f t="shared" si="5"/>
        <v>0</v>
      </c>
      <c r="AH27">
        <f t="shared" si="5"/>
        <v>0</v>
      </c>
      <c r="AI27">
        <f t="shared" si="5"/>
        <v>0</v>
      </c>
      <c r="AJ27">
        <f t="shared" ref="AJ27:BO27" si="6">AJ18*$C$26</f>
        <v>0</v>
      </c>
      <c r="AK27">
        <f t="shared" si="6"/>
        <v>0</v>
      </c>
      <c r="AL27">
        <f t="shared" si="6"/>
        <v>0</v>
      </c>
      <c r="AM27">
        <f t="shared" si="6"/>
        <v>0</v>
      </c>
      <c r="AN27">
        <f t="shared" si="6"/>
        <v>0</v>
      </c>
      <c r="AO27">
        <f t="shared" si="6"/>
        <v>0</v>
      </c>
      <c r="AP27">
        <f t="shared" si="6"/>
        <v>0</v>
      </c>
      <c r="AQ27">
        <f t="shared" si="6"/>
        <v>0</v>
      </c>
      <c r="AR27">
        <f t="shared" si="6"/>
        <v>0</v>
      </c>
      <c r="AS27">
        <f t="shared" si="6"/>
        <v>0</v>
      </c>
      <c r="AT27">
        <f t="shared" si="6"/>
        <v>0</v>
      </c>
      <c r="AU27">
        <f t="shared" si="6"/>
        <v>0</v>
      </c>
      <c r="AV27">
        <f t="shared" si="6"/>
        <v>0</v>
      </c>
      <c r="AW27">
        <f t="shared" si="6"/>
        <v>0</v>
      </c>
      <c r="AX27">
        <f t="shared" si="6"/>
        <v>0</v>
      </c>
      <c r="AY27">
        <f t="shared" si="6"/>
        <v>0</v>
      </c>
      <c r="AZ27">
        <f t="shared" si="6"/>
        <v>0</v>
      </c>
      <c r="BA27">
        <f t="shared" si="6"/>
        <v>0</v>
      </c>
      <c r="BB27">
        <f t="shared" si="6"/>
        <v>0</v>
      </c>
      <c r="BC27">
        <f t="shared" si="6"/>
        <v>0</v>
      </c>
      <c r="BD27">
        <f t="shared" si="6"/>
        <v>0</v>
      </c>
      <c r="BE27">
        <f t="shared" si="6"/>
        <v>0</v>
      </c>
      <c r="BF27">
        <f t="shared" si="6"/>
        <v>0</v>
      </c>
      <c r="BG27">
        <f t="shared" si="6"/>
        <v>0</v>
      </c>
      <c r="BH27">
        <f t="shared" si="6"/>
        <v>0</v>
      </c>
      <c r="BI27">
        <f t="shared" si="6"/>
        <v>0</v>
      </c>
      <c r="BJ27">
        <f t="shared" si="6"/>
        <v>0</v>
      </c>
      <c r="BK27">
        <f t="shared" si="6"/>
        <v>0</v>
      </c>
      <c r="BL27">
        <f t="shared" si="6"/>
        <v>0</v>
      </c>
      <c r="BM27">
        <f t="shared" si="6"/>
        <v>0</v>
      </c>
      <c r="BN27">
        <f t="shared" si="6"/>
        <v>0</v>
      </c>
      <c r="BO27">
        <f t="shared" si="6"/>
        <v>0</v>
      </c>
      <c r="BP27">
        <f t="shared" ref="BP27:BU27" si="7">BP18*$C$26</f>
        <v>0</v>
      </c>
      <c r="BQ27">
        <f t="shared" si="7"/>
        <v>0</v>
      </c>
      <c r="BR27">
        <f t="shared" si="7"/>
        <v>0</v>
      </c>
      <c r="BS27">
        <f t="shared" si="7"/>
        <v>0</v>
      </c>
      <c r="BT27">
        <f t="shared" si="7"/>
        <v>0</v>
      </c>
      <c r="BU27">
        <f t="shared" si="7"/>
        <v>0</v>
      </c>
    </row>
    <row r="28" spans="1:73">
      <c r="A28" t="s">
        <v>197</v>
      </c>
      <c r="B28" t="s">
        <v>184</v>
      </c>
      <c r="C28">
        <f>SUM(D28:BU28)</f>
        <v>27657466.70251669</v>
      </c>
      <c r="D28">
        <f t="shared" ref="D28:AI28" si="8">D18-D27</f>
        <v>4087198.2069580341</v>
      </c>
      <c r="E28">
        <f t="shared" si="8"/>
        <v>9631887.4704425633</v>
      </c>
      <c r="F28">
        <f t="shared" si="8"/>
        <v>9727927.2861574218</v>
      </c>
      <c r="G28">
        <f t="shared" si="8"/>
        <v>4210453.7389586698</v>
      </c>
      <c r="H28">
        <f t="shared" si="8"/>
        <v>0</v>
      </c>
      <c r="I28">
        <f t="shared" si="8"/>
        <v>0</v>
      </c>
      <c r="J28">
        <f t="shared" si="8"/>
        <v>0</v>
      </c>
      <c r="K28">
        <f t="shared" si="8"/>
        <v>0</v>
      </c>
      <c r="L28">
        <f t="shared" si="8"/>
        <v>0</v>
      </c>
      <c r="M28">
        <f t="shared" si="8"/>
        <v>0</v>
      </c>
      <c r="N28">
        <f t="shared" si="8"/>
        <v>0</v>
      </c>
      <c r="O28">
        <f t="shared" si="8"/>
        <v>0</v>
      </c>
      <c r="P28">
        <f t="shared" si="8"/>
        <v>0</v>
      </c>
      <c r="Q28">
        <f t="shared" si="8"/>
        <v>0</v>
      </c>
      <c r="R28">
        <f t="shared" si="8"/>
        <v>0</v>
      </c>
      <c r="S28">
        <f t="shared" si="8"/>
        <v>0</v>
      </c>
      <c r="T28">
        <f t="shared" si="8"/>
        <v>0</v>
      </c>
      <c r="U28">
        <f t="shared" si="8"/>
        <v>0</v>
      </c>
      <c r="V28">
        <f t="shared" si="8"/>
        <v>0</v>
      </c>
      <c r="W28">
        <f t="shared" si="8"/>
        <v>0</v>
      </c>
      <c r="X28">
        <f t="shared" si="8"/>
        <v>0</v>
      </c>
      <c r="Y28">
        <f t="shared" si="8"/>
        <v>0</v>
      </c>
      <c r="Z28">
        <f t="shared" si="8"/>
        <v>0</v>
      </c>
      <c r="AA28">
        <f t="shared" si="8"/>
        <v>0</v>
      </c>
      <c r="AB28">
        <f t="shared" si="8"/>
        <v>0</v>
      </c>
      <c r="AC28">
        <f t="shared" si="8"/>
        <v>0</v>
      </c>
      <c r="AD28">
        <f t="shared" si="8"/>
        <v>0</v>
      </c>
      <c r="AE28">
        <f t="shared" si="8"/>
        <v>0</v>
      </c>
      <c r="AF28">
        <f t="shared" si="8"/>
        <v>0</v>
      </c>
      <c r="AG28">
        <f t="shared" si="8"/>
        <v>0</v>
      </c>
      <c r="AH28">
        <f t="shared" si="8"/>
        <v>0</v>
      </c>
      <c r="AI28">
        <f t="shared" si="8"/>
        <v>0</v>
      </c>
      <c r="AJ28">
        <f t="shared" ref="AJ28:BO28" si="9">AJ18-AJ27</f>
        <v>0</v>
      </c>
      <c r="AK28">
        <f t="shared" si="9"/>
        <v>0</v>
      </c>
      <c r="AL28">
        <f t="shared" si="9"/>
        <v>0</v>
      </c>
      <c r="AM28">
        <f t="shared" si="9"/>
        <v>0</v>
      </c>
      <c r="AN28">
        <f t="shared" si="9"/>
        <v>0</v>
      </c>
      <c r="AO28">
        <f t="shared" si="9"/>
        <v>0</v>
      </c>
      <c r="AP28">
        <f t="shared" si="9"/>
        <v>0</v>
      </c>
      <c r="AQ28">
        <f t="shared" si="9"/>
        <v>0</v>
      </c>
      <c r="AR28">
        <f t="shared" si="9"/>
        <v>0</v>
      </c>
      <c r="AS28">
        <f t="shared" si="9"/>
        <v>0</v>
      </c>
      <c r="AT28">
        <f t="shared" si="9"/>
        <v>0</v>
      </c>
      <c r="AU28">
        <f t="shared" si="9"/>
        <v>0</v>
      </c>
      <c r="AV28">
        <f t="shared" si="9"/>
        <v>0</v>
      </c>
      <c r="AW28">
        <f t="shared" si="9"/>
        <v>0</v>
      </c>
      <c r="AX28">
        <f t="shared" si="9"/>
        <v>0</v>
      </c>
      <c r="AY28">
        <f t="shared" si="9"/>
        <v>0</v>
      </c>
      <c r="AZ28">
        <f t="shared" si="9"/>
        <v>0</v>
      </c>
      <c r="BA28">
        <f t="shared" si="9"/>
        <v>0</v>
      </c>
      <c r="BB28">
        <f t="shared" si="9"/>
        <v>0</v>
      </c>
      <c r="BC28">
        <f t="shared" si="9"/>
        <v>0</v>
      </c>
      <c r="BD28">
        <f t="shared" si="9"/>
        <v>0</v>
      </c>
      <c r="BE28">
        <f t="shared" si="9"/>
        <v>0</v>
      </c>
      <c r="BF28">
        <f t="shared" si="9"/>
        <v>0</v>
      </c>
      <c r="BG28">
        <f t="shared" si="9"/>
        <v>0</v>
      </c>
      <c r="BH28">
        <f t="shared" si="9"/>
        <v>0</v>
      </c>
      <c r="BI28">
        <f t="shared" si="9"/>
        <v>0</v>
      </c>
      <c r="BJ28">
        <f t="shared" si="9"/>
        <v>0</v>
      </c>
      <c r="BK28">
        <f t="shared" si="9"/>
        <v>0</v>
      </c>
      <c r="BL28">
        <f t="shared" si="9"/>
        <v>0</v>
      </c>
      <c r="BM28">
        <f t="shared" si="9"/>
        <v>0</v>
      </c>
      <c r="BN28">
        <f t="shared" si="9"/>
        <v>0</v>
      </c>
      <c r="BO28">
        <f t="shared" si="9"/>
        <v>0</v>
      </c>
      <c r="BP28">
        <f t="shared" ref="BP28:BU28" si="10">BP18-BP27</f>
        <v>0</v>
      </c>
      <c r="BQ28">
        <f t="shared" si="10"/>
        <v>0</v>
      </c>
      <c r="BR28">
        <f t="shared" si="10"/>
        <v>0</v>
      </c>
      <c r="BS28">
        <f t="shared" si="10"/>
        <v>0</v>
      </c>
      <c r="BT28">
        <f t="shared" si="10"/>
        <v>0</v>
      </c>
      <c r="BU28">
        <f t="shared" si="10"/>
        <v>0</v>
      </c>
    </row>
    <row r="29" spans="1:73">
      <c r="A29" t="s">
        <v>198</v>
      </c>
      <c r="B29" t="s">
        <v>184</v>
      </c>
      <c r="C29" t="s">
        <v>131</v>
      </c>
    </row>
    <row r="30" spans="1:73">
      <c r="A30" t="s">
        <v>201</v>
      </c>
      <c r="B30" t="s">
        <v>184</v>
      </c>
      <c r="C30" t="s">
        <v>131</v>
      </c>
      <c r="D30" s="48">
        <v>0</v>
      </c>
      <c r="E30">
        <f>D32</f>
        <v>1191833.6831115922</v>
      </c>
      <c r="F30">
        <f t="shared" ref="F30:BQ30" si="11">E32</f>
        <v>4000507.8256259202</v>
      </c>
      <c r="G30">
        <f t="shared" si="11"/>
        <v>6837187.335507541</v>
      </c>
      <c r="H30">
        <f t="shared" si="11"/>
        <v>8064962.5333756506</v>
      </c>
      <c r="I30">
        <f t="shared" si="11"/>
        <v>8064962.5333756506</v>
      </c>
      <c r="J30">
        <f t="shared" si="11"/>
        <v>8064962.5333756506</v>
      </c>
      <c r="K30">
        <f t="shared" si="11"/>
        <v>8064962.5333756506</v>
      </c>
      <c r="L30">
        <f t="shared" si="11"/>
        <v>8064962.5333756506</v>
      </c>
      <c r="M30">
        <f t="shared" si="11"/>
        <v>8064962.5333756506</v>
      </c>
      <c r="N30">
        <f t="shared" si="11"/>
        <v>8064962.5333756506</v>
      </c>
      <c r="O30">
        <f t="shared" si="11"/>
        <v>8064962.5333756506</v>
      </c>
      <c r="P30">
        <f t="shared" si="11"/>
        <v>8064962.5333756506</v>
      </c>
      <c r="Q30">
        <f t="shared" si="11"/>
        <v>8064962.5333756506</v>
      </c>
      <c r="R30">
        <f t="shared" si="11"/>
        <v>8064962.5333756506</v>
      </c>
      <c r="S30">
        <f t="shared" si="11"/>
        <v>8064962.5333756506</v>
      </c>
      <c r="T30">
        <f t="shared" si="11"/>
        <v>8064962.5333756506</v>
      </c>
      <c r="U30">
        <f t="shared" si="11"/>
        <v>8064962.5333756506</v>
      </c>
      <c r="V30">
        <f t="shared" si="11"/>
        <v>8064962.5333756506</v>
      </c>
      <c r="W30">
        <f t="shared" si="11"/>
        <v>8064962.5333756506</v>
      </c>
      <c r="X30">
        <f t="shared" si="11"/>
        <v>8064962.5333756506</v>
      </c>
      <c r="Y30">
        <f t="shared" si="11"/>
        <v>8064962.5333756506</v>
      </c>
      <c r="Z30">
        <f t="shared" si="11"/>
        <v>8064962.5333756506</v>
      </c>
      <c r="AA30">
        <f t="shared" si="11"/>
        <v>8064962.5333756506</v>
      </c>
      <c r="AB30">
        <f t="shared" si="11"/>
        <v>8064962.5333756506</v>
      </c>
      <c r="AC30">
        <f t="shared" si="11"/>
        <v>8064962.5333756506</v>
      </c>
      <c r="AD30">
        <f t="shared" si="11"/>
        <v>8064962.5333756506</v>
      </c>
      <c r="AE30">
        <f t="shared" si="11"/>
        <v>8064962.5333756506</v>
      </c>
      <c r="AF30">
        <f t="shared" si="11"/>
        <v>8064962.5333756506</v>
      </c>
      <c r="AG30">
        <f t="shared" si="11"/>
        <v>8064962.5333756506</v>
      </c>
      <c r="AH30">
        <f t="shared" si="11"/>
        <v>8064962.5333756506</v>
      </c>
      <c r="AI30">
        <f t="shared" si="11"/>
        <v>8064962.5333756506</v>
      </c>
      <c r="AJ30">
        <f t="shared" si="11"/>
        <v>8064962.5333756506</v>
      </c>
      <c r="AK30">
        <f t="shared" si="11"/>
        <v>8064962.5333756506</v>
      </c>
      <c r="AL30">
        <f t="shared" si="11"/>
        <v>8064962.5333756506</v>
      </c>
      <c r="AM30">
        <f t="shared" si="11"/>
        <v>8064962.5333756506</v>
      </c>
      <c r="AN30">
        <f t="shared" si="11"/>
        <v>8064962.5333756506</v>
      </c>
      <c r="AO30">
        <f t="shared" si="11"/>
        <v>8064962.5333756506</v>
      </c>
      <c r="AP30">
        <f t="shared" si="11"/>
        <v>8064962.5333756506</v>
      </c>
      <c r="AQ30">
        <f t="shared" si="11"/>
        <v>8064962.5333756506</v>
      </c>
      <c r="AR30">
        <f t="shared" si="11"/>
        <v>8064962.5333756506</v>
      </c>
      <c r="AS30">
        <f t="shared" si="11"/>
        <v>8064962.5333756506</v>
      </c>
      <c r="AT30">
        <f t="shared" si="11"/>
        <v>8064962.5333756506</v>
      </c>
      <c r="AU30">
        <f t="shared" si="11"/>
        <v>8064962.5333756506</v>
      </c>
      <c r="AV30">
        <f t="shared" si="11"/>
        <v>8064962.5333756506</v>
      </c>
      <c r="AW30">
        <f t="shared" si="11"/>
        <v>8064962.5333756506</v>
      </c>
      <c r="AX30">
        <f t="shared" si="11"/>
        <v>8064962.5333756506</v>
      </c>
      <c r="AY30">
        <f t="shared" si="11"/>
        <v>8064962.5333756506</v>
      </c>
      <c r="AZ30">
        <f t="shared" si="11"/>
        <v>8064962.5333756506</v>
      </c>
      <c r="BA30">
        <f t="shared" si="11"/>
        <v>8064962.5333756506</v>
      </c>
      <c r="BB30">
        <f t="shared" si="11"/>
        <v>8064962.5333756506</v>
      </c>
      <c r="BC30">
        <f t="shared" si="11"/>
        <v>8064962.5333756506</v>
      </c>
      <c r="BD30">
        <f t="shared" si="11"/>
        <v>8064962.5333756506</v>
      </c>
      <c r="BE30">
        <f t="shared" si="11"/>
        <v>8064962.5333756506</v>
      </c>
      <c r="BF30">
        <f t="shared" si="11"/>
        <v>8064962.5333756506</v>
      </c>
      <c r="BG30">
        <f t="shared" si="11"/>
        <v>8064962.5333756506</v>
      </c>
      <c r="BH30">
        <f t="shared" si="11"/>
        <v>8064962.5333756506</v>
      </c>
      <c r="BI30">
        <f t="shared" si="11"/>
        <v>8064962.5333756506</v>
      </c>
      <c r="BJ30">
        <f t="shared" si="11"/>
        <v>8064962.5333756506</v>
      </c>
      <c r="BK30">
        <f t="shared" si="11"/>
        <v>8064962.5333756506</v>
      </c>
      <c r="BL30">
        <f t="shared" si="11"/>
        <v>8064962.5333756506</v>
      </c>
      <c r="BM30">
        <f t="shared" si="11"/>
        <v>8064962.5333756506</v>
      </c>
      <c r="BN30">
        <f t="shared" si="11"/>
        <v>8064962.5333756506</v>
      </c>
      <c r="BO30">
        <f t="shared" si="11"/>
        <v>8064962.5333756506</v>
      </c>
      <c r="BP30">
        <f t="shared" si="11"/>
        <v>8064962.5333756506</v>
      </c>
      <c r="BQ30">
        <f t="shared" si="11"/>
        <v>8064962.5333756506</v>
      </c>
      <c r="BR30">
        <f t="shared" ref="BR30:BU30" si="12">BQ32</f>
        <v>8064962.5333756506</v>
      </c>
      <c r="BS30">
        <f t="shared" si="12"/>
        <v>8064962.5333756506</v>
      </c>
      <c r="BT30">
        <f t="shared" si="12"/>
        <v>8064962.5333756506</v>
      </c>
      <c r="BU30">
        <f t="shared" si="12"/>
        <v>8064962.5333756506</v>
      </c>
    </row>
    <row r="31" spans="1:73">
      <c r="A31" t="s">
        <v>202</v>
      </c>
      <c r="B31" t="s">
        <v>184</v>
      </c>
      <c r="C31" t="s">
        <v>131</v>
      </c>
      <c r="D31">
        <f>D27</f>
        <v>1191833.6831115922</v>
      </c>
      <c r="E31">
        <f t="shared" ref="E31:BP31" si="13">E27</f>
        <v>2808674.142514328</v>
      </c>
      <c r="F31">
        <f t="shared" si="13"/>
        <v>2836679.5098816208</v>
      </c>
      <c r="G31">
        <f t="shared" si="13"/>
        <v>1227775.1978681101</v>
      </c>
      <c r="H31">
        <f t="shared" si="13"/>
        <v>0</v>
      </c>
      <c r="I31">
        <f t="shared" si="13"/>
        <v>0</v>
      </c>
      <c r="J31">
        <f t="shared" si="13"/>
        <v>0</v>
      </c>
      <c r="K31">
        <f t="shared" si="13"/>
        <v>0</v>
      </c>
      <c r="L31">
        <f t="shared" si="13"/>
        <v>0</v>
      </c>
      <c r="M31">
        <f t="shared" si="13"/>
        <v>0</v>
      </c>
      <c r="N31">
        <f t="shared" si="13"/>
        <v>0</v>
      </c>
      <c r="O31">
        <f t="shared" si="13"/>
        <v>0</v>
      </c>
      <c r="P31">
        <f t="shared" si="13"/>
        <v>0</v>
      </c>
      <c r="Q31">
        <f t="shared" si="13"/>
        <v>0</v>
      </c>
      <c r="R31">
        <f t="shared" si="13"/>
        <v>0</v>
      </c>
      <c r="S31">
        <f t="shared" si="13"/>
        <v>0</v>
      </c>
      <c r="T31">
        <f t="shared" si="13"/>
        <v>0</v>
      </c>
      <c r="U31">
        <f t="shared" si="13"/>
        <v>0</v>
      </c>
      <c r="V31">
        <f t="shared" si="13"/>
        <v>0</v>
      </c>
      <c r="W31">
        <f t="shared" si="13"/>
        <v>0</v>
      </c>
      <c r="X31">
        <f t="shared" si="13"/>
        <v>0</v>
      </c>
      <c r="Y31">
        <f t="shared" si="13"/>
        <v>0</v>
      </c>
      <c r="Z31">
        <f t="shared" si="13"/>
        <v>0</v>
      </c>
      <c r="AA31">
        <f t="shared" si="13"/>
        <v>0</v>
      </c>
      <c r="AB31">
        <f t="shared" si="13"/>
        <v>0</v>
      </c>
      <c r="AC31">
        <f t="shared" si="13"/>
        <v>0</v>
      </c>
      <c r="AD31">
        <f t="shared" si="13"/>
        <v>0</v>
      </c>
      <c r="AE31">
        <f t="shared" si="13"/>
        <v>0</v>
      </c>
      <c r="AF31">
        <f t="shared" si="13"/>
        <v>0</v>
      </c>
      <c r="AG31">
        <f t="shared" si="13"/>
        <v>0</v>
      </c>
      <c r="AH31">
        <f t="shared" si="13"/>
        <v>0</v>
      </c>
      <c r="AI31">
        <f t="shared" si="13"/>
        <v>0</v>
      </c>
      <c r="AJ31">
        <f t="shared" si="13"/>
        <v>0</v>
      </c>
      <c r="AK31">
        <f t="shared" si="13"/>
        <v>0</v>
      </c>
      <c r="AL31">
        <f t="shared" si="13"/>
        <v>0</v>
      </c>
      <c r="AM31">
        <f t="shared" si="13"/>
        <v>0</v>
      </c>
      <c r="AN31">
        <f t="shared" si="13"/>
        <v>0</v>
      </c>
      <c r="AO31">
        <f t="shared" si="13"/>
        <v>0</v>
      </c>
      <c r="AP31">
        <f t="shared" si="13"/>
        <v>0</v>
      </c>
      <c r="AQ31">
        <f t="shared" si="13"/>
        <v>0</v>
      </c>
      <c r="AR31">
        <f t="shared" si="13"/>
        <v>0</v>
      </c>
      <c r="AS31">
        <f t="shared" si="13"/>
        <v>0</v>
      </c>
      <c r="AT31">
        <f t="shared" si="13"/>
        <v>0</v>
      </c>
      <c r="AU31">
        <f t="shared" si="13"/>
        <v>0</v>
      </c>
      <c r="AV31">
        <f t="shared" si="13"/>
        <v>0</v>
      </c>
      <c r="AW31">
        <f t="shared" si="13"/>
        <v>0</v>
      </c>
      <c r="AX31">
        <f t="shared" si="13"/>
        <v>0</v>
      </c>
      <c r="AY31">
        <f t="shared" si="13"/>
        <v>0</v>
      </c>
      <c r="AZ31">
        <f t="shared" si="13"/>
        <v>0</v>
      </c>
      <c r="BA31">
        <f t="shared" si="13"/>
        <v>0</v>
      </c>
      <c r="BB31">
        <f t="shared" si="13"/>
        <v>0</v>
      </c>
      <c r="BC31">
        <f t="shared" si="13"/>
        <v>0</v>
      </c>
      <c r="BD31">
        <f t="shared" si="13"/>
        <v>0</v>
      </c>
      <c r="BE31">
        <f t="shared" si="13"/>
        <v>0</v>
      </c>
      <c r="BF31">
        <f t="shared" si="13"/>
        <v>0</v>
      </c>
      <c r="BG31">
        <f t="shared" si="13"/>
        <v>0</v>
      </c>
      <c r="BH31">
        <f t="shared" si="13"/>
        <v>0</v>
      </c>
      <c r="BI31">
        <f t="shared" si="13"/>
        <v>0</v>
      </c>
      <c r="BJ31">
        <f t="shared" si="13"/>
        <v>0</v>
      </c>
      <c r="BK31">
        <f t="shared" si="13"/>
        <v>0</v>
      </c>
      <c r="BL31">
        <f t="shared" si="13"/>
        <v>0</v>
      </c>
      <c r="BM31">
        <f t="shared" si="13"/>
        <v>0</v>
      </c>
      <c r="BN31">
        <f t="shared" si="13"/>
        <v>0</v>
      </c>
      <c r="BO31">
        <f t="shared" si="13"/>
        <v>0</v>
      </c>
      <c r="BP31">
        <f t="shared" si="13"/>
        <v>0</v>
      </c>
      <c r="BQ31">
        <f t="shared" ref="BQ31:BU31" si="14">BQ27</f>
        <v>0</v>
      </c>
      <c r="BR31">
        <f t="shared" si="14"/>
        <v>0</v>
      </c>
      <c r="BS31">
        <f t="shared" si="14"/>
        <v>0</v>
      </c>
      <c r="BT31">
        <f t="shared" si="14"/>
        <v>0</v>
      </c>
      <c r="BU31">
        <f t="shared" si="14"/>
        <v>0</v>
      </c>
    </row>
    <row r="32" spans="1:73">
      <c r="A32" t="s">
        <v>203</v>
      </c>
      <c r="B32" t="s">
        <v>184</v>
      </c>
      <c r="C32" t="s">
        <v>131</v>
      </c>
      <c r="D32">
        <f>D30+D31</f>
        <v>1191833.6831115922</v>
      </c>
      <c r="E32">
        <f t="shared" ref="E32:BP32" si="15">E30+E31</f>
        <v>4000507.8256259202</v>
      </c>
      <c r="F32">
        <f t="shared" si="15"/>
        <v>6837187.335507541</v>
      </c>
      <c r="G32">
        <f t="shared" si="15"/>
        <v>8064962.5333756506</v>
      </c>
      <c r="H32">
        <f t="shared" si="15"/>
        <v>8064962.5333756506</v>
      </c>
      <c r="I32">
        <f t="shared" si="15"/>
        <v>8064962.5333756506</v>
      </c>
      <c r="J32">
        <f t="shared" si="15"/>
        <v>8064962.5333756506</v>
      </c>
      <c r="K32">
        <f t="shared" si="15"/>
        <v>8064962.5333756506</v>
      </c>
      <c r="L32">
        <f t="shared" si="15"/>
        <v>8064962.5333756506</v>
      </c>
      <c r="M32">
        <f t="shared" si="15"/>
        <v>8064962.5333756506</v>
      </c>
      <c r="N32">
        <f t="shared" si="15"/>
        <v>8064962.5333756506</v>
      </c>
      <c r="O32">
        <f t="shared" si="15"/>
        <v>8064962.5333756506</v>
      </c>
      <c r="P32">
        <f t="shared" si="15"/>
        <v>8064962.5333756506</v>
      </c>
      <c r="Q32">
        <f t="shared" si="15"/>
        <v>8064962.5333756506</v>
      </c>
      <c r="R32">
        <f t="shared" si="15"/>
        <v>8064962.5333756506</v>
      </c>
      <c r="S32">
        <f t="shared" si="15"/>
        <v>8064962.5333756506</v>
      </c>
      <c r="T32">
        <f t="shared" si="15"/>
        <v>8064962.5333756506</v>
      </c>
      <c r="U32">
        <f t="shared" si="15"/>
        <v>8064962.5333756506</v>
      </c>
      <c r="V32">
        <f t="shared" si="15"/>
        <v>8064962.5333756506</v>
      </c>
      <c r="W32">
        <f t="shared" si="15"/>
        <v>8064962.5333756506</v>
      </c>
      <c r="X32">
        <f t="shared" si="15"/>
        <v>8064962.5333756506</v>
      </c>
      <c r="Y32">
        <f t="shared" si="15"/>
        <v>8064962.5333756506</v>
      </c>
      <c r="Z32">
        <f t="shared" si="15"/>
        <v>8064962.5333756506</v>
      </c>
      <c r="AA32">
        <f t="shared" si="15"/>
        <v>8064962.5333756506</v>
      </c>
      <c r="AB32">
        <f t="shared" si="15"/>
        <v>8064962.5333756506</v>
      </c>
      <c r="AC32">
        <f t="shared" si="15"/>
        <v>8064962.5333756506</v>
      </c>
      <c r="AD32">
        <f t="shared" si="15"/>
        <v>8064962.5333756506</v>
      </c>
      <c r="AE32">
        <f t="shared" si="15"/>
        <v>8064962.5333756506</v>
      </c>
      <c r="AF32">
        <f t="shared" si="15"/>
        <v>8064962.5333756506</v>
      </c>
      <c r="AG32">
        <f t="shared" si="15"/>
        <v>8064962.5333756506</v>
      </c>
      <c r="AH32">
        <f t="shared" si="15"/>
        <v>8064962.5333756506</v>
      </c>
      <c r="AI32">
        <f t="shared" si="15"/>
        <v>8064962.5333756506</v>
      </c>
      <c r="AJ32">
        <f t="shared" si="15"/>
        <v>8064962.5333756506</v>
      </c>
      <c r="AK32">
        <f t="shared" si="15"/>
        <v>8064962.5333756506</v>
      </c>
      <c r="AL32">
        <f t="shared" si="15"/>
        <v>8064962.5333756506</v>
      </c>
      <c r="AM32">
        <f t="shared" si="15"/>
        <v>8064962.5333756506</v>
      </c>
      <c r="AN32">
        <f t="shared" si="15"/>
        <v>8064962.5333756506</v>
      </c>
      <c r="AO32">
        <f t="shared" si="15"/>
        <v>8064962.5333756506</v>
      </c>
      <c r="AP32">
        <f t="shared" si="15"/>
        <v>8064962.5333756506</v>
      </c>
      <c r="AQ32">
        <f t="shared" si="15"/>
        <v>8064962.5333756506</v>
      </c>
      <c r="AR32">
        <f t="shared" si="15"/>
        <v>8064962.5333756506</v>
      </c>
      <c r="AS32">
        <f t="shared" si="15"/>
        <v>8064962.5333756506</v>
      </c>
      <c r="AT32">
        <f t="shared" si="15"/>
        <v>8064962.5333756506</v>
      </c>
      <c r="AU32">
        <f t="shared" si="15"/>
        <v>8064962.5333756506</v>
      </c>
      <c r="AV32">
        <f t="shared" si="15"/>
        <v>8064962.5333756506</v>
      </c>
      <c r="AW32">
        <f t="shared" si="15"/>
        <v>8064962.5333756506</v>
      </c>
      <c r="AX32">
        <f t="shared" si="15"/>
        <v>8064962.5333756506</v>
      </c>
      <c r="AY32">
        <f t="shared" si="15"/>
        <v>8064962.5333756506</v>
      </c>
      <c r="AZ32">
        <f t="shared" si="15"/>
        <v>8064962.5333756506</v>
      </c>
      <c r="BA32">
        <f t="shared" si="15"/>
        <v>8064962.5333756506</v>
      </c>
      <c r="BB32">
        <f t="shared" si="15"/>
        <v>8064962.5333756506</v>
      </c>
      <c r="BC32">
        <f t="shared" si="15"/>
        <v>8064962.5333756506</v>
      </c>
      <c r="BD32">
        <f t="shared" si="15"/>
        <v>8064962.5333756506</v>
      </c>
      <c r="BE32">
        <f t="shared" si="15"/>
        <v>8064962.5333756506</v>
      </c>
      <c r="BF32">
        <f t="shared" si="15"/>
        <v>8064962.5333756506</v>
      </c>
      <c r="BG32">
        <f t="shared" si="15"/>
        <v>8064962.5333756506</v>
      </c>
      <c r="BH32">
        <f t="shared" si="15"/>
        <v>8064962.5333756506</v>
      </c>
      <c r="BI32">
        <f t="shared" si="15"/>
        <v>8064962.5333756506</v>
      </c>
      <c r="BJ32">
        <f t="shared" si="15"/>
        <v>8064962.5333756506</v>
      </c>
      <c r="BK32">
        <f t="shared" si="15"/>
        <v>8064962.5333756506</v>
      </c>
      <c r="BL32">
        <f t="shared" si="15"/>
        <v>8064962.5333756506</v>
      </c>
      <c r="BM32">
        <f t="shared" si="15"/>
        <v>8064962.5333756506</v>
      </c>
      <c r="BN32">
        <f t="shared" si="15"/>
        <v>8064962.5333756506</v>
      </c>
      <c r="BO32">
        <f t="shared" si="15"/>
        <v>8064962.5333756506</v>
      </c>
      <c r="BP32">
        <f t="shared" si="15"/>
        <v>8064962.5333756506</v>
      </c>
      <c r="BQ32">
        <f t="shared" ref="BQ32:BU32" si="16">BQ30+BQ31</f>
        <v>8064962.5333756506</v>
      </c>
      <c r="BR32">
        <f t="shared" si="16"/>
        <v>8064962.5333756506</v>
      </c>
      <c r="BS32">
        <f t="shared" si="16"/>
        <v>8064962.5333756506</v>
      </c>
      <c r="BT32">
        <f t="shared" si="16"/>
        <v>8064962.5333756506</v>
      </c>
      <c r="BU32">
        <f t="shared" si="16"/>
        <v>8064962.5333756506</v>
      </c>
    </row>
    <row r="33" spans="1:73">
      <c r="A33" t="s">
        <v>204</v>
      </c>
      <c r="B33" t="s">
        <v>184</v>
      </c>
      <c r="C33" t="s">
        <v>131</v>
      </c>
      <c r="D33">
        <f t="shared" ref="D33:AI33" si="17">IF(D7=1,$C$25-D30,0)</f>
        <v>8064962.5333756506</v>
      </c>
      <c r="E33">
        <f t="shared" si="17"/>
        <v>6873128.8502640584</v>
      </c>
      <c r="F33">
        <f t="shared" si="17"/>
        <v>4064454.7077497304</v>
      </c>
      <c r="G33">
        <f t="shared" si="17"/>
        <v>1227775.1978681097</v>
      </c>
      <c r="H33">
        <f t="shared" si="17"/>
        <v>0</v>
      </c>
      <c r="I33">
        <f t="shared" si="17"/>
        <v>0</v>
      </c>
      <c r="J33">
        <f t="shared" si="17"/>
        <v>0</v>
      </c>
      <c r="K33">
        <f t="shared" si="17"/>
        <v>0</v>
      </c>
      <c r="L33">
        <f t="shared" si="17"/>
        <v>0</v>
      </c>
      <c r="M33">
        <f t="shared" si="17"/>
        <v>0</v>
      </c>
      <c r="N33">
        <f t="shared" si="17"/>
        <v>0</v>
      </c>
      <c r="O33">
        <f t="shared" si="17"/>
        <v>0</v>
      </c>
      <c r="P33">
        <f t="shared" si="17"/>
        <v>0</v>
      </c>
      <c r="Q33">
        <f t="shared" si="17"/>
        <v>0</v>
      </c>
      <c r="R33">
        <f t="shared" si="17"/>
        <v>0</v>
      </c>
      <c r="S33">
        <f t="shared" si="17"/>
        <v>0</v>
      </c>
      <c r="T33">
        <f t="shared" si="17"/>
        <v>0</v>
      </c>
      <c r="U33">
        <f t="shared" si="17"/>
        <v>0</v>
      </c>
      <c r="V33">
        <f t="shared" si="17"/>
        <v>0</v>
      </c>
      <c r="W33">
        <f t="shared" si="17"/>
        <v>0</v>
      </c>
      <c r="X33">
        <f t="shared" si="17"/>
        <v>0</v>
      </c>
      <c r="Y33">
        <f t="shared" si="17"/>
        <v>0</v>
      </c>
      <c r="Z33">
        <f t="shared" si="17"/>
        <v>0</v>
      </c>
      <c r="AA33">
        <f t="shared" si="17"/>
        <v>0</v>
      </c>
      <c r="AB33">
        <f t="shared" si="17"/>
        <v>0</v>
      </c>
      <c r="AC33">
        <f t="shared" si="17"/>
        <v>0</v>
      </c>
      <c r="AD33">
        <f t="shared" si="17"/>
        <v>0</v>
      </c>
      <c r="AE33">
        <f t="shared" si="17"/>
        <v>0</v>
      </c>
      <c r="AF33">
        <f t="shared" si="17"/>
        <v>0</v>
      </c>
      <c r="AG33">
        <f t="shared" si="17"/>
        <v>0</v>
      </c>
      <c r="AH33">
        <f t="shared" si="17"/>
        <v>0</v>
      </c>
      <c r="AI33">
        <f t="shared" si="17"/>
        <v>0</v>
      </c>
      <c r="AJ33">
        <f t="shared" ref="AJ33:BO33" si="18">IF(AJ7=1,$C$25-AJ30,0)</f>
        <v>0</v>
      </c>
      <c r="AK33">
        <f t="shared" si="18"/>
        <v>0</v>
      </c>
      <c r="AL33">
        <f t="shared" si="18"/>
        <v>0</v>
      </c>
      <c r="AM33">
        <f t="shared" si="18"/>
        <v>0</v>
      </c>
      <c r="AN33">
        <f t="shared" si="18"/>
        <v>0</v>
      </c>
      <c r="AO33">
        <f t="shared" si="18"/>
        <v>0</v>
      </c>
      <c r="AP33">
        <f t="shared" si="18"/>
        <v>0</v>
      </c>
      <c r="AQ33">
        <f t="shared" si="18"/>
        <v>0</v>
      </c>
      <c r="AR33">
        <f t="shared" si="18"/>
        <v>0</v>
      </c>
      <c r="AS33">
        <f t="shared" si="18"/>
        <v>0</v>
      </c>
      <c r="AT33">
        <f t="shared" si="18"/>
        <v>0</v>
      </c>
      <c r="AU33">
        <f t="shared" si="18"/>
        <v>0</v>
      </c>
      <c r="AV33">
        <f t="shared" si="18"/>
        <v>0</v>
      </c>
      <c r="AW33">
        <f t="shared" si="18"/>
        <v>0</v>
      </c>
      <c r="AX33">
        <f t="shared" si="18"/>
        <v>0</v>
      </c>
      <c r="AY33">
        <f t="shared" si="18"/>
        <v>0</v>
      </c>
      <c r="AZ33">
        <f t="shared" si="18"/>
        <v>0</v>
      </c>
      <c r="BA33">
        <f t="shared" si="18"/>
        <v>0</v>
      </c>
      <c r="BB33">
        <f t="shared" si="18"/>
        <v>0</v>
      </c>
      <c r="BC33">
        <f t="shared" si="18"/>
        <v>0</v>
      </c>
      <c r="BD33">
        <f t="shared" si="18"/>
        <v>0</v>
      </c>
      <c r="BE33">
        <f t="shared" si="18"/>
        <v>0</v>
      </c>
      <c r="BF33">
        <f t="shared" si="18"/>
        <v>0</v>
      </c>
      <c r="BG33">
        <f t="shared" si="18"/>
        <v>0</v>
      </c>
      <c r="BH33">
        <f t="shared" si="18"/>
        <v>0</v>
      </c>
      <c r="BI33">
        <f t="shared" si="18"/>
        <v>0</v>
      </c>
      <c r="BJ33">
        <f t="shared" si="18"/>
        <v>0</v>
      </c>
      <c r="BK33">
        <f t="shared" si="18"/>
        <v>0</v>
      </c>
      <c r="BL33">
        <f t="shared" si="18"/>
        <v>0</v>
      </c>
      <c r="BM33">
        <f t="shared" si="18"/>
        <v>0</v>
      </c>
      <c r="BN33">
        <f t="shared" si="18"/>
        <v>0</v>
      </c>
      <c r="BO33">
        <f t="shared" si="18"/>
        <v>0</v>
      </c>
      <c r="BP33">
        <f t="shared" ref="BP33:BU33" si="19">IF(BP7=1,$C$25-BP30,0)</f>
        <v>0</v>
      </c>
      <c r="BQ33">
        <f t="shared" si="19"/>
        <v>0</v>
      </c>
      <c r="BR33">
        <f t="shared" si="19"/>
        <v>0</v>
      </c>
      <c r="BS33">
        <f t="shared" si="19"/>
        <v>0</v>
      </c>
      <c r="BT33">
        <f t="shared" si="19"/>
        <v>0</v>
      </c>
      <c r="BU33">
        <f t="shared" si="19"/>
        <v>0</v>
      </c>
    </row>
    <row r="34" spans="1:73" ht="15.75">
      <c r="A34" s="70" t="s">
        <v>206</v>
      </c>
      <c r="B34" s="70"/>
      <c r="C34" s="70"/>
    </row>
    <row r="35" spans="1:73">
      <c r="A35" s="59" t="s">
        <v>200</v>
      </c>
      <c r="B35" s="59" t="s">
        <v>165</v>
      </c>
      <c r="C35" s="59">
        <f>SUM(D27:BU27)+SUM(D28:BU28)-C18</f>
        <v>0</v>
      </c>
      <c r="D35" s="37" t="s">
        <v>167</v>
      </c>
    </row>
    <row r="36" spans="1:73">
      <c r="A36" s="59" t="s">
        <v>199</v>
      </c>
      <c r="B36" s="59" t="s">
        <v>165</v>
      </c>
      <c r="C36" s="59">
        <f>INDEX(D32:BU32,MAX(D11:BU11))-$C$25</f>
        <v>0</v>
      </c>
      <c r="D36" s="37" t="s">
        <v>167</v>
      </c>
    </row>
    <row r="37" spans="1:73" ht="15.75">
      <c r="A37" s="70" t="s">
        <v>207</v>
      </c>
      <c r="B37" s="70"/>
      <c r="C37" s="70"/>
    </row>
    <row r="38" spans="1:73">
      <c r="A38" t="s">
        <v>208</v>
      </c>
      <c r="B38" t="s">
        <v>184</v>
      </c>
      <c r="D38">
        <f>(D30+D32)/2 *  D7</f>
        <v>595916.8415557961</v>
      </c>
      <c r="E38">
        <f t="shared" ref="E38:BP38" si="20">(E30+E32)/2 *  E7</f>
        <v>2596170.754368756</v>
      </c>
      <c r="F38">
        <f t="shared" si="20"/>
        <v>5418847.5805667304</v>
      </c>
      <c r="G38">
        <f t="shared" si="20"/>
        <v>7451074.9344415963</v>
      </c>
      <c r="H38">
        <f t="shared" si="20"/>
        <v>0</v>
      </c>
      <c r="I38">
        <f t="shared" si="20"/>
        <v>0</v>
      </c>
      <c r="J38">
        <f t="shared" si="20"/>
        <v>0</v>
      </c>
      <c r="K38">
        <f t="shared" si="20"/>
        <v>0</v>
      </c>
      <c r="L38">
        <f t="shared" si="20"/>
        <v>0</v>
      </c>
      <c r="M38">
        <f t="shared" si="20"/>
        <v>0</v>
      </c>
      <c r="N38">
        <f t="shared" si="20"/>
        <v>0</v>
      </c>
      <c r="O38">
        <f t="shared" si="20"/>
        <v>0</v>
      </c>
      <c r="P38">
        <f t="shared" si="20"/>
        <v>0</v>
      </c>
      <c r="Q38">
        <f t="shared" si="20"/>
        <v>0</v>
      </c>
      <c r="R38">
        <f t="shared" si="20"/>
        <v>0</v>
      </c>
      <c r="S38">
        <f t="shared" si="20"/>
        <v>0</v>
      </c>
      <c r="T38">
        <f t="shared" si="20"/>
        <v>0</v>
      </c>
      <c r="U38">
        <f t="shared" si="20"/>
        <v>0</v>
      </c>
      <c r="V38">
        <f t="shared" si="20"/>
        <v>0</v>
      </c>
      <c r="W38">
        <f t="shared" si="20"/>
        <v>0</v>
      </c>
      <c r="X38">
        <f t="shared" si="20"/>
        <v>0</v>
      </c>
      <c r="Y38">
        <f t="shared" si="20"/>
        <v>0</v>
      </c>
      <c r="Z38">
        <f t="shared" si="20"/>
        <v>0</v>
      </c>
      <c r="AA38">
        <f t="shared" si="20"/>
        <v>0</v>
      </c>
      <c r="AB38">
        <f t="shared" si="20"/>
        <v>0</v>
      </c>
      <c r="AC38">
        <f t="shared" si="20"/>
        <v>0</v>
      </c>
      <c r="AD38">
        <f t="shared" si="20"/>
        <v>0</v>
      </c>
      <c r="AE38">
        <f t="shared" si="20"/>
        <v>0</v>
      </c>
      <c r="AF38">
        <f t="shared" si="20"/>
        <v>0</v>
      </c>
      <c r="AG38">
        <f t="shared" si="20"/>
        <v>0</v>
      </c>
      <c r="AH38">
        <f t="shared" si="20"/>
        <v>0</v>
      </c>
      <c r="AI38">
        <f t="shared" si="20"/>
        <v>0</v>
      </c>
      <c r="AJ38">
        <f t="shared" si="20"/>
        <v>0</v>
      </c>
      <c r="AK38">
        <f t="shared" si="20"/>
        <v>0</v>
      </c>
      <c r="AL38">
        <f t="shared" si="20"/>
        <v>0</v>
      </c>
      <c r="AM38">
        <f t="shared" si="20"/>
        <v>0</v>
      </c>
      <c r="AN38">
        <f t="shared" si="20"/>
        <v>0</v>
      </c>
      <c r="AO38">
        <f t="shared" si="20"/>
        <v>0</v>
      </c>
      <c r="AP38">
        <f t="shared" si="20"/>
        <v>0</v>
      </c>
      <c r="AQ38">
        <f t="shared" si="20"/>
        <v>0</v>
      </c>
      <c r="AR38">
        <f t="shared" si="20"/>
        <v>0</v>
      </c>
      <c r="AS38">
        <f t="shared" si="20"/>
        <v>0</v>
      </c>
      <c r="AT38">
        <f t="shared" si="20"/>
        <v>0</v>
      </c>
      <c r="AU38">
        <f t="shared" si="20"/>
        <v>0</v>
      </c>
      <c r="AV38">
        <f t="shared" si="20"/>
        <v>0</v>
      </c>
      <c r="AW38">
        <f t="shared" si="20"/>
        <v>0</v>
      </c>
      <c r="AX38">
        <f t="shared" si="20"/>
        <v>0</v>
      </c>
      <c r="AY38">
        <f t="shared" si="20"/>
        <v>0</v>
      </c>
      <c r="AZ38">
        <f t="shared" si="20"/>
        <v>0</v>
      </c>
      <c r="BA38">
        <f t="shared" si="20"/>
        <v>0</v>
      </c>
      <c r="BB38">
        <f t="shared" si="20"/>
        <v>0</v>
      </c>
      <c r="BC38">
        <f t="shared" si="20"/>
        <v>0</v>
      </c>
      <c r="BD38">
        <f t="shared" si="20"/>
        <v>0</v>
      </c>
      <c r="BE38">
        <f t="shared" si="20"/>
        <v>0</v>
      </c>
      <c r="BF38">
        <f t="shared" si="20"/>
        <v>0</v>
      </c>
      <c r="BG38">
        <f t="shared" si="20"/>
        <v>0</v>
      </c>
      <c r="BH38">
        <f t="shared" si="20"/>
        <v>0</v>
      </c>
      <c r="BI38">
        <f t="shared" si="20"/>
        <v>0</v>
      </c>
      <c r="BJ38">
        <f t="shared" si="20"/>
        <v>0</v>
      </c>
      <c r="BK38">
        <f t="shared" si="20"/>
        <v>0</v>
      </c>
      <c r="BL38">
        <f t="shared" si="20"/>
        <v>0</v>
      </c>
      <c r="BM38">
        <f t="shared" si="20"/>
        <v>0</v>
      </c>
      <c r="BN38">
        <f t="shared" si="20"/>
        <v>0</v>
      </c>
      <c r="BO38">
        <f t="shared" si="20"/>
        <v>0</v>
      </c>
      <c r="BP38">
        <f t="shared" si="20"/>
        <v>0</v>
      </c>
      <c r="BQ38">
        <f t="shared" ref="BQ38:BU38" si="21">(BQ30+BQ32)/2 *  BQ7</f>
        <v>0</v>
      </c>
      <c r="BR38">
        <f t="shared" si="21"/>
        <v>0</v>
      </c>
      <c r="BS38">
        <f t="shared" si="21"/>
        <v>0</v>
      </c>
      <c r="BT38">
        <f t="shared" si="21"/>
        <v>0</v>
      </c>
      <c r="BU38">
        <f t="shared" si="21"/>
        <v>0</v>
      </c>
    </row>
    <row r="39" spans="1:73">
      <c r="A39" t="s">
        <v>44</v>
      </c>
      <c r="B39" t="s">
        <v>184</v>
      </c>
      <c r="C39">
        <f>SUM(D39:BU39)</f>
        <v>120974.43800063475</v>
      </c>
      <c r="D39">
        <f>IF(D11=1,Inputs!$B$51*$C$25,0)</f>
        <v>120974.43800063475</v>
      </c>
      <c r="E39">
        <f>IF(E11=1,Inputs!$B$51*$C$25,0)</f>
        <v>0</v>
      </c>
      <c r="F39">
        <f>IF(F11=1,Inputs!$B$51*$C$25,0)</f>
        <v>0</v>
      </c>
      <c r="G39">
        <f>IF(G11=1,Inputs!$B$51*$C$25,0)</f>
        <v>0</v>
      </c>
      <c r="H39">
        <f>IF(H11=1,Inputs!$B$51*$C$25,0)</f>
        <v>0</v>
      </c>
      <c r="I39">
        <f>IF(I11=1,Inputs!$B$51*$C$25,0)</f>
        <v>0</v>
      </c>
      <c r="J39">
        <f>IF(J11=1,Inputs!$B$51*$C$25,0)</f>
        <v>0</v>
      </c>
      <c r="K39">
        <f>IF(K11=1,Inputs!$B$51*$C$25,0)</f>
        <v>0</v>
      </c>
      <c r="L39">
        <f>IF(L11=1,Inputs!$B$51*$C$25,0)</f>
        <v>0</v>
      </c>
      <c r="M39">
        <f>IF(M11=1,Inputs!$B$51*$C$25,0)</f>
        <v>0</v>
      </c>
      <c r="N39">
        <f>IF(N11=1,Inputs!$B$51*$C$25,0)</f>
        <v>0</v>
      </c>
      <c r="O39">
        <f>IF(O11=1,Inputs!$B$51*$C$25,0)</f>
        <v>0</v>
      </c>
      <c r="P39">
        <f>IF(P11=1,Inputs!$B$51*$C$25,0)</f>
        <v>0</v>
      </c>
      <c r="Q39">
        <f>IF(Q11=1,Inputs!$B$51*$C$25,0)</f>
        <v>0</v>
      </c>
      <c r="R39">
        <f>IF(R11=1,Inputs!$B$51*$C$25,0)</f>
        <v>0</v>
      </c>
      <c r="S39">
        <f>IF(S11=1,Inputs!$B$51*$C$25,0)</f>
        <v>0</v>
      </c>
      <c r="T39">
        <f>IF(T11=1,Inputs!$B$51*$C$25,0)</f>
        <v>0</v>
      </c>
      <c r="U39">
        <f>IF(U11=1,Inputs!$B$51*$C$25,0)</f>
        <v>0</v>
      </c>
      <c r="V39">
        <f>IF(V11=1,Inputs!$B$51*$C$25,0)</f>
        <v>0</v>
      </c>
      <c r="W39">
        <f>IF(W11=1,Inputs!$B$51*$C$25,0)</f>
        <v>0</v>
      </c>
      <c r="X39">
        <f>IF(X11=1,Inputs!$B$51*$C$25,0)</f>
        <v>0</v>
      </c>
      <c r="Y39">
        <f>IF(Y11=1,Inputs!$B$51*$C$25,0)</f>
        <v>0</v>
      </c>
      <c r="Z39">
        <f>IF(Z11=1,Inputs!$B$51*$C$25,0)</f>
        <v>0</v>
      </c>
      <c r="AA39">
        <f>IF(AA11=1,Inputs!$B$51*$C$25,0)</f>
        <v>0</v>
      </c>
      <c r="AB39">
        <f>IF(AB11=1,Inputs!$B$51*$C$25,0)</f>
        <v>0</v>
      </c>
      <c r="AC39">
        <f>IF(AC11=1,Inputs!$B$51*$C$25,0)</f>
        <v>0</v>
      </c>
      <c r="AD39">
        <f>IF(AD11=1,Inputs!$B$51*$C$25,0)</f>
        <v>0</v>
      </c>
      <c r="AE39">
        <f>IF(AE11=1,Inputs!$B$51*$C$25,0)</f>
        <v>0</v>
      </c>
      <c r="AF39">
        <f>IF(AF11=1,Inputs!$B$51*$C$25,0)</f>
        <v>0</v>
      </c>
      <c r="AG39">
        <f>IF(AG11=1,Inputs!$B$51*$C$25,0)</f>
        <v>0</v>
      </c>
      <c r="AH39">
        <f>IF(AH11=1,Inputs!$B$51*$C$25,0)</f>
        <v>0</v>
      </c>
      <c r="AI39">
        <f>IF(AI11=1,Inputs!$B$51*$C$25,0)</f>
        <v>0</v>
      </c>
      <c r="AJ39">
        <f>IF(AJ11=1,Inputs!$B$51*$C$25,0)</f>
        <v>0</v>
      </c>
      <c r="AK39">
        <f>IF(AK11=1,Inputs!$B$51*$C$25,0)</f>
        <v>0</v>
      </c>
      <c r="AL39">
        <f>IF(AL11=1,Inputs!$B$51*$C$25,0)</f>
        <v>0</v>
      </c>
      <c r="AM39">
        <f>IF(AM11=1,Inputs!$B$51*$C$25,0)</f>
        <v>0</v>
      </c>
      <c r="AN39">
        <f>IF(AN11=1,Inputs!$B$51*$C$25,0)</f>
        <v>0</v>
      </c>
      <c r="AO39">
        <f>IF(AO11=1,Inputs!$B$51*$C$25,0)</f>
        <v>0</v>
      </c>
      <c r="AP39">
        <f>IF(AP11=1,Inputs!$B$51*$C$25,0)</f>
        <v>0</v>
      </c>
      <c r="AQ39">
        <f>IF(AQ11=1,Inputs!$B$51*$C$25,0)</f>
        <v>0</v>
      </c>
      <c r="AR39">
        <f>IF(AR11=1,Inputs!$B$51*$C$25,0)</f>
        <v>0</v>
      </c>
      <c r="AS39">
        <f>IF(AS11=1,Inputs!$B$51*$C$25,0)</f>
        <v>0</v>
      </c>
      <c r="AT39">
        <f>IF(AT11=1,Inputs!$B$51*$C$25,0)</f>
        <v>0</v>
      </c>
      <c r="AU39">
        <f>IF(AU11=1,Inputs!$B$51*$C$25,0)</f>
        <v>0</v>
      </c>
      <c r="AV39">
        <f>IF(AV11=1,Inputs!$B$51*$C$25,0)</f>
        <v>0</v>
      </c>
      <c r="AW39">
        <f>IF(AW11=1,Inputs!$B$51*$C$25,0)</f>
        <v>0</v>
      </c>
      <c r="AX39">
        <f>IF(AX11=1,Inputs!$B$51*$C$25,0)</f>
        <v>0</v>
      </c>
      <c r="AY39">
        <f>IF(AY11=1,Inputs!$B$51*$C$25,0)</f>
        <v>0</v>
      </c>
      <c r="AZ39">
        <f>IF(AZ11=1,Inputs!$B$51*$C$25,0)</f>
        <v>0</v>
      </c>
      <c r="BA39">
        <f>IF(BA11=1,Inputs!$B$51*$C$25,0)</f>
        <v>0</v>
      </c>
      <c r="BB39">
        <f>IF(BB11=1,Inputs!$B$51*$C$25,0)</f>
        <v>0</v>
      </c>
      <c r="BC39">
        <f>IF(BC11=1,Inputs!$B$51*$C$25,0)</f>
        <v>0</v>
      </c>
      <c r="BD39">
        <f>IF(BD11=1,Inputs!$B$51*$C$25,0)</f>
        <v>0</v>
      </c>
      <c r="BE39">
        <f>IF(BE11=1,Inputs!$B$51*$C$25,0)</f>
        <v>0</v>
      </c>
      <c r="BF39">
        <f>IF(BF11=1,Inputs!$B$51*$C$25,0)</f>
        <v>0</v>
      </c>
      <c r="BG39">
        <f>IF(BG11=1,Inputs!$B$51*$C$25,0)</f>
        <v>0</v>
      </c>
      <c r="BH39">
        <f>IF(BH11=1,Inputs!$B$51*$C$25,0)</f>
        <v>0</v>
      </c>
      <c r="BI39">
        <f>IF(BI11=1,Inputs!$B$51*$C$25,0)</f>
        <v>0</v>
      </c>
      <c r="BJ39">
        <f>IF(BJ11=1,Inputs!$B$51*$C$25,0)</f>
        <v>0</v>
      </c>
      <c r="BK39">
        <f>IF(BK11=1,Inputs!$B$51*$C$25,0)</f>
        <v>0</v>
      </c>
      <c r="BL39">
        <f>IF(BL11=1,Inputs!$B$51*$C$25,0)</f>
        <v>0</v>
      </c>
      <c r="BM39">
        <f>IF(BM11=1,Inputs!$B$51*$C$25,0)</f>
        <v>0</v>
      </c>
      <c r="BN39">
        <f>IF(BN11=1,Inputs!$B$51*$C$25,0)</f>
        <v>0</v>
      </c>
      <c r="BO39">
        <f>IF(BO11=1,Inputs!$B$51*$C$25,0)</f>
        <v>0</v>
      </c>
      <c r="BP39">
        <f>IF(BP11=1,Inputs!$B$51*$C$25,0)</f>
        <v>0</v>
      </c>
      <c r="BQ39">
        <f>IF(BQ11=1,Inputs!$B$51*$C$25,0)</f>
        <v>0</v>
      </c>
      <c r="BR39">
        <f>IF(BR11=1,Inputs!$B$51*$C$25,0)</f>
        <v>0</v>
      </c>
      <c r="BS39">
        <f>IF(BS11=1,Inputs!$B$51*$C$25,0)</f>
        <v>0</v>
      </c>
      <c r="BT39">
        <f>IF(BT11=1,Inputs!$B$51*$C$25,0)</f>
        <v>0</v>
      </c>
      <c r="BU39">
        <f>IF(BU11=1,Inputs!$B$51*$C$25,0)</f>
        <v>0</v>
      </c>
    </row>
    <row r="40" spans="1:73">
      <c r="A40" t="s">
        <v>45</v>
      </c>
      <c r="B40" t="s">
        <v>184</v>
      </c>
      <c r="C40">
        <f t="shared" ref="C40:C44" si="22">SUM(D40:BU40)</f>
        <v>40494.600056424308</v>
      </c>
      <c r="D40">
        <f>($C$25-D38)* Inputs!$B$52/2 *D7</f>
        <v>18672.614229549636</v>
      </c>
      <c r="E40">
        <f>($C$25-E38)* Inputs!$B$52/2 *E7</f>
        <v>13671.979447517237</v>
      </c>
      <c r="F40">
        <f>($C$25-F38)* Inputs!$B$52/2 *F7</f>
        <v>6615.2873820223012</v>
      </c>
      <c r="G40">
        <f>($C$25-G38)* Inputs!$B$52/2 *G7</f>
        <v>1534.718997335136</v>
      </c>
      <c r="H40">
        <f>($C$25-H38)* Inputs!$B$52/2 *H7</f>
        <v>0</v>
      </c>
      <c r="I40">
        <f>($C$25-I38)* Inputs!$B$52/2 *I7</f>
        <v>0</v>
      </c>
      <c r="J40">
        <f>($C$25-J38)* Inputs!$B$52/2 *J7</f>
        <v>0</v>
      </c>
      <c r="K40">
        <f>($C$25-K38)* Inputs!$B$52/2 *K7</f>
        <v>0</v>
      </c>
      <c r="L40">
        <f>($C$25-L38)* Inputs!$B$52/2 *L7</f>
        <v>0</v>
      </c>
      <c r="M40">
        <f>($C$25-M38)* Inputs!$B$52/2 *M7</f>
        <v>0</v>
      </c>
      <c r="N40">
        <f>($C$25-N38)* Inputs!$B$52/2 *N7</f>
        <v>0</v>
      </c>
      <c r="O40">
        <f>($C$25-O38)* Inputs!$B$52/2 *O7</f>
        <v>0</v>
      </c>
      <c r="P40">
        <f>($C$25-P38)* Inputs!$B$52/2 *P7</f>
        <v>0</v>
      </c>
      <c r="Q40">
        <f>($C$25-Q38)* Inputs!$B$52/2 *Q7</f>
        <v>0</v>
      </c>
      <c r="R40">
        <f>($C$25-R38)* Inputs!$B$52/2 *R7</f>
        <v>0</v>
      </c>
      <c r="S40">
        <f>($C$25-S38)* Inputs!$B$52/2 *S7</f>
        <v>0</v>
      </c>
      <c r="T40">
        <f>($C$25-T38)* Inputs!$B$52/2 *T7</f>
        <v>0</v>
      </c>
      <c r="U40">
        <f>($C$25-U38)* Inputs!$B$52/2 *U7</f>
        <v>0</v>
      </c>
      <c r="V40">
        <f>($C$25-V38)* Inputs!$B$52/2 *V7</f>
        <v>0</v>
      </c>
      <c r="W40">
        <f>($C$25-W38)* Inputs!$B$52/2 *W7</f>
        <v>0</v>
      </c>
      <c r="X40">
        <f>($C$25-X38)* Inputs!$B$52/2 *X7</f>
        <v>0</v>
      </c>
      <c r="Y40">
        <f>($C$25-Y38)* Inputs!$B$52/2 *Y7</f>
        <v>0</v>
      </c>
      <c r="Z40">
        <f>($C$25-Z38)* Inputs!$B$52/2 *Z7</f>
        <v>0</v>
      </c>
      <c r="AA40">
        <f>($C$25-AA38)* Inputs!$B$52/2 *AA7</f>
        <v>0</v>
      </c>
      <c r="AB40">
        <f>($C$25-AB38)* Inputs!$B$52/2 *AB7</f>
        <v>0</v>
      </c>
      <c r="AC40">
        <f>($C$25-AC38)* Inputs!$B$52/2 *AC7</f>
        <v>0</v>
      </c>
      <c r="AD40">
        <f>($C$25-AD38)* Inputs!$B$52/2 *AD7</f>
        <v>0</v>
      </c>
      <c r="AE40">
        <f>($C$25-AE38)* Inputs!$B$52/2 *AE7</f>
        <v>0</v>
      </c>
      <c r="AF40">
        <f>($C$25-AF38)* Inputs!$B$52/2 *AF7</f>
        <v>0</v>
      </c>
      <c r="AG40">
        <f>($C$25-AG38)* Inputs!$B$52/2 *AG7</f>
        <v>0</v>
      </c>
      <c r="AH40">
        <f>($C$25-AH38)* Inputs!$B$52/2 *AH7</f>
        <v>0</v>
      </c>
      <c r="AI40">
        <f>($C$25-AI38)* Inputs!$B$52/2 *AI7</f>
        <v>0</v>
      </c>
      <c r="AJ40">
        <f>($C$25-AJ38)* Inputs!$B$52/2 *AJ7</f>
        <v>0</v>
      </c>
      <c r="AK40">
        <f>($C$25-AK38)* Inputs!$B$52/2 *AK7</f>
        <v>0</v>
      </c>
      <c r="AL40">
        <f>($C$25-AL38)* Inputs!$B$52/2 *AL7</f>
        <v>0</v>
      </c>
      <c r="AM40">
        <f>($C$25-AM38)* Inputs!$B$52/2 *AM7</f>
        <v>0</v>
      </c>
      <c r="AN40">
        <f>($C$25-AN38)* Inputs!$B$52/2 *AN7</f>
        <v>0</v>
      </c>
      <c r="AO40">
        <f>($C$25-AO38)* Inputs!$B$52/2 *AO7</f>
        <v>0</v>
      </c>
      <c r="AP40">
        <f>($C$25-AP38)* Inputs!$B$52/2 *AP7</f>
        <v>0</v>
      </c>
      <c r="AQ40">
        <f>($C$25-AQ38)* Inputs!$B$52/2 *AQ7</f>
        <v>0</v>
      </c>
      <c r="AR40">
        <f>($C$25-AR38)* Inputs!$B$52/2 *AR7</f>
        <v>0</v>
      </c>
      <c r="AS40">
        <f>($C$25-AS38)* Inputs!$B$52/2 *AS7</f>
        <v>0</v>
      </c>
      <c r="AT40">
        <f>($C$25-AT38)* Inputs!$B$52/2 *AT7</f>
        <v>0</v>
      </c>
      <c r="AU40">
        <f>($C$25-AU38)* Inputs!$B$52/2 *AU7</f>
        <v>0</v>
      </c>
      <c r="AV40">
        <f>($C$25-AV38)* Inputs!$B$52/2 *AV7</f>
        <v>0</v>
      </c>
      <c r="AW40">
        <f>($C$25-AW38)* Inputs!$B$52/2 *AW7</f>
        <v>0</v>
      </c>
      <c r="AX40">
        <f>($C$25-AX38)* Inputs!$B$52/2 *AX7</f>
        <v>0</v>
      </c>
      <c r="AY40">
        <f>($C$25-AY38)* Inputs!$B$52/2 *AY7</f>
        <v>0</v>
      </c>
      <c r="AZ40">
        <f>($C$25-AZ38)* Inputs!$B$52/2 *AZ7</f>
        <v>0</v>
      </c>
      <c r="BA40">
        <f>($C$25-BA38)* Inputs!$B$52/2 *BA7</f>
        <v>0</v>
      </c>
      <c r="BB40">
        <f>($C$25-BB38)* Inputs!$B$52/2 *BB7</f>
        <v>0</v>
      </c>
      <c r="BC40">
        <f>($C$25-BC38)* Inputs!$B$52/2 *BC7</f>
        <v>0</v>
      </c>
      <c r="BD40">
        <f>($C$25-BD38)* Inputs!$B$52/2 *BD7</f>
        <v>0</v>
      </c>
      <c r="BE40">
        <f>($C$25-BE38)* Inputs!$B$52/2 *BE7</f>
        <v>0</v>
      </c>
      <c r="BF40">
        <f>($C$25-BF38)* Inputs!$B$52/2 *BF7</f>
        <v>0</v>
      </c>
      <c r="BG40">
        <f>($C$25-BG38)* Inputs!$B$52/2 *BG7</f>
        <v>0</v>
      </c>
      <c r="BH40">
        <f>($C$25-BH38)* Inputs!$B$52/2 *BH7</f>
        <v>0</v>
      </c>
      <c r="BI40">
        <f>($C$25-BI38)* Inputs!$B$52/2 *BI7</f>
        <v>0</v>
      </c>
      <c r="BJ40">
        <f>($C$25-BJ38)* Inputs!$B$52/2 *BJ7</f>
        <v>0</v>
      </c>
      <c r="BK40">
        <f>($C$25-BK38)* Inputs!$B$52/2 *BK7</f>
        <v>0</v>
      </c>
      <c r="BL40">
        <f>($C$25-BL38)* Inputs!$B$52/2 *BL7</f>
        <v>0</v>
      </c>
      <c r="BM40">
        <f>($C$25-BM38)* Inputs!$B$52/2 *BM7</f>
        <v>0</v>
      </c>
      <c r="BN40">
        <f>($C$25-BN38)* Inputs!$B$52/2 *BN7</f>
        <v>0</v>
      </c>
      <c r="BO40">
        <f>($C$25-BO38)* Inputs!$B$52/2 *BO7</f>
        <v>0</v>
      </c>
      <c r="BP40">
        <f>($C$25-BP38)* Inputs!$B$52/2 *BP7</f>
        <v>0</v>
      </c>
      <c r="BQ40">
        <f>($C$25-BQ38)* Inputs!$B$52/2 *BQ7</f>
        <v>0</v>
      </c>
      <c r="BR40">
        <f>($C$25-BR38)* Inputs!$B$52/2 *BR7</f>
        <v>0</v>
      </c>
      <c r="BS40">
        <f>($C$25-BS38)* Inputs!$B$52/2 *BS7</f>
        <v>0</v>
      </c>
      <c r="BT40">
        <f>($C$25-BT38)* Inputs!$B$52/2 *BT7</f>
        <v>0</v>
      </c>
      <c r="BU40">
        <f>($C$25-BU38)* Inputs!$B$52/2 *BU7</f>
        <v>0</v>
      </c>
    </row>
    <row r="41" spans="1:73">
      <c r="A41" t="s">
        <v>209</v>
      </c>
      <c r="B41" t="s">
        <v>184</v>
      </c>
      <c r="C41">
        <f t="shared" si="22"/>
        <v>722790.45499197952</v>
      </c>
      <c r="D41">
        <f>D38*Inputs!$B$44*D7</f>
        <v>26816.257870010824</v>
      </c>
      <c r="E41">
        <f>E38*Inputs!$B$44*E7</f>
        <v>116827.68394659401</v>
      </c>
      <c r="F41">
        <f>F38*Inputs!$B$44*F7</f>
        <v>243848.14112550285</v>
      </c>
      <c r="G41">
        <f>G38*Inputs!$B$44*G7</f>
        <v>335298.37204987183</v>
      </c>
      <c r="H41">
        <f>H38*Inputs!$B$44*H7</f>
        <v>0</v>
      </c>
      <c r="I41">
        <f>I38*Inputs!$B$44*I7</f>
        <v>0</v>
      </c>
      <c r="J41">
        <f>J38*Inputs!$B$44*J7</f>
        <v>0</v>
      </c>
      <c r="K41">
        <f>K38*Inputs!$B$44*K7</f>
        <v>0</v>
      </c>
      <c r="L41">
        <f>L38*Inputs!$B$44*L7</f>
        <v>0</v>
      </c>
      <c r="M41">
        <f>M38*Inputs!$B$44*M7</f>
        <v>0</v>
      </c>
      <c r="N41">
        <f>N38*Inputs!$B$44*N7</f>
        <v>0</v>
      </c>
      <c r="O41">
        <f>O38*Inputs!$B$44*O7</f>
        <v>0</v>
      </c>
      <c r="P41">
        <f>P38*Inputs!$B$44*P7</f>
        <v>0</v>
      </c>
      <c r="Q41">
        <f>Q38*Inputs!$B$44*Q7</f>
        <v>0</v>
      </c>
      <c r="R41">
        <f>R38*Inputs!$B$44*R7</f>
        <v>0</v>
      </c>
      <c r="S41">
        <f>S38*Inputs!$B$44*S7</f>
        <v>0</v>
      </c>
      <c r="T41">
        <f>T38*Inputs!$B$44*T7</f>
        <v>0</v>
      </c>
      <c r="U41">
        <f>U38*Inputs!$B$44*U7</f>
        <v>0</v>
      </c>
      <c r="V41">
        <f>V38*Inputs!$B$44*V7</f>
        <v>0</v>
      </c>
      <c r="W41">
        <f>W38*Inputs!$B$44*W7</f>
        <v>0</v>
      </c>
      <c r="X41">
        <f>X38*Inputs!$B$44*X7</f>
        <v>0</v>
      </c>
      <c r="Y41">
        <f>Y38*Inputs!$B$44*Y7</f>
        <v>0</v>
      </c>
      <c r="Z41">
        <f>Z38*Inputs!$B$44*Z7</f>
        <v>0</v>
      </c>
      <c r="AA41">
        <f>AA38*Inputs!$B$44*AA7</f>
        <v>0</v>
      </c>
      <c r="AB41">
        <f>AB38*Inputs!$B$44*AB7</f>
        <v>0</v>
      </c>
      <c r="AC41">
        <f>AC38*Inputs!$B$44*AC7</f>
        <v>0</v>
      </c>
      <c r="AD41">
        <f>AD38*Inputs!$B$44*AD7</f>
        <v>0</v>
      </c>
      <c r="AE41">
        <f>AE38*Inputs!$B$44*AE7</f>
        <v>0</v>
      </c>
      <c r="AF41">
        <f>AF38*Inputs!$B$44*AF7</f>
        <v>0</v>
      </c>
      <c r="AG41">
        <f>AG38*Inputs!$B$44*AG7</f>
        <v>0</v>
      </c>
      <c r="AH41">
        <f>AH38*Inputs!$B$44*AH7</f>
        <v>0</v>
      </c>
      <c r="AI41">
        <f>AI38*Inputs!$B$44*AI7</f>
        <v>0</v>
      </c>
      <c r="AJ41">
        <f>AJ38*Inputs!$B$44*AJ7</f>
        <v>0</v>
      </c>
      <c r="AK41">
        <f>AK38*Inputs!$B$44*AK7</f>
        <v>0</v>
      </c>
      <c r="AL41">
        <f>AL38*Inputs!$B$44*AL7</f>
        <v>0</v>
      </c>
      <c r="AM41">
        <f>AM38*Inputs!$B$44*AM7</f>
        <v>0</v>
      </c>
      <c r="AN41">
        <f>AN38*Inputs!$B$44*AN7</f>
        <v>0</v>
      </c>
      <c r="AO41">
        <f>AO38*Inputs!$B$44*AO7</f>
        <v>0</v>
      </c>
      <c r="AP41">
        <f>AP38*Inputs!$B$44*AP7</f>
        <v>0</v>
      </c>
      <c r="AQ41">
        <f>AQ38*Inputs!$B$44*AQ7</f>
        <v>0</v>
      </c>
      <c r="AR41">
        <f>AR38*Inputs!$B$44*AR7</f>
        <v>0</v>
      </c>
      <c r="AS41">
        <f>AS38*Inputs!$B$44*AS7</f>
        <v>0</v>
      </c>
      <c r="AT41">
        <f>AT38*Inputs!$B$44*AT7</f>
        <v>0</v>
      </c>
      <c r="AU41">
        <f>AU38*Inputs!$B$44*AU7</f>
        <v>0</v>
      </c>
      <c r="AV41">
        <f>AV38*Inputs!$B$44*AV7</f>
        <v>0</v>
      </c>
      <c r="AW41">
        <f>AW38*Inputs!$B$44*AW7</f>
        <v>0</v>
      </c>
      <c r="AX41">
        <f>AX38*Inputs!$B$44*AX7</f>
        <v>0</v>
      </c>
      <c r="AY41">
        <f>AY38*Inputs!$B$44*AY7</f>
        <v>0</v>
      </c>
      <c r="AZ41">
        <f>AZ38*Inputs!$B$44*AZ7</f>
        <v>0</v>
      </c>
      <c r="BA41">
        <f>BA38*Inputs!$B$44*BA7</f>
        <v>0</v>
      </c>
      <c r="BB41">
        <f>BB38*Inputs!$B$44*BB7</f>
        <v>0</v>
      </c>
      <c r="BC41">
        <f>BC38*Inputs!$B$44*BC7</f>
        <v>0</v>
      </c>
      <c r="BD41">
        <f>BD38*Inputs!$B$44*BD7</f>
        <v>0</v>
      </c>
      <c r="BE41">
        <f>BE38*Inputs!$B$44*BE7</f>
        <v>0</v>
      </c>
      <c r="BF41">
        <f>BF38*Inputs!$B$44*BF7</f>
        <v>0</v>
      </c>
      <c r="BG41">
        <f>BG38*Inputs!$B$44*BG7</f>
        <v>0</v>
      </c>
      <c r="BH41">
        <f>BH38*Inputs!$B$44*BH7</f>
        <v>0</v>
      </c>
      <c r="BI41">
        <f>BI38*Inputs!$B$44*BI7</f>
        <v>0</v>
      </c>
      <c r="BJ41">
        <f>BJ38*Inputs!$B$44*BJ7</f>
        <v>0</v>
      </c>
      <c r="BK41">
        <f>BK38*Inputs!$B$44*BK7</f>
        <v>0</v>
      </c>
      <c r="BL41">
        <f>BL38*Inputs!$B$44*BL7</f>
        <v>0</v>
      </c>
      <c r="BM41">
        <f>BM38*Inputs!$B$44*BM7</f>
        <v>0</v>
      </c>
      <c r="BN41">
        <f>BN38*Inputs!$B$44*BN7</f>
        <v>0</v>
      </c>
      <c r="BO41">
        <f>BO38*Inputs!$B$44*BO7</f>
        <v>0</v>
      </c>
      <c r="BP41">
        <f>BP38*Inputs!$B$44*BP7</f>
        <v>0</v>
      </c>
      <c r="BQ41">
        <f>BQ38*Inputs!$B$44*BQ7</f>
        <v>0</v>
      </c>
      <c r="BR41">
        <f>BR38*Inputs!$B$44*BR7</f>
        <v>0</v>
      </c>
      <c r="BS41">
        <f>BS38*Inputs!$B$44*BS7</f>
        <v>0</v>
      </c>
      <c r="BT41">
        <f>BT38*Inputs!$B$44*BT7</f>
        <v>0</v>
      </c>
      <c r="BU41">
        <f>BU38*Inputs!$B$44*BU7</f>
        <v>0</v>
      </c>
    </row>
    <row r="42" spans="1:73">
      <c r="A42" t="s">
        <v>210</v>
      </c>
      <c r="B42" t="s">
        <v>184</v>
      </c>
      <c r="C42">
        <f t="shared" si="22"/>
        <v>884259.49304903857</v>
      </c>
      <c r="D42">
        <f>SUM(D39:D41)</f>
        <v>166463.3101001952</v>
      </c>
      <c r="E42">
        <f t="shared" ref="E42:BP42" si="23">SUM(E39:E41)</f>
        <v>130499.66339411125</v>
      </c>
      <c r="F42">
        <f t="shared" si="23"/>
        <v>250463.42850752515</v>
      </c>
      <c r="G42">
        <f t="shared" si="23"/>
        <v>336833.09104720695</v>
      </c>
      <c r="H42">
        <f t="shared" si="23"/>
        <v>0</v>
      </c>
      <c r="I42">
        <f t="shared" si="23"/>
        <v>0</v>
      </c>
      <c r="J42">
        <f t="shared" si="23"/>
        <v>0</v>
      </c>
      <c r="K42">
        <f t="shared" si="23"/>
        <v>0</v>
      </c>
      <c r="L42">
        <f t="shared" si="23"/>
        <v>0</v>
      </c>
      <c r="M42">
        <f t="shared" si="23"/>
        <v>0</v>
      </c>
      <c r="N42">
        <f t="shared" si="23"/>
        <v>0</v>
      </c>
      <c r="O42">
        <f t="shared" si="23"/>
        <v>0</v>
      </c>
      <c r="P42">
        <f t="shared" si="23"/>
        <v>0</v>
      </c>
      <c r="Q42">
        <f t="shared" si="23"/>
        <v>0</v>
      </c>
      <c r="R42">
        <f t="shared" si="23"/>
        <v>0</v>
      </c>
      <c r="S42">
        <f t="shared" si="23"/>
        <v>0</v>
      </c>
      <c r="T42">
        <f t="shared" si="23"/>
        <v>0</v>
      </c>
      <c r="U42">
        <f t="shared" si="23"/>
        <v>0</v>
      </c>
      <c r="V42">
        <f t="shared" si="23"/>
        <v>0</v>
      </c>
      <c r="W42">
        <f t="shared" si="23"/>
        <v>0</v>
      </c>
      <c r="X42">
        <f t="shared" si="23"/>
        <v>0</v>
      </c>
      <c r="Y42">
        <f t="shared" si="23"/>
        <v>0</v>
      </c>
      <c r="Z42">
        <f t="shared" si="23"/>
        <v>0</v>
      </c>
      <c r="AA42">
        <f t="shared" si="23"/>
        <v>0</v>
      </c>
      <c r="AB42">
        <f t="shared" si="23"/>
        <v>0</v>
      </c>
      <c r="AC42">
        <f t="shared" si="23"/>
        <v>0</v>
      </c>
      <c r="AD42">
        <f t="shared" si="23"/>
        <v>0</v>
      </c>
      <c r="AE42">
        <f t="shared" si="23"/>
        <v>0</v>
      </c>
      <c r="AF42">
        <f t="shared" si="23"/>
        <v>0</v>
      </c>
      <c r="AG42">
        <f t="shared" si="23"/>
        <v>0</v>
      </c>
      <c r="AH42">
        <f t="shared" si="23"/>
        <v>0</v>
      </c>
      <c r="AI42">
        <f t="shared" si="23"/>
        <v>0</v>
      </c>
      <c r="AJ42">
        <f t="shared" si="23"/>
        <v>0</v>
      </c>
      <c r="AK42">
        <f t="shared" si="23"/>
        <v>0</v>
      </c>
      <c r="AL42">
        <f t="shared" si="23"/>
        <v>0</v>
      </c>
      <c r="AM42">
        <f t="shared" si="23"/>
        <v>0</v>
      </c>
      <c r="AN42">
        <f t="shared" si="23"/>
        <v>0</v>
      </c>
      <c r="AO42">
        <f t="shared" si="23"/>
        <v>0</v>
      </c>
      <c r="AP42">
        <f t="shared" si="23"/>
        <v>0</v>
      </c>
      <c r="AQ42">
        <f t="shared" si="23"/>
        <v>0</v>
      </c>
      <c r="AR42">
        <f t="shared" si="23"/>
        <v>0</v>
      </c>
      <c r="AS42">
        <f t="shared" si="23"/>
        <v>0</v>
      </c>
      <c r="AT42">
        <f t="shared" si="23"/>
        <v>0</v>
      </c>
      <c r="AU42">
        <f t="shared" si="23"/>
        <v>0</v>
      </c>
      <c r="AV42">
        <f t="shared" si="23"/>
        <v>0</v>
      </c>
      <c r="AW42">
        <f t="shared" si="23"/>
        <v>0</v>
      </c>
      <c r="AX42">
        <f t="shared" si="23"/>
        <v>0</v>
      </c>
      <c r="AY42">
        <f t="shared" si="23"/>
        <v>0</v>
      </c>
      <c r="AZ42">
        <f t="shared" si="23"/>
        <v>0</v>
      </c>
      <c r="BA42">
        <f t="shared" si="23"/>
        <v>0</v>
      </c>
      <c r="BB42">
        <f t="shared" si="23"/>
        <v>0</v>
      </c>
      <c r="BC42">
        <f t="shared" si="23"/>
        <v>0</v>
      </c>
      <c r="BD42">
        <f t="shared" si="23"/>
        <v>0</v>
      </c>
      <c r="BE42">
        <f t="shared" si="23"/>
        <v>0</v>
      </c>
      <c r="BF42">
        <f t="shared" si="23"/>
        <v>0</v>
      </c>
      <c r="BG42">
        <f t="shared" si="23"/>
        <v>0</v>
      </c>
      <c r="BH42">
        <f t="shared" si="23"/>
        <v>0</v>
      </c>
      <c r="BI42">
        <f t="shared" si="23"/>
        <v>0</v>
      </c>
      <c r="BJ42">
        <f t="shared" si="23"/>
        <v>0</v>
      </c>
      <c r="BK42">
        <f t="shared" si="23"/>
        <v>0</v>
      </c>
      <c r="BL42">
        <f t="shared" si="23"/>
        <v>0</v>
      </c>
      <c r="BM42">
        <f t="shared" si="23"/>
        <v>0</v>
      </c>
      <c r="BN42">
        <f t="shared" si="23"/>
        <v>0</v>
      </c>
      <c r="BO42">
        <f t="shared" si="23"/>
        <v>0</v>
      </c>
      <c r="BP42">
        <f t="shared" si="23"/>
        <v>0</v>
      </c>
      <c r="BQ42">
        <f t="shared" ref="BQ42:BU42" si="24">SUM(BQ39:BQ41)</f>
        <v>0</v>
      </c>
      <c r="BR42">
        <f t="shared" si="24"/>
        <v>0</v>
      </c>
      <c r="BS42">
        <f t="shared" si="24"/>
        <v>0</v>
      </c>
      <c r="BT42">
        <f t="shared" si="24"/>
        <v>0</v>
      </c>
      <c r="BU42">
        <f t="shared" si="24"/>
        <v>0</v>
      </c>
    </row>
    <row r="43" spans="1:73">
      <c r="A43" t="s">
        <v>306</v>
      </c>
      <c r="B43" t="s">
        <v>184</v>
      </c>
      <c r="C43">
        <f t="shared" si="22"/>
        <v>588265.06361315073</v>
      </c>
      <c r="D43">
        <f>Cashflow!D15</f>
        <v>0</v>
      </c>
      <c r="E43">
        <f>Cashflow!E15</f>
        <v>0</v>
      </c>
      <c r="F43">
        <f>Cashflow!F15</f>
        <v>0</v>
      </c>
      <c r="G43">
        <f>Cashflow!G15</f>
        <v>588265.06361315073</v>
      </c>
      <c r="H43">
        <f>Cashflow!H15</f>
        <v>0</v>
      </c>
      <c r="I43">
        <f>Cashflow!I15</f>
        <v>0</v>
      </c>
      <c r="J43">
        <f>Cashflow!J15</f>
        <v>0</v>
      </c>
      <c r="K43">
        <f>Cashflow!K15</f>
        <v>0</v>
      </c>
      <c r="L43">
        <f>Cashflow!L15</f>
        <v>0</v>
      </c>
      <c r="M43">
        <f>Cashflow!M15</f>
        <v>0</v>
      </c>
      <c r="N43">
        <f>Cashflow!N15</f>
        <v>0</v>
      </c>
      <c r="O43">
        <f>Cashflow!O15</f>
        <v>0</v>
      </c>
      <c r="P43">
        <f>Cashflow!P15</f>
        <v>0</v>
      </c>
      <c r="Q43">
        <f>Cashflow!Q15</f>
        <v>0</v>
      </c>
      <c r="R43">
        <f>Cashflow!R15</f>
        <v>0</v>
      </c>
      <c r="S43">
        <f>Cashflow!S15</f>
        <v>0</v>
      </c>
      <c r="T43">
        <f>Cashflow!T15</f>
        <v>0</v>
      </c>
      <c r="U43">
        <f>Cashflow!U15</f>
        <v>0</v>
      </c>
      <c r="V43">
        <f>Cashflow!V15</f>
        <v>0</v>
      </c>
      <c r="W43">
        <f>Cashflow!W15</f>
        <v>0</v>
      </c>
      <c r="X43">
        <f>Cashflow!X15</f>
        <v>0</v>
      </c>
      <c r="Y43">
        <f>Cashflow!Y15</f>
        <v>0</v>
      </c>
      <c r="Z43">
        <f>Cashflow!Z15</f>
        <v>0</v>
      </c>
      <c r="AA43">
        <f>Cashflow!AA15</f>
        <v>0</v>
      </c>
      <c r="AB43">
        <f>Cashflow!AB15</f>
        <v>0</v>
      </c>
      <c r="AC43">
        <f>Cashflow!AC15</f>
        <v>0</v>
      </c>
      <c r="AD43">
        <f>Cashflow!AD15</f>
        <v>0</v>
      </c>
      <c r="AE43">
        <f>Cashflow!AE15</f>
        <v>0</v>
      </c>
      <c r="AF43">
        <f>Cashflow!AF15</f>
        <v>0</v>
      </c>
      <c r="AG43">
        <f>Cashflow!AG15</f>
        <v>0</v>
      </c>
      <c r="AH43">
        <f>Cashflow!AH15</f>
        <v>0</v>
      </c>
      <c r="AI43">
        <f>Cashflow!AI15</f>
        <v>0</v>
      </c>
      <c r="AJ43">
        <f>Cashflow!AJ15</f>
        <v>0</v>
      </c>
      <c r="AK43">
        <f>Cashflow!AK15</f>
        <v>0</v>
      </c>
      <c r="AL43">
        <f>Cashflow!AL15</f>
        <v>0</v>
      </c>
      <c r="AM43">
        <f>Cashflow!AM15</f>
        <v>0</v>
      </c>
      <c r="AN43">
        <f>Cashflow!AN15</f>
        <v>0</v>
      </c>
      <c r="AO43">
        <f>Cashflow!AO15</f>
        <v>0</v>
      </c>
      <c r="AP43">
        <f>Cashflow!AP15</f>
        <v>0</v>
      </c>
      <c r="AQ43">
        <f>Cashflow!AQ15</f>
        <v>0</v>
      </c>
      <c r="AR43">
        <f>Cashflow!AR15</f>
        <v>0</v>
      </c>
      <c r="AS43">
        <f>Cashflow!AS15</f>
        <v>0</v>
      </c>
      <c r="AT43">
        <f>Cashflow!AT15</f>
        <v>0</v>
      </c>
      <c r="AU43">
        <f>Cashflow!AU15</f>
        <v>0</v>
      </c>
      <c r="AV43">
        <f>Cashflow!AV15</f>
        <v>0</v>
      </c>
      <c r="AW43">
        <f>Cashflow!AW15</f>
        <v>0</v>
      </c>
      <c r="AX43">
        <f>Cashflow!AX15</f>
        <v>0</v>
      </c>
      <c r="AY43">
        <f>Cashflow!AY15</f>
        <v>0</v>
      </c>
      <c r="AZ43">
        <f>Cashflow!AZ15</f>
        <v>0</v>
      </c>
      <c r="BA43">
        <f>Cashflow!BA15</f>
        <v>0</v>
      </c>
      <c r="BB43">
        <f>Cashflow!BB15</f>
        <v>0</v>
      </c>
      <c r="BC43">
        <f>Cashflow!BC15</f>
        <v>0</v>
      </c>
      <c r="BD43">
        <f>Cashflow!BD15</f>
        <v>0</v>
      </c>
      <c r="BE43">
        <f>Cashflow!BE15</f>
        <v>0</v>
      </c>
      <c r="BF43">
        <f>Cashflow!BF15</f>
        <v>0</v>
      </c>
      <c r="BG43">
        <f>Cashflow!BG15</f>
        <v>0</v>
      </c>
      <c r="BH43">
        <f>Cashflow!BH15</f>
        <v>0</v>
      </c>
      <c r="BI43">
        <f>Cashflow!BI15</f>
        <v>0</v>
      </c>
      <c r="BJ43">
        <f>Cashflow!BJ15</f>
        <v>0</v>
      </c>
      <c r="BK43">
        <f>Cashflow!BK15</f>
        <v>0</v>
      </c>
      <c r="BL43">
        <f>Cashflow!BL15</f>
        <v>0</v>
      </c>
      <c r="BM43">
        <f>Cashflow!BM15</f>
        <v>0</v>
      </c>
      <c r="BN43">
        <f>Cashflow!BN15</f>
        <v>0</v>
      </c>
      <c r="BO43">
        <f>Cashflow!BO15</f>
        <v>0</v>
      </c>
      <c r="BP43">
        <f>Cashflow!BP15</f>
        <v>0</v>
      </c>
      <c r="BQ43">
        <f>Cashflow!BQ15</f>
        <v>0</v>
      </c>
      <c r="BR43">
        <f>Cashflow!BR15</f>
        <v>0</v>
      </c>
      <c r="BS43">
        <f>Cashflow!BS15</f>
        <v>0</v>
      </c>
      <c r="BT43">
        <f>Cashflow!BT15</f>
        <v>0</v>
      </c>
      <c r="BU43">
        <f>Cashflow!BU15</f>
        <v>0</v>
      </c>
    </row>
    <row r="44" spans="1:73">
      <c r="A44" t="s">
        <v>211</v>
      </c>
      <c r="B44" t="s">
        <v>184</v>
      </c>
      <c r="C44">
        <f t="shared" si="22"/>
        <v>29129991.259178881</v>
      </c>
      <c r="D44">
        <f>D28+D42+D43</f>
        <v>4253661.5170582291</v>
      </c>
      <c r="E44">
        <f t="shared" ref="E44:BP44" si="25">E28+E42+E43</f>
        <v>9762387.1338366754</v>
      </c>
      <c r="F44">
        <f t="shared" si="25"/>
        <v>9978390.7146649472</v>
      </c>
      <c r="G44">
        <f t="shared" si="25"/>
        <v>5135551.893619027</v>
      </c>
      <c r="H44">
        <f t="shared" si="25"/>
        <v>0</v>
      </c>
      <c r="I44">
        <f t="shared" si="25"/>
        <v>0</v>
      </c>
      <c r="J44">
        <f t="shared" si="25"/>
        <v>0</v>
      </c>
      <c r="K44">
        <f t="shared" si="25"/>
        <v>0</v>
      </c>
      <c r="L44">
        <f t="shared" si="25"/>
        <v>0</v>
      </c>
      <c r="M44">
        <f t="shared" si="25"/>
        <v>0</v>
      </c>
      <c r="N44">
        <f t="shared" si="25"/>
        <v>0</v>
      </c>
      <c r="O44">
        <f t="shared" si="25"/>
        <v>0</v>
      </c>
      <c r="P44">
        <f t="shared" si="25"/>
        <v>0</v>
      </c>
      <c r="Q44">
        <f t="shared" si="25"/>
        <v>0</v>
      </c>
      <c r="R44">
        <f t="shared" si="25"/>
        <v>0</v>
      </c>
      <c r="S44">
        <f t="shared" si="25"/>
        <v>0</v>
      </c>
      <c r="T44">
        <f t="shared" si="25"/>
        <v>0</v>
      </c>
      <c r="U44">
        <f t="shared" si="25"/>
        <v>0</v>
      </c>
      <c r="V44">
        <f t="shared" si="25"/>
        <v>0</v>
      </c>
      <c r="W44">
        <f t="shared" si="25"/>
        <v>0</v>
      </c>
      <c r="X44">
        <f t="shared" si="25"/>
        <v>0</v>
      </c>
      <c r="Y44">
        <f t="shared" si="25"/>
        <v>0</v>
      </c>
      <c r="Z44">
        <f t="shared" si="25"/>
        <v>0</v>
      </c>
      <c r="AA44">
        <f t="shared" si="25"/>
        <v>0</v>
      </c>
      <c r="AB44">
        <f t="shared" si="25"/>
        <v>0</v>
      </c>
      <c r="AC44">
        <f t="shared" si="25"/>
        <v>0</v>
      </c>
      <c r="AD44">
        <f t="shared" si="25"/>
        <v>0</v>
      </c>
      <c r="AE44">
        <f t="shared" si="25"/>
        <v>0</v>
      </c>
      <c r="AF44">
        <f t="shared" si="25"/>
        <v>0</v>
      </c>
      <c r="AG44">
        <f t="shared" si="25"/>
        <v>0</v>
      </c>
      <c r="AH44">
        <f t="shared" si="25"/>
        <v>0</v>
      </c>
      <c r="AI44">
        <f t="shared" si="25"/>
        <v>0</v>
      </c>
      <c r="AJ44">
        <f t="shared" si="25"/>
        <v>0</v>
      </c>
      <c r="AK44">
        <f t="shared" si="25"/>
        <v>0</v>
      </c>
      <c r="AL44">
        <f t="shared" si="25"/>
        <v>0</v>
      </c>
      <c r="AM44">
        <f t="shared" si="25"/>
        <v>0</v>
      </c>
      <c r="AN44">
        <f t="shared" si="25"/>
        <v>0</v>
      </c>
      <c r="AO44">
        <f t="shared" si="25"/>
        <v>0</v>
      </c>
      <c r="AP44">
        <f t="shared" si="25"/>
        <v>0</v>
      </c>
      <c r="AQ44">
        <f t="shared" si="25"/>
        <v>0</v>
      </c>
      <c r="AR44">
        <f t="shared" si="25"/>
        <v>0</v>
      </c>
      <c r="AS44">
        <f t="shared" si="25"/>
        <v>0</v>
      </c>
      <c r="AT44">
        <f t="shared" si="25"/>
        <v>0</v>
      </c>
      <c r="AU44">
        <f t="shared" si="25"/>
        <v>0</v>
      </c>
      <c r="AV44">
        <f t="shared" si="25"/>
        <v>0</v>
      </c>
      <c r="AW44">
        <f t="shared" si="25"/>
        <v>0</v>
      </c>
      <c r="AX44">
        <f t="shared" si="25"/>
        <v>0</v>
      </c>
      <c r="AY44">
        <f t="shared" si="25"/>
        <v>0</v>
      </c>
      <c r="AZ44">
        <f t="shared" si="25"/>
        <v>0</v>
      </c>
      <c r="BA44">
        <f t="shared" si="25"/>
        <v>0</v>
      </c>
      <c r="BB44">
        <f t="shared" si="25"/>
        <v>0</v>
      </c>
      <c r="BC44">
        <f t="shared" si="25"/>
        <v>0</v>
      </c>
      <c r="BD44">
        <f t="shared" si="25"/>
        <v>0</v>
      </c>
      <c r="BE44">
        <f t="shared" si="25"/>
        <v>0</v>
      </c>
      <c r="BF44">
        <f t="shared" si="25"/>
        <v>0</v>
      </c>
      <c r="BG44">
        <f t="shared" si="25"/>
        <v>0</v>
      </c>
      <c r="BH44">
        <f t="shared" si="25"/>
        <v>0</v>
      </c>
      <c r="BI44">
        <f t="shared" si="25"/>
        <v>0</v>
      </c>
      <c r="BJ44">
        <f t="shared" si="25"/>
        <v>0</v>
      </c>
      <c r="BK44">
        <f t="shared" si="25"/>
        <v>0</v>
      </c>
      <c r="BL44">
        <f t="shared" si="25"/>
        <v>0</v>
      </c>
      <c r="BM44">
        <f t="shared" si="25"/>
        <v>0</v>
      </c>
      <c r="BN44">
        <f t="shared" si="25"/>
        <v>0</v>
      </c>
      <c r="BO44">
        <f t="shared" si="25"/>
        <v>0</v>
      </c>
      <c r="BP44">
        <f t="shared" si="25"/>
        <v>0</v>
      </c>
      <c r="BQ44">
        <f t="shared" ref="BQ44:BU44" si="26">BQ28+BQ42+BQ43</f>
        <v>0</v>
      </c>
      <c r="BR44">
        <f t="shared" si="26"/>
        <v>0</v>
      </c>
      <c r="BS44">
        <f t="shared" si="26"/>
        <v>0</v>
      </c>
      <c r="BT44">
        <f t="shared" si="26"/>
        <v>0</v>
      </c>
      <c r="BU44">
        <f t="shared" si="26"/>
        <v>0</v>
      </c>
    </row>
    <row r="45" spans="1:73" ht="15.75">
      <c r="A45" s="70" t="s">
        <v>215</v>
      </c>
      <c r="B45" s="70"/>
      <c r="C45" s="70"/>
    </row>
    <row r="46" spans="1:73">
      <c r="A46" t="s">
        <v>180</v>
      </c>
      <c r="B46" t="s">
        <v>184</v>
      </c>
      <c r="C46">
        <f>C14</f>
        <v>35722429.235892341</v>
      </c>
    </row>
    <row r="47" spans="1:73">
      <c r="A47" t="s">
        <v>102</v>
      </c>
      <c r="B47" t="s">
        <v>184</v>
      </c>
      <c r="C47">
        <f>C15</f>
        <v>0</v>
      </c>
    </row>
    <row r="48" spans="1:73">
      <c r="A48" t="s">
        <v>103</v>
      </c>
      <c r="B48" t="s">
        <v>184</v>
      </c>
      <c r="C48">
        <f>C16</f>
        <v>0</v>
      </c>
    </row>
    <row r="49" spans="1:4">
      <c r="A49" t="s">
        <v>44</v>
      </c>
      <c r="B49" t="s">
        <v>184</v>
      </c>
      <c r="C49">
        <f>C39</f>
        <v>120974.43800063475</v>
      </c>
    </row>
    <row r="50" spans="1:4">
      <c r="A50" t="s">
        <v>212</v>
      </c>
      <c r="B50" t="s">
        <v>184</v>
      </c>
      <c r="C50">
        <f>C40</f>
        <v>40494.600056424308</v>
      </c>
    </row>
    <row r="51" spans="1:4">
      <c r="A51" t="s">
        <v>209</v>
      </c>
      <c r="B51" t="s">
        <v>184</v>
      </c>
      <c r="C51">
        <f>C41</f>
        <v>722790.45499197952</v>
      </c>
    </row>
    <row r="52" spans="1:4">
      <c r="A52" t="s">
        <v>213</v>
      </c>
      <c r="B52" t="s">
        <v>184</v>
      </c>
      <c r="C52" s="51">
        <f>Cashflow!C15</f>
        <v>588265.06361315073</v>
      </c>
    </row>
    <row r="53" spans="1:4">
      <c r="A53" s="12" t="s">
        <v>214</v>
      </c>
      <c r="B53" s="12" t="s">
        <v>184</v>
      </c>
      <c r="C53" s="12">
        <f>SUM(C46:C52)</f>
        <v>37194953.792554535</v>
      </c>
    </row>
    <row r="54" spans="1:4" ht="15.75">
      <c r="A54" s="70" t="s">
        <v>216</v>
      </c>
      <c r="B54" s="70"/>
      <c r="C54" s="70"/>
    </row>
    <row r="55" spans="1:4">
      <c r="A55" t="s">
        <v>217</v>
      </c>
      <c r="B55" s="49" t="s">
        <v>184</v>
      </c>
      <c r="C55">
        <f>C27</f>
        <v>8064962.5333756506</v>
      </c>
    </row>
    <row r="56" spans="1:4">
      <c r="A56" t="s">
        <v>218</v>
      </c>
      <c r="B56" s="49" t="s">
        <v>184</v>
      </c>
      <c r="C56">
        <f>C44</f>
        <v>29129991.259178881</v>
      </c>
    </row>
    <row r="57" spans="1:4">
      <c r="A57" s="12" t="s">
        <v>219</v>
      </c>
      <c r="B57" s="49" t="s">
        <v>184</v>
      </c>
      <c r="C57" s="12">
        <f>SUM(C55:C56)</f>
        <v>37194953.792554528</v>
      </c>
    </row>
    <row r="59" spans="1:4">
      <c r="A59" t="s">
        <v>220</v>
      </c>
      <c r="B59" t="s">
        <v>20</v>
      </c>
      <c r="C59" s="46">
        <f>C55/C57</f>
        <v>0.21682948118059092</v>
      </c>
    </row>
    <row r="60" spans="1:4">
      <c r="A60" t="s">
        <v>221</v>
      </c>
      <c r="B60" t="s">
        <v>20</v>
      </c>
      <c r="C60" s="46">
        <f>C56/C57</f>
        <v>0.78317051881940913</v>
      </c>
    </row>
    <row r="61" spans="1:4" ht="15.75">
      <c r="A61" s="70" t="s">
        <v>222</v>
      </c>
      <c r="B61" s="70"/>
      <c r="C61" s="70"/>
    </row>
    <row r="62" spans="1:4">
      <c r="A62" s="59" t="s">
        <v>223</v>
      </c>
      <c r="B62" s="59" t="s">
        <v>165</v>
      </c>
      <c r="C62" s="59">
        <f>C57-C53</f>
        <v>0</v>
      </c>
      <c r="D62" s="37" t="s">
        <v>167</v>
      </c>
    </row>
  </sheetData>
  <mergeCells count="9">
    <mergeCell ref="A61:C61"/>
    <mergeCell ref="A37:C37"/>
    <mergeCell ref="A45:C45"/>
    <mergeCell ref="A54:C54"/>
    <mergeCell ref="A4:C4"/>
    <mergeCell ref="A9:C9"/>
    <mergeCell ref="A19:D19"/>
    <mergeCell ref="A24:C24"/>
    <mergeCell ref="A34:C34"/>
  </mergeCells>
  <pageMargins left="0.75" right="0.75" top="1" bottom="1" header="0.5" footer="0.5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W30"/>
  <sheetViews>
    <sheetView zoomScale="85" zoomScaleNormal="85" workbookViewId="0">
      <pane xSplit="3" topLeftCell="D1" activePane="topRight" state="frozen"/>
      <selection pane="topRight" activeCell="J44" sqref="J44"/>
    </sheetView>
  </sheetViews>
  <sheetFormatPr baseColWidth="10" defaultColWidth="9.140625" defaultRowHeight="15"/>
  <cols>
    <col min="1" max="1" width="48.5703125" bestFit="1" customWidth="1"/>
    <col min="2" max="2" width="24.28515625" bestFit="1" customWidth="1"/>
    <col min="3" max="3" width="12.42578125" bestFit="1" customWidth="1"/>
    <col min="4" max="4" width="11.28515625" bestFit="1" customWidth="1"/>
    <col min="5" max="5" width="8.85546875" bestFit="1" customWidth="1"/>
    <col min="6" max="6" width="9.85546875" bestFit="1" customWidth="1"/>
    <col min="7" max="7" width="8.85546875" bestFit="1" customWidth="1"/>
    <col min="8" max="8" width="10.7109375" bestFit="1" customWidth="1"/>
    <col min="9" max="9" width="9.7109375" bestFit="1" customWidth="1"/>
    <col min="10" max="10" width="10.7109375" bestFit="1" customWidth="1"/>
    <col min="11" max="11" width="9.7109375" bestFit="1" customWidth="1"/>
    <col min="12" max="12" width="10.7109375" bestFit="1" customWidth="1"/>
    <col min="13" max="13" width="9.7109375" bestFit="1" customWidth="1"/>
    <col min="14" max="14" width="10.7109375" bestFit="1" customWidth="1"/>
    <col min="15" max="15" width="9.7109375" bestFit="1" customWidth="1"/>
    <col min="16" max="16" width="10.7109375" bestFit="1" customWidth="1"/>
    <col min="17" max="17" width="9.7109375" bestFit="1" customWidth="1"/>
    <col min="18" max="18" width="10.7109375" bestFit="1" customWidth="1"/>
    <col min="19" max="19" width="9.7109375" bestFit="1" customWidth="1"/>
    <col min="20" max="20" width="10.7109375" bestFit="1" customWidth="1"/>
    <col min="21" max="21" width="9.7109375" bestFit="1" customWidth="1"/>
    <col min="22" max="22" width="10.7109375" bestFit="1" customWidth="1"/>
    <col min="23" max="23" width="9.7109375" bestFit="1" customWidth="1"/>
    <col min="24" max="24" width="10.7109375" bestFit="1" customWidth="1"/>
    <col min="25" max="25" width="9.7109375" bestFit="1" customWidth="1"/>
    <col min="26" max="26" width="10.7109375" bestFit="1" customWidth="1"/>
    <col min="27" max="27" width="9.7109375" bestFit="1" customWidth="1"/>
    <col min="28" max="28" width="10.7109375" bestFit="1" customWidth="1"/>
    <col min="29" max="29" width="9.7109375" bestFit="1" customWidth="1"/>
    <col min="30" max="30" width="10.7109375" bestFit="1" customWidth="1"/>
    <col min="31" max="31" width="9.7109375" bestFit="1" customWidth="1"/>
    <col min="32" max="32" width="10.7109375" bestFit="1" customWidth="1"/>
    <col min="33" max="33" width="9.7109375" bestFit="1" customWidth="1"/>
    <col min="34" max="34" width="10.7109375" bestFit="1" customWidth="1"/>
    <col min="35" max="35" width="9.7109375" bestFit="1" customWidth="1"/>
    <col min="36" max="36" width="10.7109375" bestFit="1" customWidth="1"/>
    <col min="37" max="37" width="9.7109375" bestFit="1" customWidth="1"/>
    <col min="38" max="38" width="10.7109375" bestFit="1" customWidth="1"/>
    <col min="39" max="39" width="9.7109375" bestFit="1" customWidth="1"/>
    <col min="40" max="40" width="10.7109375" bestFit="1" customWidth="1"/>
    <col min="41" max="41" width="9.7109375" bestFit="1" customWidth="1"/>
    <col min="42" max="42" width="10.7109375" bestFit="1" customWidth="1"/>
    <col min="43" max="43" width="9.7109375" bestFit="1" customWidth="1"/>
    <col min="44" max="44" width="10.7109375" bestFit="1" customWidth="1"/>
    <col min="45" max="45" width="9.7109375" bestFit="1" customWidth="1"/>
    <col min="46" max="46" width="10.7109375" bestFit="1" customWidth="1"/>
    <col min="47" max="47" width="9.7109375" bestFit="1" customWidth="1"/>
    <col min="48" max="48" width="10.7109375" bestFit="1" customWidth="1"/>
    <col min="49" max="49" width="9.7109375" bestFit="1" customWidth="1"/>
    <col min="50" max="50" width="10.7109375" bestFit="1" customWidth="1"/>
    <col min="51" max="51" width="9.7109375" bestFit="1" customWidth="1"/>
    <col min="52" max="52" width="10.7109375" bestFit="1" customWidth="1"/>
    <col min="53" max="53" width="9.7109375" bestFit="1" customWidth="1"/>
    <col min="54" max="54" width="10.7109375" bestFit="1" customWidth="1"/>
    <col min="55" max="55" width="9.7109375" bestFit="1" customWidth="1"/>
    <col min="56" max="56" width="10.7109375" bestFit="1" customWidth="1"/>
    <col min="57" max="57" width="9.7109375" bestFit="1" customWidth="1"/>
    <col min="58" max="58" width="10.7109375" bestFit="1" customWidth="1"/>
    <col min="59" max="59" width="9.7109375" bestFit="1" customWidth="1"/>
    <col min="60" max="60" width="10.7109375" bestFit="1" customWidth="1"/>
    <col min="61" max="61" width="9.7109375" bestFit="1" customWidth="1"/>
    <col min="62" max="62" width="10.7109375" bestFit="1" customWidth="1"/>
    <col min="63" max="63" width="9.7109375" bestFit="1" customWidth="1"/>
    <col min="64" max="64" width="10.7109375" bestFit="1" customWidth="1"/>
    <col min="65" max="65" width="9.7109375" bestFit="1" customWidth="1"/>
    <col min="66" max="66" width="10.7109375" bestFit="1" customWidth="1"/>
    <col min="67" max="67" width="9.7109375" bestFit="1" customWidth="1"/>
    <col min="68" max="68" width="9.85546875" bestFit="1" customWidth="1"/>
    <col min="69" max="69" width="8.85546875" bestFit="1" customWidth="1"/>
    <col min="70" max="70" width="9.85546875" bestFit="1" customWidth="1"/>
    <col min="71" max="71" width="8.85546875" bestFit="1" customWidth="1"/>
    <col min="72" max="72" width="9.85546875" bestFit="1" customWidth="1"/>
    <col min="73" max="73" width="8.85546875" bestFit="1" customWidth="1"/>
  </cols>
  <sheetData>
    <row r="1" spans="1:75" ht="18.75">
      <c r="A1" s="1" t="s">
        <v>52</v>
      </c>
    </row>
    <row r="2" spans="1:75">
      <c r="A2" t="s">
        <v>53</v>
      </c>
    </row>
    <row r="4" spans="1:75" ht="15.75">
      <c r="A4" s="70" t="s">
        <v>240</v>
      </c>
      <c r="B4" s="70"/>
      <c r="C4" s="70"/>
    </row>
    <row r="5" spans="1:75">
      <c r="A5" t="s">
        <v>145</v>
      </c>
      <c r="B5" t="s">
        <v>13</v>
      </c>
      <c r="C5" t="s">
        <v>187</v>
      </c>
    </row>
    <row r="6" spans="1:75">
      <c r="A6" s="6" t="str">
        <f>Timeline!A16</f>
        <v>Period start date</v>
      </c>
      <c r="B6" s="6" t="str">
        <f>Timeline!B16</f>
        <v>date</v>
      </c>
      <c r="C6" s="6" t="str">
        <f>Timeline!C16</f>
        <v>-</v>
      </c>
      <c r="D6" s="6">
        <f>Timeline!D16</f>
        <v>46661</v>
      </c>
      <c r="E6" s="6">
        <f>Timeline!E16</f>
        <v>46844</v>
      </c>
      <c r="F6" s="6">
        <f>Timeline!F16</f>
        <v>47027</v>
      </c>
      <c r="G6" s="6">
        <f>Timeline!G16</f>
        <v>47209</v>
      </c>
      <c r="H6" s="6">
        <f>Timeline!H16</f>
        <v>47392</v>
      </c>
      <c r="I6" s="6">
        <f>Timeline!I16</f>
        <v>47574</v>
      </c>
      <c r="J6" s="6">
        <f>Timeline!J16</f>
        <v>47757</v>
      </c>
      <c r="K6" s="6">
        <f>Timeline!K16</f>
        <v>47939</v>
      </c>
      <c r="L6" s="6">
        <f>Timeline!L16</f>
        <v>48122</v>
      </c>
      <c r="M6" s="6">
        <f>Timeline!M16</f>
        <v>48305</v>
      </c>
      <c r="N6" s="6">
        <f>Timeline!N16</f>
        <v>48488</v>
      </c>
      <c r="O6" s="6">
        <f>Timeline!O16</f>
        <v>48670</v>
      </c>
      <c r="P6" s="6">
        <f>Timeline!P16</f>
        <v>48853</v>
      </c>
      <c r="Q6" s="6">
        <f>Timeline!Q16</f>
        <v>49035</v>
      </c>
      <c r="R6" s="6">
        <f>Timeline!R16</f>
        <v>49218</v>
      </c>
      <c r="S6" s="6">
        <f>Timeline!S16</f>
        <v>49400</v>
      </c>
      <c r="T6" s="6">
        <f>Timeline!T16</f>
        <v>49583</v>
      </c>
      <c r="U6" s="6">
        <f>Timeline!U16</f>
        <v>49766</v>
      </c>
      <c r="V6" s="6">
        <f>Timeline!V16</f>
        <v>49949</v>
      </c>
      <c r="W6" s="6">
        <f>Timeline!W16</f>
        <v>50131</v>
      </c>
      <c r="X6" s="6">
        <f>Timeline!X16</f>
        <v>50314</v>
      </c>
      <c r="Y6" s="6">
        <f>Timeline!Y16</f>
        <v>50496</v>
      </c>
      <c r="Z6" s="6">
        <f>Timeline!Z16</f>
        <v>50679</v>
      </c>
      <c r="AA6" s="6">
        <f>Timeline!AA16</f>
        <v>50861</v>
      </c>
      <c r="AB6" s="6">
        <f>Timeline!AB16</f>
        <v>51044</v>
      </c>
      <c r="AC6" s="6">
        <f>Timeline!AC16</f>
        <v>51227</v>
      </c>
      <c r="AD6" s="6">
        <f>Timeline!AD16</f>
        <v>51410</v>
      </c>
      <c r="AE6" s="6">
        <f>Timeline!AE16</f>
        <v>51592</v>
      </c>
      <c r="AF6" s="6">
        <f>Timeline!AF16</f>
        <v>51775</v>
      </c>
      <c r="AG6" s="6">
        <f>Timeline!AG16</f>
        <v>51957</v>
      </c>
      <c r="AH6" s="6">
        <f>Timeline!AH16</f>
        <v>52140</v>
      </c>
      <c r="AI6" s="6">
        <f>Timeline!AI16</f>
        <v>52322</v>
      </c>
      <c r="AJ6" s="6">
        <f>Timeline!AJ16</f>
        <v>52505</v>
      </c>
      <c r="AK6" s="6">
        <f>Timeline!AK16</f>
        <v>52688</v>
      </c>
      <c r="AL6" s="6">
        <f>Timeline!AL16</f>
        <v>52871</v>
      </c>
      <c r="AM6" s="6">
        <f>Timeline!AM16</f>
        <v>53053</v>
      </c>
      <c r="AN6" s="6">
        <f>Timeline!AN16</f>
        <v>53236</v>
      </c>
      <c r="AO6" s="6">
        <f>Timeline!AO16</f>
        <v>53418</v>
      </c>
      <c r="AP6" s="6">
        <f>Timeline!AP16</f>
        <v>53601</v>
      </c>
      <c r="AQ6" s="6">
        <f>Timeline!AQ16</f>
        <v>53783</v>
      </c>
      <c r="AR6" s="6">
        <f>Timeline!AR16</f>
        <v>53966</v>
      </c>
      <c r="AS6" s="6">
        <f>Timeline!AS16</f>
        <v>54149</v>
      </c>
      <c r="AT6" s="6">
        <f>Timeline!AT16</f>
        <v>54332</v>
      </c>
      <c r="AU6" s="6">
        <f>Timeline!AU16</f>
        <v>54514</v>
      </c>
      <c r="AV6" s="6">
        <f>Timeline!AV16</f>
        <v>54697</v>
      </c>
      <c r="AW6" s="6">
        <f>Timeline!AW16</f>
        <v>54879</v>
      </c>
      <c r="AX6" s="6">
        <f>Timeline!AX16</f>
        <v>55062</v>
      </c>
      <c r="AY6" s="6">
        <f>Timeline!AY16</f>
        <v>55244</v>
      </c>
      <c r="AZ6" s="6">
        <f>Timeline!AZ16</f>
        <v>55427</v>
      </c>
      <c r="BA6" s="6">
        <f>Timeline!BA16</f>
        <v>55610</v>
      </c>
      <c r="BB6" s="6">
        <f>Timeline!BB16</f>
        <v>55793</v>
      </c>
      <c r="BC6" s="6">
        <f>Timeline!BC16</f>
        <v>55975</v>
      </c>
      <c r="BD6" s="6">
        <f>Timeline!BD16</f>
        <v>56158</v>
      </c>
      <c r="BE6" s="6">
        <f>Timeline!BE16</f>
        <v>56340</v>
      </c>
      <c r="BF6" s="6">
        <f>Timeline!BF16</f>
        <v>56523</v>
      </c>
      <c r="BG6" s="6">
        <f>Timeline!BG16</f>
        <v>56705</v>
      </c>
      <c r="BH6" s="6">
        <f>Timeline!BH16</f>
        <v>56888</v>
      </c>
      <c r="BI6" s="6">
        <f>Timeline!BI16</f>
        <v>57071</v>
      </c>
      <c r="BJ6" s="6">
        <f>Timeline!BJ16</f>
        <v>57254</v>
      </c>
      <c r="BK6" s="6">
        <f>Timeline!BK16</f>
        <v>57436</v>
      </c>
      <c r="BL6" s="6">
        <f>Timeline!BL16</f>
        <v>57619</v>
      </c>
      <c r="BM6" s="6">
        <f>Timeline!BM16</f>
        <v>57801</v>
      </c>
      <c r="BN6" s="6">
        <f>Timeline!BN16</f>
        <v>57984</v>
      </c>
      <c r="BO6" s="6">
        <f>Timeline!BO16</f>
        <v>58166</v>
      </c>
      <c r="BP6" s="6">
        <f>Timeline!BP16</f>
        <v>58349</v>
      </c>
      <c r="BQ6" s="6">
        <f>Timeline!BQ16</f>
        <v>58532</v>
      </c>
      <c r="BR6" s="6">
        <f>Timeline!BR16</f>
        <v>58715</v>
      </c>
      <c r="BS6" s="6">
        <f>Timeline!BS16</f>
        <v>58897</v>
      </c>
      <c r="BT6" s="6">
        <f>Timeline!BT16</f>
        <v>59080</v>
      </c>
      <c r="BU6" s="6">
        <f>Timeline!BU16</f>
        <v>59262</v>
      </c>
      <c r="BV6" s="6"/>
      <c r="BW6" s="6"/>
    </row>
    <row r="7" spans="1:75">
      <c r="A7" t="str">
        <f>Timeline!A19</f>
        <v>Semester</v>
      </c>
      <c r="B7" t="str">
        <f>Timeline!B19</f>
        <v>1/2</v>
      </c>
      <c r="C7" t="str">
        <f>Timeline!C19</f>
        <v>-</v>
      </c>
      <c r="D7">
        <f>Timeline!D19</f>
        <v>1</v>
      </c>
      <c r="E7">
        <f>Timeline!E19</f>
        <v>2</v>
      </c>
      <c r="F7">
        <f>Timeline!F19</f>
        <v>1</v>
      </c>
      <c r="G7">
        <f>Timeline!G19</f>
        <v>2</v>
      </c>
      <c r="H7">
        <f>Timeline!H19</f>
        <v>1</v>
      </c>
      <c r="I7">
        <f>Timeline!I19</f>
        <v>2</v>
      </c>
      <c r="J7">
        <f>Timeline!J19</f>
        <v>1</v>
      </c>
      <c r="K7">
        <f>Timeline!K19</f>
        <v>2</v>
      </c>
      <c r="L7">
        <f>Timeline!L19</f>
        <v>1</v>
      </c>
      <c r="M7">
        <f>Timeline!M19</f>
        <v>2</v>
      </c>
      <c r="N7">
        <f>Timeline!N19</f>
        <v>1</v>
      </c>
      <c r="O7">
        <f>Timeline!O19</f>
        <v>2</v>
      </c>
      <c r="P7">
        <f>Timeline!P19</f>
        <v>1</v>
      </c>
      <c r="Q7">
        <f>Timeline!Q19</f>
        <v>2</v>
      </c>
      <c r="R7">
        <f>Timeline!R19</f>
        <v>1</v>
      </c>
      <c r="S7">
        <f>Timeline!S19</f>
        <v>2</v>
      </c>
      <c r="T7">
        <f>Timeline!T19</f>
        <v>1</v>
      </c>
      <c r="U7">
        <f>Timeline!U19</f>
        <v>2</v>
      </c>
      <c r="V7">
        <f>Timeline!V19</f>
        <v>1</v>
      </c>
      <c r="W7">
        <f>Timeline!W19</f>
        <v>2</v>
      </c>
      <c r="X7">
        <f>Timeline!X19</f>
        <v>1</v>
      </c>
      <c r="Y7">
        <f>Timeline!Y19</f>
        <v>2</v>
      </c>
      <c r="Z7">
        <f>Timeline!Z19</f>
        <v>1</v>
      </c>
      <c r="AA7">
        <f>Timeline!AA19</f>
        <v>2</v>
      </c>
      <c r="AB7">
        <f>Timeline!AB19</f>
        <v>1</v>
      </c>
      <c r="AC7">
        <f>Timeline!AC19</f>
        <v>2</v>
      </c>
      <c r="AD7">
        <f>Timeline!AD19</f>
        <v>1</v>
      </c>
      <c r="AE7">
        <f>Timeline!AE19</f>
        <v>2</v>
      </c>
      <c r="AF7">
        <f>Timeline!AF19</f>
        <v>1</v>
      </c>
      <c r="AG7">
        <f>Timeline!AG19</f>
        <v>2</v>
      </c>
      <c r="AH7">
        <f>Timeline!AH19</f>
        <v>1</v>
      </c>
      <c r="AI7">
        <f>Timeline!AI19</f>
        <v>2</v>
      </c>
      <c r="AJ7">
        <f>Timeline!AJ19</f>
        <v>1</v>
      </c>
      <c r="AK7">
        <f>Timeline!AK19</f>
        <v>2</v>
      </c>
      <c r="AL7">
        <f>Timeline!AL19</f>
        <v>1</v>
      </c>
      <c r="AM7">
        <f>Timeline!AM19</f>
        <v>2</v>
      </c>
      <c r="AN7">
        <f>Timeline!AN19</f>
        <v>1</v>
      </c>
      <c r="AO7">
        <f>Timeline!AO19</f>
        <v>2</v>
      </c>
      <c r="AP7">
        <f>Timeline!AP19</f>
        <v>1</v>
      </c>
      <c r="AQ7">
        <f>Timeline!AQ19</f>
        <v>2</v>
      </c>
      <c r="AR7">
        <f>Timeline!AR19</f>
        <v>1</v>
      </c>
      <c r="AS7">
        <f>Timeline!AS19</f>
        <v>2</v>
      </c>
      <c r="AT7">
        <f>Timeline!AT19</f>
        <v>1</v>
      </c>
      <c r="AU7">
        <f>Timeline!AU19</f>
        <v>2</v>
      </c>
      <c r="AV7">
        <f>Timeline!AV19</f>
        <v>1</v>
      </c>
      <c r="AW7">
        <f>Timeline!AW19</f>
        <v>2</v>
      </c>
      <c r="AX7">
        <f>Timeline!AX19</f>
        <v>1</v>
      </c>
      <c r="AY7">
        <f>Timeline!AY19</f>
        <v>2</v>
      </c>
      <c r="AZ7">
        <f>Timeline!AZ19</f>
        <v>1</v>
      </c>
      <c r="BA7">
        <f>Timeline!BA19</f>
        <v>2</v>
      </c>
      <c r="BB7">
        <f>Timeline!BB19</f>
        <v>1</v>
      </c>
      <c r="BC7">
        <f>Timeline!BC19</f>
        <v>2</v>
      </c>
      <c r="BD7">
        <f>Timeline!BD19</f>
        <v>1</v>
      </c>
      <c r="BE7">
        <f>Timeline!BE19</f>
        <v>2</v>
      </c>
      <c r="BF7">
        <f>Timeline!BF19</f>
        <v>1</v>
      </c>
      <c r="BG7">
        <f>Timeline!BG19</f>
        <v>2</v>
      </c>
      <c r="BH7">
        <f>Timeline!BH19</f>
        <v>1</v>
      </c>
      <c r="BI7">
        <f>Timeline!BI19</f>
        <v>2</v>
      </c>
      <c r="BJ7">
        <f>Timeline!BJ19</f>
        <v>1</v>
      </c>
      <c r="BK7">
        <f>Timeline!BK19</f>
        <v>2</v>
      </c>
      <c r="BL7">
        <f>Timeline!BL19</f>
        <v>1</v>
      </c>
      <c r="BM7">
        <f>Timeline!BM19</f>
        <v>2</v>
      </c>
      <c r="BN7">
        <f>Timeline!BN19</f>
        <v>1</v>
      </c>
      <c r="BO7">
        <f>Timeline!BO19</f>
        <v>2</v>
      </c>
      <c r="BP7">
        <f>Timeline!BP19</f>
        <v>1</v>
      </c>
      <c r="BQ7">
        <f>Timeline!BQ19</f>
        <v>2</v>
      </c>
      <c r="BR7">
        <f>Timeline!BR19</f>
        <v>1</v>
      </c>
      <c r="BS7">
        <f>Timeline!BS19</f>
        <v>2</v>
      </c>
      <c r="BT7">
        <f>Timeline!BT19</f>
        <v>1</v>
      </c>
      <c r="BU7">
        <f>Timeline!BU19</f>
        <v>2</v>
      </c>
    </row>
    <row r="8" spans="1:75">
      <c r="A8" t="str">
        <f>Timeline!A21</f>
        <v>Operations flag</v>
      </c>
      <c r="B8" t="str">
        <f>Timeline!B21</f>
        <v>flag</v>
      </c>
      <c r="C8">
        <f>Timeline!C21</f>
        <v>60</v>
      </c>
      <c r="D8">
        <f>Timeline!D21</f>
        <v>0</v>
      </c>
      <c r="E8">
        <f>Timeline!E21</f>
        <v>0</v>
      </c>
      <c r="F8">
        <f>Timeline!F21</f>
        <v>0</v>
      </c>
      <c r="G8">
        <f>Timeline!G21</f>
        <v>0</v>
      </c>
      <c r="H8">
        <f>Timeline!H21</f>
        <v>1</v>
      </c>
      <c r="I8">
        <f>Timeline!I21</f>
        <v>1</v>
      </c>
      <c r="J8">
        <f>Timeline!J21</f>
        <v>1</v>
      </c>
      <c r="K8">
        <f>Timeline!K21</f>
        <v>1</v>
      </c>
      <c r="L8">
        <f>Timeline!L21</f>
        <v>1</v>
      </c>
      <c r="M8">
        <f>Timeline!M21</f>
        <v>1</v>
      </c>
      <c r="N8">
        <f>Timeline!N21</f>
        <v>1</v>
      </c>
      <c r="O8">
        <f>Timeline!O21</f>
        <v>1</v>
      </c>
      <c r="P8">
        <f>Timeline!P21</f>
        <v>1</v>
      </c>
      <c r="Q8">
        <f>Timeline!Q21</f>
        <v>1</v>
      </c>
      <c r="R8">
        <f>Timeline!R21</f>
        <v>1</v>
      </c>
      <c r="S8">
        <f>Timeline!S21</f>
        <v>1</v>
      </c>
      <c r="T8">
        <f>Timeline!T21</f>
        <v>1</v>
      </c>
      <c r="U8">
        <f>Timeline!U21</f>
        <v>1</v>
      </c>
      <c r="V8">
        <f>Timeline!V21</f>
        <v>1</v>
      </c>
      <c r="W8">
        <f>Timeline!W21</f>
        <v>1</v>
      </c>
      <c r="X8">
        <f>Timeline!X21</f>
        <v>1</v>
      </c>
      <c r="Y8">
        <f>Timeline!Y21</f>
        <v>1</v>
      </c>
      <c r="Z8">
        <f>Timeline!Z21</f>
        <v>1</v>
      </c>
      <c r="AA8">
        <f>Timeline!AA21</f>
        <v>1</v>
      </c>
      <c r="AB8">
        <f>Timeline!AB21</f>
        <v>1</v>
      </c>
      <c r="AC8">
        <f>Timeline!AC21</f>
        <v>1</v>
      </c>
      <c r="AD8">
        <f>Timeline!AD21</f>
        <v>1</v>
      </c>
      <c r="AE8">
        <f>Timeline!AE21</f>
        <v>1</v>
      </c>
      <c r="AF8">
        <f>Timeline!AF21</f>
        <v>1</v>
      </c>
      <c r="AG8">
        <f>Timeline!AG21</f>
        <v>1</v>
      </c>
      <c r="AH8">
        <f>Timeline!AH21</f>
        <v>1</v>
      </c>
      <c r="AI8">
        <f>Timeline!AI21</f>
        <v>1</v>
      </c>
      <c r="AJ8">
        <f>Timeline!AJ21</f>
        <v>1</v>
      </c>
      <c r="AK8">
        <f>Timeline!AK21</f>
        <v>1</v>
      </c>
      <c r="AL8">
        <f>Timeline!AL21</f>
        <v>1</v>
      </c>
      <c r="AM8">
        <f>Timeline!AM21</f>
        <v>1</v>
      </c>
      <c r="AN8">
        <f>Timeline!AN21</f>
        <v>1</v>
      </c>
      <c r="AO8">
        <f>Timeline!AO21</f>
        <v>1</v>
      </c>
      <c r="AP8">
        <f>Timeline!AP21</f>
        <v>1</v>
      </c>
      <c r="AQ8">
        <f>Timeline!AQ21</f>
        <v>1</v>
      </c>
      <c r="AR8">
        <f>Timeline!AR21</f>
        <v>1</v>
      </c>
      <c r="AS8">
        <f>Timeline!AS21</f>
        <v>1</v>
      </c>
      <c r="AT8">
        <f>Timeline!AT21</f>
        <v>1</v>
      </c>
      <c r="AU8">
        <f>Timeline!AU21</f>
        <v>1</v>
      </c>
      <c r="AV8">
        <f>Timeline!AV21</f>
        <v>1</v>
      </c>
      <c r="AW8">
        <f>Timeline!AW21</f>
        <v>1</v>
      </c>
      <c r="AX8">
        <f>Timeline!AX21</f>
        <v>1</v>
      </c>
      <c r="AY8">
        <f>Timeline!AY21</f>
        <v>1</v>
      </c>
      <c r="AZ8">
        <f>Timeline!AZ21</f>
        <v>1</v>
      </c>
      <c r="BA8">
        <f>Timeline!BA21</f>
        <v>1</v>
      </c>
      <c r="BB8">
        <f>Timeline!BB21</f>
        <v>1</v>
      </c>
      <c r="BC8">
        <f>Timeline!BC21</f>
        <v>1</v>
      </c>
      <c r="BD8">
        <f>Timeline!BD21</f>
        <v>1</v>
      </c>
      <c r="BE8">
        <f>Timeline!BE21</f>
        <v>1</v>
      </c>
      <c r="BF8">
        <f>Timeline!BF21</f>
        <v>1</v>
      </c>
      <c r="BG8">
        <f>Timeline!BG21</f>
        <v>1</v>
      </c>
      <c r="BH8">
        <f>Timeline!BH21</f>
        <v>1</v>
      </c>
      <c r="BI8">
        <f>Timeline!BI21</f>
        <v>1</v>
      </c>
      <c r="BJ8">
        <f>Timeline!BJ21</f>
        <v>1</v>
      </c>
      <c r="BK8">
        <f>Timeline!BK21</f>
        <v>1</v>
      </c>
      <c r="BL8">
        <f>Timeline!BL21</f>
        <v>1</v>
      </c>
      <c r="BM8">
        <f>Timeline!BM21</f>
        <v>1</v>
      </c>
      <c r="BN8">
        <f>Timeline!BN21</f>
        <v>1</v>
      </c>
      <c r="BO8">
        <f>Timeline!BO21</f>
        <v>1</v>
      </c>
      <c r="BP8">
        <f>Timeline!BP21</f>
        <v>0</v>
      </c>
      <c r="BQ8">
        <f>Timeline!BQ21</f>
        <v>0</v>
      </c>
      <c r="BR8">
        <f>Timeline!BR21</f>
        <v>0</v>
      </c>
      <c r="BS8">
        <f>Timeline!BS21</f>
        <v>0</v>
      </c>
      <c r="BT8">
        <f>Timeline!BT21</f>
        <v>0</v>
      </c>
      <c r="BU8">
        <f>Timeline!BU21</f>
        <v>0</v>
      </c>
    </row>
    <row r="9" spans="1:75">
      <c r="A9" t="str">
        <f>Timeline!A24</f>
        <v>Years from COD</v>
      </c>
      <c r="B9" t="str">
        <f>Timeline!B24</f>
        <v xml:space="preserve">years </v>
      </c>
      <c r="C9" t="str">
        <f>Timeline!C24</f>
        <v>-</v>
      </c>
      <c r="D9" s="8">
        <f>Timeline!D24</f>
        <v>0</v>
      </c>
      <c r="E9" s="8">
        <f>Timeline!E24</f>
        <v>0</v>
      </c>
      <c r="F9" s="8">
        <f>Timeline!F24</f>
        <v>0</v>
      </c>
      <c r="G9" s="8">
        <f>Timeline!G24</f>
        <v>0</v>
      </c>
      <c r="H9" s="8">
        <f>Timeline!H24</f>
        <v>0</v>
      </c>
      <c r="I9" s="8">
        <f>Timeline!I24</f>
        <v>0.49828884325804246</v>
      </c>
      <c r="J9" s="8">
        <f>Timeline!J24</f>
        <v>0.99931553730321698</v>
      </c>
      <c r="K9" s="8">
        <f>Timeline!K24</f>
        <v>1.4976043805612593</v>
      </c>
      <c r="L9" s="8">
        <f>Timeline!L24</f>
        <v>1.998631074606434</v>
      </c>
      <c r="M9" s="8">
        <f>Timeline!M24</f>
        <v>2.4996577686516086</v>
      </c>
      <c r="N9" s="8">
        <f>Timeline!N24</f>
        <v>3.0006844626967832</v>
      </c>
      <c r="O9" s="8">
        <f>Timeline!O24</f>
        <v>3.4989733059548254</v>
      </c>
      <c r="P9" s="8">
        <f>Timeline!P24</f>
        <v>4</v>
      </c>
      <c r="Q9" s="8">
        <f>Timeline!Q24</f>
        <v>4.4982888432580426</v>
      </c>
      <c r="R9" s="8">
        <f>Timeline!R24</f>
        <v>4.9993155373032172</v>
      </c>
      <c r="S9" s="8">
        <f>Timeline!S24</f>
        <v>5.4976043805612598</v>
      </c>
      <c r="T9" s="8">
        <f>Timeline!T24</f>
        <v>5.9986310746064335</v>
      </c>
      <c r="U9" s="8">
        <f>Timeline!U24</f>
        <v>6.4996577686516082</v>
      </c>
      <c r="V9" s="8">
        <f>Timeline!V24</f>
        <v>7.0006844626967828</v>
      </c>
      <c r="W9" s="8">
        <f>Timeline!W24</f>
        <v>7.4989733059548254</v>
      </c>
      <c r="X9" s="8">
        <f>Timeline!X24</f>
        <v>8</v>
      </c>
      <c r="Y9" s="8">
        <f>Timeline!Y24</f>
        <v>8.4982888432580417</v>
      </c>
      <c r="Z9" s="8">
        <f>Timeline!Z24</f>
        <v>8.9993155373032163</v>
      </c>
      <c r="AA9" s="8">
        <f>Timeline!AA24</f>
        <v>9.4976043805612598</v>
      </c>
      <c r="AB9" s="8">
        <f>Timeline!AB24</f>
        <v>9.9986310746064344</v>
      </c>
      <c r="AC9" s="8">
        <f>Timeline!AC24</f>
        <v>10.499657768651609</v>
      </c>
      <c r="AD9" s="8">
        <f>Timeline!AD24</f>
        <v>11.000684462696784</v>
      </c>
      <c r="AE9" s="8">
        <f>Timeline!AE24</f>
        <v>11.498973305954825</v>
      </c>
      <c r="AF9" s="8">
        <f>Timeline!AF24</f>
        <v>12</v>
      </c>
      <c r="AG9" s="8">
        <f>Timeline!AG24</f>
        <v>12.498288843258042</v>
      </c>
      <c r="AH9" s="8">
        <f>Timeline!AH24</f>
        <v>12.999315537303216</v>
      </c>
      <c r="AI9" s="8">
        <f>Timeline!AI24</f>
        <v>13.49760438056126</v>
      </c>
      <c r="AJ9" s="8">
        <f>Timeline!AJ24</f>
        <v>13.998631074606434</v>
      </c>
      <c r="AK9" s="8">
        <f>Timeline!AK24</f>
        <v>14.499657768651609</v>
      </c>
      <c r="AL9" s="8">
        <f>Timeline!AL24</f>
        <v>15.000684462696784</v>
      </c>
      <c r="AM9" s="8">
        <f>Timeline!AM24</f>
        <v>15.498973305954825</v>
      </c>
      <c r="AN9" s="8">
        <f>Timeline!AN24</f>
        <v>16</v>
      </c>
      <c r="AO9" s="8">
        <f>Timeline!AO24</f>
        <v>16.498288843258042</v>
      </c>
      <c r="AP9" s="8">
        <f>Timeline!AP24</f>
        <v>16.999315537303218</v>
      </c>
      <c r="AQ9" s="8">
        <f>Timeline!AQ24</f>
        <v>17.49760438056126</v>
      </c>
      <c r="AR9" s="8">
        <f>Timeline!AR24</f>
        <v>17.998631074606433</v>
      </c>
      <c r="AS9" s="8">
        <f>Timeline!AS24</f>
        <v>18.499657768651609</v>
      </c>
      <c r="AT9" s="8">
        <f>Timeline!AT24</f>
        <v>19.000684462696782</v>
      </c>
      <c r="AU9" s="8">
        <f>Timeline!AU24</f>
        <v>19.498973305954827</v>
      </c>
      <c r="AV9" s="8">
        <f>Timeline!AV24</f>
        <v>20</v>
      </c>
      <c r="AW9" s="8">
        <f>Timeline!AW24</f>
        <v>20.498288843258042</v>
      </c>
      <c r="AX9" s="8">
        <f>Timeline!AX24</f>
        <v>20.999315537303218</v>
      </c>
      <c r="AY9" s="8">
        <f>Timeline!AY24</f>
        <v>21.49760438056126</v>
      </c>
      <c r="AZ9" s="8">
        <f>Timeline!AZ24</f>
        <v>21.998631074606433</v>
      </c>
      <c r="BA9" s="8">
        <f>Timeline!BA24</f>
        <v>22.499657768651609</v>
      </c>
      <c r="BB9" s="8">
        <f>Timeline!BB24</f>
        <v>23.000684462696782</v>
      </c>
      <c r="BC9" s="8">
        <f>Timeline!BC24</f>
        <v>23.498973305954827</v>
      </c>
      <c r="BD9" s="8">
        <f>Timeline!BD24</f>
        <v>24</v>
      </c>
      <c r="BE9" s="8">
        <f>Timeline!BE24</f>
        <v>24.498288843258042</v>
      </c>
      <c r="BF9" s="8">
        <f>Timeline!BF24</f>
        <v>24.999315537303218</v>
      </c>
      <c r="BG9" s="8">
        <f>Timeline!BG24</f>
        <v>25.49760438056126</v>
      </c>
      <c r="BH9" s="8">
        <f>Timeline!BH24</f>
        <v>25.998631074606433</v>
      </c>
      <c r="BI9" s="8">
        <f>Timeline!BI24</f>
        <v>26.499657768651609</v>
      </c>
      <c r="BJ9" s="8">
        <f>Timeline!BJ24</f>
        <v>27.000684462696782</v>
      </c>
      <c r="BK9" s="8">
        <f>Timeline!BK24</f>
        <v>27.498973305954827</v>
      </c>
      <c r="BL9" s="8">
        <f>Timeline!BL24</f>
        <v>28</v>
      </c>
      <c r="BM9" s="8">
        <f>Timeline!BM24</f>
        <v>28.498288843258042</v>
      </c>
      <c r="BN9" s="8">
        <f>Timeline!BN24</f>
        <v>28.999315537303218</v>
      </c>
      <c r="BO9" s="8">
        <f>Timeline!BO24</f>
        <v>29.49760438056126</v>
      </c>
      <c r="BP9" s="8">
        <f>Timeline!BP24</f>
        <v>0</v>
      </c>
      <c r="BQ9" s="8">
        <f>Timeline!BQ24</f>
        <v>0</v>
      </c>
      <c r="BR9" s="8">
        <f>Timeline!BR24</f>
        <v>0</v>
      </c>
      <c r="BS9" s="8">
        <f>Timeline!BS24</f>
        <v>0</v>
      </c>
      <c r="BT9" s="8">
        <f>Timeline!BT24</f>
        <v>0</v>
      </c>
      <c r="BU9" s="8">
        <f>Timeline!BU24</f>
        <v>0</v>
      </c>
    </row>
    <row r="10" spans="1:75">
      <c r="A10" t="s">
        <v>228</v>
      </c>
      <c r="B10" t="s">
        <v>128</v>
      </c>
      <c r="C10" s="51">
        <f>Inputs!$B$6</f>
        <v>2</v>
      </c>
    </row>
    <row r="11" spans="1:75">
      <c r="A11" t="s">
        <v>236</v>
      </c>
      <c r="B11" t="s">
        <v>232</v>
      </c>
      <c r="C11" s="8">
        <f>INDEX(Data_Energy!$L$16:$L$19,$C$10)</f>
        <v>29.592303941377594</v>
      </c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  <c r="AO11" s="8"/>
      <c r="AP11" s="8"/>
      <c r="AQ11" s="8"/>
      <c r="AR11" s="8"/>
      <c r="AS11" s="8"/>
      <c r="AT11" s="8"/>
      <c r="AU11" s="8"/>
      <c r="AV11" s="8"/>
      <c r="AW11" s="8"/>
      <c r="AX11" s="8"/>
      <c r="AY11" s="8"/>
      <c r="AZ11" s="8"/>
      <c r="BA11" s="8"/>
      <c r="BB11" s="8"/>
      <c r="BC11" s="8"/>
      <c r="BD11" s="8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8"/>
      <c r="BU11" s="8"/>
    </row>
    <row r="12" spans="1:75">
      <c r="A12" t="s">
        <v>237</v>
      </c>
      <c r="B12" t="s">
        <v>232</v>
      </c>
      <c r="C12" s="8">
        <f>INDEX(Data_Energy!$M$16:$M$19,$C$10)</f>
        <v>15.42864708937581</v>
      </c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  <c r="AO12" s="8"/>
      <c r="AP12" s="8"/>
      <c r="AQ12" s="8"/>
      <c r="AR12" s="8"/>
      <c r="AS12" s="8"/>
      <c r="AT12" s="8"/>
      <c r="AU12" s="8"/>
      <c r="AV12" s="8"/>
      <c r="AW12" s="8"/>
      <c r="AX12" s="8"/>
      <c r="AY12" s="8"/>
      <c r="AZ12" s="8"/>
      <c r="BA12" s="8"/>
      <c r="BB12" s="8"/>
      <c r="BC12" s="8"/>
      <c r="BD12" s="8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8"/>
      <c r="BU12" s="8"/>
    </row>
    <row r="13" spans="1:75">
      <c r="A13" t="s">
        <v>229</v>
      </c>
      <c r="B13" t="s">
        <v>232</v>
      </c>
      <c r="C13" s="8">
        <f>SUM(D13:BU13)</f>
        <v>1350.6285309226018</v>
      </c>
      <c r="D13" s="8">
        <f>IF(D7=1,$C$11,$C$12)*D8</f>
        <v>0</v>
      </c>
      <c r="E13" s="8">
        <f t="shared" ref="E13:BP13" si="0">IF(E7=1,$C$11,$C$12)*E8</f>
        <v>0</v>
      </c>
      <c r="F13" s="8">
        <f t="shared" si="0"/>
        <v>0</v>
      </c>
      <c r="G13" s="8">
        <f t="shared" si="0"/>
        <v>0</v>
      </c>
      <c r="H13" s="8">
        <f t="shared" si="0"/>
        <v>29.592303941377594</v>
      </c>
      <c r="I13" s="8">
        <f t="shared" si="0"/>
        <v>15.42864708937581</v>
      </c>
      <c r="J13" s="8">
        <f t="shared" si="0"/>
        <v>29.592303941377594</v>
      </c>
      <c r="K13" s="8">
        <f t="shared" si="0"/>
        <v>15.42864708937581</v>
      </c>
      <c r="L13" s="8">
        <f t="shared" si="0"/>
        <v>29.592303941377594</v>
      </c>
      <c r="M13" s="8">
        <f t="shared" si="0"/>
        <v>15.42864708937581</v>
      </c>
      <c r="N13" s="8">
        <f t="shared" si="0"/>
        <v>29.592303941377594</v>
      </c>
      <c r="O13" s="8">
        <f t="shared" si="0"/>
        <v>15.42864708937581</v>
      </c>
      <c r="P13" s="8">
        <f t="shared" si="0"/>
        <v>29.592303941377594</v>
      </c>
      <c r="Q13" s="8">
        <f t="shared" si="0"/>
        <v>15.42864708937581</v>
      </c>
      <c r="R13" s="8">
        <f t="shared" si="0"/>
        <v>29.592303941377594</v>
      </c>
      <c r="S13" s="8">
        <f t="shared" si="0"/>
        <v>15.42864708937581</v>
      </c>
      <c r="T13" s="8">
        <f t="shared" si="0"/>
        <v>29.592303941377594</v>
      </c>
      <c r="U13" s="8">
        <f t="shared" si="0"/>
        <v>15.42864708937581</v>
      </c>
      <c r="V13" s="8">
        <f t="shared" si="0"/>
        <v>29.592303941377594</v>
      </c>
      <c r="W13" s="8">
        <f t="shared" si="0"/>
        <v>15.42864708937581</v>
      </c>
      <c r="X13" s="8">
        <f t="shared" si="0"/>
        <v>29.592303941377594</v>
      </c>
      <c r="Y13" s="8">
        <f t="shared" si="0"/>
        <v>15.42864708937581</v>
      </c>
      <c r="Z13" s="8">
        <f t="shared" si="0"/>
        <v>29.592303941377594</v>
      </c>
      <c r="AA13" s="8">
        <f t="shared" si="0"/>
        <v>15.42864708937581</v>
      </c>
      <c r="AB13" s="8">
        <f t="shared" si="0"/>
        <v>29.592303941377594</v>
      </c>
      <c r="AC13" s="8">
        <f t="shared" si="0"/>
        <v>15.42864708937581</v>
      </c>
      <c r="AD13" s="8">
        <f t="shared" si="0"/>
        <v>29.592303941377594</v>
      </c>
      <c r="AE13" s="8">
        <f t="shared" si="0"/>
        <v>15.42864708937581</v>
      </c>
      <c r="AF13" s="8">
        <f t="shared" si="0"/>
        <v>29.592303941377594</v>
      </c>
      <c r="AG13" s="8">
        <f t="shared" si="0"/>
        <v>15.42864708937581</v>
      </c>
      <c r="AH13" s="8">
        <f t="shared" si="0"/>
        <v>29.592303941377594</v>
      </c>
      <c r="AI13" s="8">
        <f t="shared" si="0"/>
        <v>15.42864708937581</v>
      </c>
      <c r="AJ13" s="8">
        <f t="shared" si="0"/>
        <v>29.592303941377594</v>
      </c>
      <c r="AK13" s="8">
        <f t="shared" si="0"/>
        <v>15.42864708937581</v>
      </c>
      <c r="AL13" s="8">
        <f t="shared" si="0"/>
        <v>29.592303941377594</v>
      </c>
      <c r="AM13" s="8">
        <f t="shared" si="0"/>
        <v>15.42864708937581</v>
      </c>
      <c r="AN13" s="8">
        <f t="shared" si="0"/>
        <v>29.592303941377594</v>
      </c>
      <c r="AO13" s="8">
        <f t="shared" si="0"/>
        <v>15.42864708937581</v>
      </c>
      <c r="AP13" s="8">
        <f t="shared" si="0"/>
        <v>29.592303941377594</v>
      </c>
      <c r="AQ13" s="8">
        <f t="shared" si="0"/>
        <v>15.42864708937581</v>
      </c>
      <c r="AR13" s="8">
        <f t="shared" si="0"/>
        <v>29.592303941377594</v>
      </c>
      <c r="AS13" s="8">
        <f t="shared" si="0"/>
        <v>15.42864708937581</v>
      </c>
      <c r="AT13" s="8">
        <f t="shared" si="0"/>
        <v>29.592303941377594</v>
      </c>
      <c r="AU13" s="8">
        <f t="shared" si="0"/>
        <v>15.42864708937581</v>
      </c>
      <c r="AV13" s="8">
        <f t="shared" si="0"/>
        <v>29.592303941377594</v>
      </c>
      <c r="AW13" s="8">
        <f t="shared" si="0"/>
        <v>15.42864708937581</v>
      </c>
      <c r="AX13" s="8">
        <f t="shared" si="0"/>
        <v>29.592303941377594</v>
      </c>
      <c r="AY13" s="8">
        <f t="shared" si="0"/>
        <v>15.42864708937581</v>
      </c>
      <c r="AZ13" s="8">
        <f t="shared" si="0"/>
        <v>29.592303941377594</v>
      </c>
      <c r="BA13" s="8">
        <f t="shared" si="0"/>
        <v>15.42864708937581</v>
      </c>
      <c r="BB13" s="8">
        <f t="shared" si="0"/>
        <v>29.592303941377594</v>
      </c>
      <c r="BC13" s="8">
        <f t="shared" si="0"/>
        <v>15.42864708937581</v>
      </c>
      <c r="BD13" s="8">
        <f t="shared" si="0"/>
        <v>29.592303941377594</v>
      </c>
      <c r="BE13" s="8">
        <f t="shared" si="0"/>
        <v>15.42864708937581</v>
      </c>
      <c r="BF13" s="8">
        <f t="shared" si="0"/>
        <v>29.592303941377594</v>
      </c>
      <c r="BG13" s="8">
        <f t="shared" si="0"/>
        <v>15.42864708937581</v>
      </c>
      <c r="BH13" s="8">
        <f t="shared" si="0"/>
        <v>29.592303941377594</v>
      </c>
      <c r="BI13" s="8">
        <f t="shared" si="0"/>
        <v>15.42864708937581</v>
      </c>
      <c r="BJ13" s="8">
        <f t="shared" si="0"/>
        <v>29.592303941377594</v>
      </c>
      <c r="BK13" s="8">
        <f t="shared" si="0"/>
        <v>15.42864708937581</v>
      </c>
      <c r="BL13" s="8">
        <f t="shared" si="0"/>
        <v>29.592303941377594</v>
      </c>
      <c r="BM13" s="8">
        <f t="shared" si="0"/>
        <v>15.42864708937581</v>
      </c>
      <c r="BN13" s="8">
        <f t="shared" si="0"/>
        <v>29.592303941377594</v>
      </c>
      <c r="BO13" s="8">
        <f t="shared" si="0"/>
        <v>15.42864708937581</v>
      </c>
      <c r="BP13" s="8">
        <f t="shared" si="0"/>
        <v>0</v>
      </c>
      <c r="BQ13" s="8">
        <f t="shared" ref="BQ13:BU13" si="1">IF(BQ7=1,$C$11,$C$12)*BQ8</f>
        <v>0</v>
      </c>
      <c r="BR13" s="8">
        <f t="shared" si="1"/>
        <v>0</v>
      </c>
      <c r="BS13" s="8">
        <f t="shared" si="1"/>
        <v>0</v>
      </c>
      <c r="BT13" s="8">
        <f t="shared" si="1"/>
        <v>0</v>
      </c>
      <c r="BU13" s="8">
        <f t="shared" si="1"/>
        <v>0</v>
      </c>
    </row>
    <row r="14" spans="1:75" ht="15.75" customHeight="1">
      <c r="A14" t="s">
        <v>234</v>
      </c>
      <c r="B14" t="s">
        <v>233</v>
      </c>
      <c r="C14" s="8">
        <f>SUM(D14:BU14)</f>
        <v>1242578.2484487933</v>
      </c>
      <c r="D14" s="8">
        <f>D13*Inputs!$B$14*1000</f>
        <v>0</v>
      </c>
      <c r="E14" s="8">
        <f>E13*Inputs!$B$14*1000</f>
        <v>0</v>
      </c>
      <c r="F14" s="8">
        <f>F13*Inputs!$B$14*1000</f>
        <v>0</v>
      </c>
      <c r="G14" s="8">
        <f>G13*Inputs!$B$14*1000</f>
        <v>0</v>
      </c>
      <c r="H14" s="8">
        <f>H13*Inputs!$B$14*1000</f>
        <v>27224.919626067385</v>
      </c>
      <c r="I14" s="8">
        <f>I13*Inputs!$B$14*1000</f>
        <v>14194.355322225747</v>
      </c>
      <c r="J14" s="8">
        <f>J13*Inputs!$B$14*1000</f>
        <v>27224.919626067385</v>
      </c>
      <c r="K14" s="8">
        <f>K13*Inputs!$B$14*1000</f>
        <v>14194.355322225747</v>
      </c>
      <c r="L14" s="8">
        <f>L13*Inputs!$B$14*1000</f>
        <v>27224.919626067385</v>
      </c>
      <c r="M14" s="8">
        <f>M13*Inputs!$B$14*1000</f>
        <v>14194.355322225747</v>
      </c>
      <c r="N14" s="8">
        <f>N13*Inputs!$B$14*1000</f>
        <v>27224.919626067385</v>
      </c>
      <c r="O14" s="8">
        <f>O13*Inputs!$B$14*1000</f>
        <v>14194.355322225747</v>
      </c>
      <c r="P14" s="8">
        <f>P13*Inputs!$B$14*1000</f>
        <v>27224.919626067385</v>
      </c>
      <c r="Q14" s="8">
        <f>Q13*Inputs!$B$14*1000</f>
        <v>14194.355322225747</v>
      </c>
      <c r="R14" s="8">
        <f>R13*Inputs!$B$14*1000</f>
        <v>27224.919626067385</v>
      </c>
      <c r="S14" s="8">
        <f>S13*Inputs!$B$14*1000</f>
        <v>14194.355322225747</v>
      </c>
      <c r="T14" s="8">
        <f>T13*Inputs!$B$14*1000</f>
        <v>27224.919626067385</v>
      </c>
      <c r="U14" s="8">
        <f>U13*Inputs!$B$14*1000</f>
        <v>14194.355322225747</v>
      </c>
      <c r="V14" s="8">
        <f>V13*Inputs!$B$14*1000</f>
        <v>27224.919626067385</v>
      </c>
      <c r="W14" s="8">
        <f>W13*Inputs!$B$14*1000</f>
        <v>14194.355322225747</v>
      </c>
      <c r="X14" s="8">
        <f>X13*Inputs!$B$14*1000</f>
        <v>27224.919626067385</v>
      </c>
      <c r="Y14" s="8">
        <f>Y13*Inputs!$B$14*1000</f>
        <v>14194.355322225747</v>
      </c>
      <c r="Z14" s="8">
        <f>Z13*Inputs!$B$14*1000</f>
        <v>27224.919626067385</v>
      </c>
      <c r="AA14" s="8">
        <f>AA13*Inputs!$B$14*1000</f>
        <v>14194.355322225747</v>
      </c>
      <c r="AB14" s="8">
        <f>AB13*Inputs!$B$14*1000</f>
        <v>27224.919626067385</v>
      </c>
      <c r="AC14" s="8">
        <f>AC13*Inputs!$B$14*1000</f>
        <v>14194.355322225747</v>
      </c>
      <c r="AD14" s="8">
        <f>AD13*Inputs!$B$14*1000</f>
        <v>27224.919626067385</v>
      </c>
      <c r="AE14" s="8">
        <f>AE13*Inputs!$B$14*1000</f>
        <v>14194.355322225747</v>
      </c>
      <c r="AF14" s="8">
        <f>AF13*Inputs!$B$14*1000</f>
        <v>27224.919626067385</v>
      </c>
      <c r="AG14" s="8">
        <f>AG13*Inputs!$B$14*1000</f>
        <v>14194.355322225747</v>
      </c>
      <c r="AH14" s="8">
        <f>AH13*Inputs!$B$14*1000</f>
        <v>27224.919626067385</v>
      </c>
      <c r="AI14" s="8">
        <f>AI13*Inputs!$B$14*1000</f>
        <v>14194.355322225747</v>
      </c>
      <c r="AJ14" s="8">
        <f>AJ13*Inputs!$B$14*1000</f>
        <v>27224.919626067385</v>
      </c>
      <c r="AK14" s="8">
        <f>AK13*Inputs!$B$14*1000</f>
        <v>14194.355322225747</v>
      </c>
      <c r="AL14" s="8">
        <f>AL13*Inputs!$B$14*1000</f>
        <v>27224.919626067385</v>
      </c>
      <c r="AM14" s="8">
        <f>AM13*Inputs!$B$14*1000</f>
        <v>14194.355322225747</v>
      </c>
      <c r="AN14" s="8">
        <f>AN13*Inputs!$B$14*1000</f>
        <v>27224.919626067385</v>
      </c>
      <c r="AO14" s="8">
        <f>AO13*Inputs!$B$14*1000</f>
        <v>14194.355322225747</v>
      </c>
      <c r="AP14" s="8">
        <f>AP13*Inputs!$B$14*1000</f>
        <v>27224.919626067385</v>
      </c>
      <c r="AQ14" s="8">
        <f>AQ13*Inputs!$B$14*1000</f>
        <v>14194.355322225747</v>
      </c>
      <c r="AR14" s="8">
        <f>AR13*Inputs!$B$14*1000</f>
        <v>27224.919626067385</v>
      </c>
      <c r="AS14" s="8">
        <f>AS13*Inputs!$B$14*1000</f>
        <v>14194.355322225747</v>
      </c>
      <c r="AT14" s="8">
        <f>AT13*Inputs!$B$14*1000</f>
        <v>27224.919626067385</v>
      </c>
      <c r="AU14" s="8">
        <f>AU13*Inputs!$B$14*1000</f>
        <v>14194.355322225747</v>
      </c>
      <c r="AV14" s="8">
        <f>AV13*Inputs!$B$14*1000</f>
        <v>27224.919626067385</v>
      </c>
      <c r="AW14" s="8">
        <f>AW13*Inputs!$B$14*1000</f>
        <v>14194.355322225747</v>
      </c>
      <c r="AX14" s="8">
        <f>AX13*Inputs!$B$14*1000</f>
        <v>27224.919626067385</v>
      </c>
      <c r="AY14" s="8">
        <f>AY13*Inputs!$B$14*1000</f>
        <v>14194.355322225747</v>
      </c>
      <c r="AZ14" s="8">
        <f>AZ13*Inputs!$B$14*1000</f>
        <v>27224.919626067385</v>
      </c>
      <c r="BA14" s="8">
        <f>BA13*Inputs!$B$14*1000</f>
        <v>14194.355322225747</v>
      </c>
      <c r="BB14" s="8">
        <f>BB13*Inputs!$B$14*1000</f>
        <v>27224.919626067385</v>
      </c>
      <c r="BC14" s="8">
        <f>BC13*Inputs!$B$14*1000</f>
        <v>14194.355322225747</v>
      </c>
      <c r="BD14" s="8">
        <f>BD13*Inputs!$B$14*1000</f>
        <v>27224.919626067385</v>
      </c>
      <c r="BE14" s="8">
        <f>BE13*Inputs!$B$14*1000</f>
        <v>14194.355322225747</v>
      </c>
      <c r="BF14" s="8">
        <f>BF13*Inputs!$B$14*1000</f>
        <v>27224.919626067385</v>
      </c>
      <c r="BG14" s="8">
        <f>BG13*Inputs!$B$14*1000</f>
        <v>14194.355322225747</v>
      </c>
      <c r="BH14" s="8">
        <f>BH13*Inputs!$B$14*1000</f>
        <v>27224.919626067385</v>
      </c>
      <c r="BI14" s="8">
        <f>BI13*Inputs!$B$14*1000</f>
        <v>14194.355322225747</v>
      </c>
      <c r="BJ14" s="8">
        <f>BJ13*Inputs!$B$14*1000</f>
        <v>27224.919626067385</v>
      </c>
      <c r="BK14" s="8">
        <f>BK13*Inputs!$B$14*1000</f>
        <v>14194.355322225747</v>
      </c>
      <c r="BL14" s="8">
        <f>BL13*Inputs!$B$14*1000</f>
        <v>27224.919626067385</v>
      </c>
      <c r="BM14" s="8">
        <f>BM13*Inputs!$B$14*1000</f>
        <v>14194.355322225747</v>
      </c>
      <c r="BN14" s="8">
        <f>BN13*Inputs!$B$14*1000</f>
        <v>27224.919626067385</v>
      </c>
      <c r="BO14" s="8">
        <f>BO13*Inputs!$B$14*1000</f>
        <v>14194.355322225747</v>
      </c>
      <c r="BP14" s="8">
        <f>BP13*Inputs!$B$14*1000</f>
        <v>0</v>
      </c>
      <c r="BQ14" s="8">
        <f>BQ13*Inputs!$B$14*1000</f>
        <v>0</v>
      </c>
      <c r="BR14" s="8">
        <f>BR13*Inputs!$B$14*1000</f>
        <v>0</v>
      </c>
      <c r="BS14" s="8">
        <f>BS13*Inputs!$B$14*1000</f>
        <v>0</v>
      </c>
      <c r="BT14" s="8">
        <f>BT13*Inputs!$B$14*1000</f>
        <v>0</v>
      </c>
      <c r="BU14" s="8">
        <f>BU13*Inputs!$B$14*1000</f>
        <v>0</v>
      </c>
    </row>
    <row r="15" spans="1:75">
      <c r="A15" t="s">
        <v>230</v>
      </c>
      <c r="B15" t="s">
        <v>39</v>
      </c>
      <c r="C15" t="s">
        <v>131</v>
      </c>
      <c r="D15" s="8">
        <f>(1+Inputs!$B$16)^D9</f>
        <v>1</v>
      </c>
      <c r="E15" s="8">
        <f>(1+Inputs!$B$16)^E9</f>
        <v>1</v>
      </c>
      <c r="F15" s="8">
        <f>(1+Inputs!$B$16)^F9</f>
        <v>1</v>
      </c>
      <c r="G15" s="8">
        <f>(1+Inputs!$B$16)^G9</f>
        <v>1</v>
      </c>
      <c r="H15" s="8">
        <f>(1+Inputs!$B$16)^H9</f>
        <v>1</v>
      </c>
      <c r="I15" s="8">
        <f>(1+Inputs!$B$16)^I9</f>
        <v>1</v>
      </c>
      <c r="J15" s="8">
        <f>(1+Inputs!$B$16)^J9</f>
        <v>1</v>
      </c>
      <c r="K15" s="8">
        <f>(1+Inputs!$B$16)^K9</f>
        <v>1</v>
      </c>
      <c r="L15" s="8">
        <f>(1+Inputs!$B$16)^L9</f>
        <v>1</v>
      </c>
      <c r="M15" s="8">
        <f>(1+Inputs!$B$16)^M9</f>
        <v>1</v>
      </c>
      <c r="N15" s="8">
        <f>(1+Inputs!$B$16)^N9</f>
        <v>1</v>
      </c>
      <c r="O15" s="8">
        <f>(1+Inputs!$B$16)^O9</f>
        <v>1</v>
      </c>
      <c r="P15" s="8">
        <f>(1+Inputs!$B$16)^P9</f>
        <v>1</v>
      </c>
      <c r="Q15" s="8">
        <f>(1+Inputs!$B$16)^Q9</f>
        <v>1</v>
      </c>
      <c r="R15" s="8">
        <f>(1+Inputs!$B$16)^R9</f>
        <v>1</v>
      </c>
      <c r="S15" s="8">
        <f>(1+Inputs!$B$16)^S9</f>
        <v>1</v>
      </c>
      <c r="T15" s="8">
        <f>(1+Inputs!$B$16)^T9</f>
        <v>1</v>
      </c>
      <c r="U15" s="8">
        <f>(1+Inputs!$B$16)^U9</f>
        <v>1</v>
      </c>
      <c r="V15" s="8">
        <f>(1+Inputs!$B$16)^V9</f>
        <v>1</v>
      </c>
      <c r="W15" s="8">
        <f>(1+Inputs!$B$16)^W9</f>
        <v>1</v>
      </c>
      <c r="X15" s="8">
        <f>(1+Inputs!$B$16)^X9</f>
        <v>1</v>
      </c>
      <c r="Y15" s="8">
        <f>(1+Inputs!$B$16)^Y9</f>
        <v>1</v>
      </c>
      <c r="Z15" s="8">
        <f>(1+Inputs!$B$16)^Z9</f>
        <v>1</v>
      </c>
      <c r="AA15" s="8">
        <f>(1+Inputs!$B$16)^AA9</f>
        <v>1</v>
      </c>
      <c r="AB15" s="8">
        <f>(1+Inputs!$B$16)^AB9</f>
        <v>1</v>
      </c>
      <c r="AC15" s="8">
        <f>(1+Inputs!$B$16)^AC9</f>
        <v>1</v>
      </c>
      <c r="AD15" s="8">
        <f>(1+Inputs!$B$16)^AD9</f>
        <v>1</v>
      </c>
      <c r="AE15" s="8">
        <f>(1+Inputs!$B$16)^AE9</f>
        <v>1</v>
      </c>
      <c r="AF15" s="8">
        <f>(1+Inputs!$B$16)^AF9</f>
        <v>1</v>
      </c>
      <c r="AG15" s="8">
        <f>(1+Inputs!$B$16)^AG9</f>
        <v>1</v>
      </c>
      <c r="AH15" s="8">
        <f>(1+Inputs!$B$16)^AH9</f>
        <v>1</v>
      </c>
      <c r="AI15" s="8">
        <f>(1+Inputs!$B$16)^AI9</f>
        <v>1</v>
      </c>
      <c r="AJ15" s="8">
        <f>(1+Inputs!$B$16)^AJ9</f>
        <v>1</v>
      </c>
      <c r="AK15" s="8">
        <f>(1+Inputs!$B$16)^AK9</f>
        <v>1</v>
      </c>
      <c r="AL15" s="8">
        <f>(1+Inputs!$B$16)^AL9</f>
        <v>1</v>
      </c>
      <c r="AM15" s="8">
        <f>(1+Inputs!$B$16)^AM9</f>
        <v>1</v>
      </c>
      <c r="AN15" s="8">
        <f>(1+Inputs!$B$16)^AN9</f>
        <v>1</v>
      </c>
      <c r="AO15" s="8">
        <f>(1+Inputs!$B$16)^AO9</f>
        <v>1</v>
      </c>
      <c r="AP15" s="8">
        <f>(1+Inputs!$B$16)^AP9</f>
        <v>1</v>
      </c>
      <c r="AQ15" s="8">
        <f>(1+Inputs!$B$16)^AQ9</f>
        <v>1</v>
      </c>
      <c r="AR15" s="8">
        <f>(1+Inputs!$B$16)^AR9</f>
        <v>1</v>
      </c>
      <c r="AS15" s="8">
        <f>(1+Inputs!$B$16)^AS9</f>
        <v>1</v>
      </c>
      <c r="AT15" s="8">
        <f>(1+Inputs!$B$16)^AT9</f>
        <v>1</v>
      </c>
      <c r="AU15" s="8">
        <f>(1+Inputs!$B$16)^AU9</f>
        <v>1</v>
      </c>
      <c r="AV15" s="8">
        <f>(1+Inputs!$B$16)^AV9</f>
        <v>1</v>
      </c>
      <c r="AW15" s="8">
        <f>(1+Inputs!$B$16)^AW9</f>
        <v>1</v>
      </c>
      <c r="AX15" s="8">
        <f>(1+Inputs!$B$16)^AX9</f>
        <v>1</v>
      </c>
      <c r="AY15" s="8">
        <f>(1+Inputs!$B$16)^AY9</f>
        <v>1</v>
      </c>
      <c r="AZ15" s="8">
        <f>(1+Inputs!$B$16)^AZ9</f>
        <v>1</v>
      </c>
      <c r="BA15" s="8">
        <f>(1+Inputs!$B$16)^BA9</f>
        <v>1</v>
      </c>
      <c r="BB15" s="8">
        <f>(1+Inputs!$B$16)^BB9</f>
        <v>1</v>
      </c>
      <c r="BC15" s="8">
        <f>(1+Inputs!$B$16)^BC9</f>
        <v>1</v>
      </c>
      <c r="BD15" s="8">
        <f>(1+Inputs!$B$16)^BD9</f>
        <v>1</v>
      </c>
      <c r="BE15" s="8">
        <f>(1+Inputs!$B$16)^BE9</f>
        <v>1</v>
      </c>
      <c r="BF15" s="8">
        <f>(1+Inputs!$B$16)^BF9</f>
        <v>1</v>
      </c>
      <c r="BG15" s="8">
        <f>(1+Inputs!$B$16)^BG9</f>
        <v>1</v>
      </c>
      <c r="BH15" s="8">
        <f>(1+Inputs!$B$16)^BH9</f>
        <v>1</v>
      </c>
      <c r="BI15" s="8">
        <f>(1+Inputs!$B$16)^BI9</f>
        <v>1</v>
      </c>
      <c r="BJ15" s="8">
        <f>(1+Inputs!$B$16)^BJ9</f>
        <v>1</v>
      </c>
      <c r="BK15" s="8">
        <f>(1+Inputs!$B$16)^BK9</f>
        <v>1</v>
      </c>
      <c r="BL15" s="8">
        <f>(1+Inputs!$B$16)^BL9</f>
        <v>1</v>
      </c>
      <c r="BM15" s="8">
        <f>(1+Inputs!$B$16)^BM9</f>
        <v>1</v>
      </c>
      <c r="BN15" s="8">
        <f>(1+Inputs!$B$16)^BN9</f>
        <v>1</v>
      </c>
      <c r="BO15" s="8">
        <f>(1+Inputs!$B$16)^BO9</f>
        <v>1</v>
      </c>
      <c r="BP15" s="8">
        <f>(1+Inputs!$B$16)^BP9</f>
        <v>1</v>
      </c>
      <c r="BQ15" s="8">
        <f>(1+Inputs!$B$16)^BQ9</f>
        <v>1</v>
      </c>
      <c r="BR15" s="8">
        <f>(1+Inputs!$B$16)^BR9</f>
        <v>1</v>
      </c>
      <c r="BS15" s="8">
        <f>(1+Inputs!$B$16)^BS9</f>
        <v>1</v>
      </c>
      <c r="BT15" s="8">
        <f>(1+Inputs!$B$16)^BT9</f>
        <v>1</v>
      </c>
      <c r="BU15" s="8">
        <f>(1+Inputs!$B$16)^BU9</f>
        <v>1</v>
      </c>
    </row>
    <row r="16" spans="1:75">
      <c r="A16" t="s">
        <v>21</v>
      </c>
      <c r="B16" t="s">
        <v>22</v>
      </c>
      <c r="C16" t="s">
        <v>131</v>
      </c>
      <c r="D16" s="8">
        <f>Inputs!$B$15 * D15</f>
        <v>65</v>
      </c>
      <c r="E16" s="8">
        <f>Inputs!$B$15 * E15</f>
        <v>65</v>
      </c>
      <c r="F16" s="8">
        <f>Inputs!$B$15 * F15</f>
        <v>65</v>
      </c>
      <c r="G16" s="8">
        <f>Inputs!$B$15 * G15</f>
        <v>65</v>
      </c>
      <c r="H16" s="8">
        <f>Inputs!$B$15 * H15</f>
        <v>65</v>
      </c>
      <c r="I16" s="8">
        <f>Inputs!$B$15 * I15</f>
        <v>65</v>
      </c>
      <c r="J16" s="8">
        <f>Inputs!$B$15 * J15</f>
        <v>65</v>
      </c>
      <c r="K16" s="8">
        <f>Inputs!$B$15 * K15</f>
        <v>65</v>
      </c>
      <c r="L16" s="8">
        <f>Inputs!$B$15 * L15</f>
        <v>65</v>
      </c>
      <c r="M16" s="8">
        <f>Inputs!$B$15 * M15</f>
        <v>65</v>
      </c>
      <c r="N16" s="8">
        <f>Inputs!$B$15 * N15</f>
        <v>65</v>
      </c>
      <c r="O16" s="8">
        <f>Inputs!$B$15 * O15</f>
        <v>65</v>
      </c>
      <c r="P16" s="8">
        <f>Inputs!$B$15 * P15</f>
        <v>65</v>
      </c>
      <c r="Q16" s="8">
        <f>Inputs!$B$15 * Q15</f>
        <v>65</v>
      </c>
      <c r="R16" s="8">
        <f>Inputs!$B$15 * R15</f>
        <v>65</v>
      </c>
      <c r="S16" s="8">
        <f>Inputs!$B$15 * S15</f>
        <v>65</v>
      </c>
      <c r="T16" s="8">
        <f>Inputs!$B$15 * T15</f>
        <v>65</v>
      </c>
      <c r="U16" s="8">
        <f>Inputs!$B$15 * U15</f>
        <v>65</v>
      </c>
      <c r="V16" s="8">
        <f>Inputs!$B$15 * V15</f>
        <v>65</v>
      </c>
      <c r="W16" s="8">
        <f>Inputs!$B$15 * W15</f>
        <v>65</v>
      </c>
      <c r="X16" s="8">
        <f>Inputs!$B$15 * X15</f>
        <v>65</v>
      </c>
      <c r="Y16" s="8">
        <f>Inputs!$B$15 * Y15</f>
        <v>65</v>
      </c>
      <c r="Z16" s="8">
        <f>Inputs!$B$15 * Z15</f>
        <v>65</v>
      </c>
      <c r="AA16" s="8">
        <f>Inputs!$B$15 * AA15</f>
        <v>65</v>
      </c>
      <c r="AB16" s="8">
        <f>Inputs!$B$15 * AB15</f>
        <v>65</v>
      </c>
      <c r="AC16" s="8">
        <f>Inputs!$B$15 * AC15</f>
        <v>65</v>
      </c>
      <c r="AD16" s="8">
        <f>Inputs!$B$15 * AD15</f>
        <v>65</v>
      </c>
      <c r="AE16" s="8">
        <f>Inputs!$B$15 * AE15</f>
        <v>65</v>
      </c>
      <c r="AF16" s="8">
        <f>Inputs!$B$15 * AF15</f>
        <v>65</v>
      </c>
      <c r="AG16" s="8">
        <f>Inputs!$B$15 * AG15</f>
        <v>65</v>
      </c>
      <c r="AH16" s="8">
        <f>Inputs!$B$15 * AH15</f>
        <v>65</v>
      </c>
      <c r="AI16" s="8">
        <f>Inputs!$B$15 * AI15</f>
        <v>65</v>
      </c>
      <c r="AJ16" s="8">
        <f>Inputs!$B$15 * AJ15</f>
        <v>65</v>
      </c>
      <c r="AK16" s="8">
        <f>Inputs!$B$15 * AK15</f>
        <v>65</v>
      </c>
      <c r="AL16" s="8">
        <f>Inputs!$B$15 * AL15</f>
        <v>65</v>
      </c>
      <c r="AM16" s="8">
        <f>Inputs!$B$15 * AM15</f>
        <v>65</v>
      </c>
      <c r="AN16" s="8">
        <f>Inputs!$B$15 * AN15</f>
        <v>65</v>
      </c>
      <c r="AO16" s="8">
        <f>Inputs!$B$15 * AO15</f>
        <v>65</v>
      </c>
      <c r="AP16" s="8">
        <f>Inputs!$B$15 * AP15</f>
        <v>65</v>
      </c>
      <c r="AQ16" s="8">
        <f>Inputs!$B$15 * AQ15</f>
        <v>65</v>
      </c>
      <c r="AR16" s="8">
        <f>Inputs!$B$15 * AR15</f>
        <v>65</v>
      </c>
      <c r="AS16" s="8">
        <f>Inputs!$B$15 * AS15</f>
        <v>65</v>
      </c>
      <c r="AT16" s="8">
        <f>Inputs!$B$15 * AT15</f>
        <v>65</v>
      </c>
      <c r="AU16" s="8">
        <f>Inputs!$B$15 * AU15</f>
        <v>65</v>
      </c>
      <c r="AV16" s="8">
        <f>Inputs!$B$15 * AV15</f>
        <v>65</v>
      </c>
      <c r="AW16" s="8">
        <f>Inputs!$B$15 * AW15</f>
        <v>65</v>
      </c>
      <c r="AX16" s="8">
        <f>Inputs!$B$15 * AX15</f>
        <v>65</v>
      </c>
      <c r="AY16" s="8">
        <f>Inputs!$B$15 * AY15</f>
        <v>65</v>
      </c>
      <c r="AZ16" s="8">
        <f>Inputs!$B$15 * AZ15</f>
        <v>65</v>
      </c>
      <c r="BA16" s="8">
        <f>Inputs!$B$15 * BA15</f>
        <v>65</v>
      </c>
      <c r="BB16" s="8">
        <f>Inputs!$B$15 * BB15</f>
        <v>65</v>
      </c>
      <c r="BC16" s="8">
        <f>Inputs!$B$15 * BC15</f>
        <v>65</v>
      </c>
      <c r="BD16" s="8">
        <f>Inputs!$B$15 * BD15</f>
        <v>65</v>
      </c>
      <c r="BE16" s="8">
        <f>Inputs!$B$15 * BE15</f>
        <v>65</v>
      </c>
      <c r="BF16" s="8">
        <f>Inputs!$B$15 * BF15</f>
        <v>65</v>
      </c>
      <c r="BG16" s="8">
        <f>Inputs!$B$15 * BG15</f>
        <v>65</v>
      </c>
      <c r="BH16" s="8">
        <f>Inputs!$B$15 * BH15</f>
        <v>65</v>
      </c>
      <c r="BI16" s="8">
        <f>Inputs!$B$15 * BI15</f>
        <v>65</v>
      </c>
      <c r="BJ16" s="8">
        <f>Inputs!$B$15 * BJ15</f>
        <v>65</v>
      </c>
      <c r="BK16" s="8">
        <f>Inputs!$B$15 * BK15</f>
        <v>65</v>
      </c>
      <c r="BL16" s="8">
        <f>Inputs!$B$15 * BL15</f>
        <v>65</v>
      </c>
      <c r="BM16" s="8">
        <f>Inputs!$B$15 * BM15</f>
        <v>65</v>
      </c>
      <c r="BN16" s="8">
        <f>Inputs!$B$15 * BN15</f>
        <v>65</v>
      </c>
      <c r="BO16" s="8">
        <f>Inputs!$B$15 * BO15</f>
        <v>65</v>
      </c>
      <c r="BP16" s="8">
        <f>Inputs!$B$15 * BP15</f>
        <v>65</v>
      </c>
      <c r="BQ16" s="8">
        <f>Inputs!$B$15 * BQ15</f>
        <v>65</v>
      </c>
      <c r="BR16" s="8">
        <f>Inputs!$B$15 * BR15</f>
        <v>65</v>
      </c>
      <c r="BS16" s="8">
        <f>Inputs!$B$15 * BS15</f>
        <v>65</v>
      </c>
      <c r="BT16" s="8">
        <f>Inputs!$B$15 * BT15</f>
        <v>65</v>
      </c>
      <c r="BU16" s="8">
        <f>Inputs!$B$15 * BU15</f>
        <v>65</v>
      </c>
    </row>
    <row r="17" spans="1:73">
      <c r="A17" t="s">
        <v>231</v>
      </c>
      <c r="B17" t="s">
        <v>184</v>
      </c>
      <c r="C17" s="8">
        <f>SUM(D17:BU17)</f>
        <v>80767586.149171591</v>
      </c>
      <c r="D17" s="8">
        <f>D14 * D16</f>
        <v>0</v>
      </c>
      <c r="E17" s="8">
        <f t="shared" ref="E17:BP17" si="2">E14 * E16</f>
        <v>0</v>
      </c>
      <c r="F17" s="8">
        <f t="shared" si="2"/>
        <v>0</v>
      </c>
      <c r="G17" s="8">
        <f t="shared" si="2"/>
        <v>0</v>
      </c>
      <c r="H17" s="8">
        <f t="shared" si="2"/>
        <v>1769619.77569438</v>
      </c>
      <c r="I17" s="8">
        <f t="shared" si="2"/>
        <v>922633.09594467352</v>
      </c>
      <c r="J17" s="8">
        <f t="shared" si="2"/>
        <v>1769619.77569438</v>
      </c>
      <c r="K17" s="8">
        <f t="shared" si="2"/>
        <v>922633.09594467352</v>
      </c>
      <c r="L17" s="8">
        <f t="shared" si="2"/>
        <v>1769619.77569438</v>
      </c>
      <c r="M17" s="8">
        <f t="shared" si="2"/>
        <v>922633.09594467352</v>
      </c>
      <c r="N17" s="8">
        <f t="shared" si="2"/>
        <v>1769619.77569438</v>
      </c>
      <c r="O17" s="8">
        <f t="shared" si="2"/>
        <v>922633.09594467352</v>
      </c>
      <c r="P17" s="8">
        <f t="shared" si="2"/>
        <v>1769619.77569438</v>
      </c>
      <c r="Q17" s="8">
        <f t="shared" si="2"/>
        <v>922633.09594467352</v>
      </c>
      <c r="R17" s="8">
        <f t="shared" si="2"/>
        <v>1769619.77569438</v>
      </c>
      <c r="S17" s="8">
        <f t="shared" si="2"/>
        <v>922633.09594467352</v>
      </c>
      <c r="T17" s="8">
        <f t="shared" si="2"/>
        <v>1769619.77569438</v>
      </c>
      <c r="U17" s="8">
        <f t="shared" si="2"/>
        <v>922633.09594467352</v>
      </c>
      <c r="V17" s="8">
        <f t="shared" si="2"/>
        <v>1769619.77569438</v>
      </c>
      <c r="W17" s="8">
        <f t="shared" si="2"/>
        <v>922633.09594467352</v>
      </c>
      <c r="X17" s="8">
        <f t="shared" si="2"/>
        <v>1769619.77569438</v>
      </c>
      <c r="Y17" s="8">
        <f t="shared" si="2"/>
        <v>922633.09594467352</v>
      </c>
      <c r="Z17" s="8">
        <f t="shared" si="2"/>
        <v>1769619.77569438</v>
      </c>
      <c r="AA17" s="8">
        <f t="shared" si="2"/>
        <v>922633.09594467352</v>
      </c>
      <c r="AB17" s="8">
        <f t="shared" si="2"/>
        <v>1769619.77569438</v>
      </c>
      <c r="AC17" s="8">
        <f t="shared" si="2"/>
        <v>922633.09594467352</v>
      </c>
      <c r="AD17" s="8">
        <f t="shared" si="2"/>
        <v>1769619.77569438</v>
      </c>
      <c r="AE17" s="8">
        <f t="shared" si="2"/>
        <v>922633.09594467352</v>
      </c>
      <c r="AF17" s="8">
        <f t="shared" si="2"/>
        <v>1769619.77569438</v>
      </c>
      <c r="AG17" s="8">
        <f t="shared" si="2"/>
        <v>922633.09594467352</v>
      </c>
      <c r="AH17" s="8">
        <f t="shared" si="2"/>
        <v>1769619.77569438</v>
      </c>
      <c r="AI17" s="8">
        <f t="shared" si="2"/>
        <v>922633.09594467352</v>
      </c>
      <c r="AJ17" s="8">
        <f t="shared" si="2"/>
        <v>1769619.77569438</v>
      </c>
      <c r="AK17" s="8">
        <f t="shared" si="2"/>
        <v>922633.09594467352</v>
      </c>
      <c r="AL17" s="8">
        <f t="shared" si="2"/>
        <v>1769619.77569438</v>
      </c>
      <c r="AM17" s="8">
        <f t="shared" si="2"/>
        <v>922633.09594467352</v>
      </c>
      <c r="AN17" s="8">
        <f t="shared" si="2"/>
        <v>1769619.77569438</v>
      </c>
      <c r="AO17" s="8">
        <f t="shared" si="2"/>
        <v>922633.09594467352</v>
      </c>
      <c r="AP17" s="8">
        <f t="shared" si="2"/>
        <v>1769619.77569438</v>
      </c>
      <c r="AQ17" s="8">
        <f t="shared" si="2"/>
        <v>922633.09594467352</v>
      </c>
      <c r="AR17" s="8">
        <f t="shared" si="2"/>
        <v>1769619.77569438</v>
      </c>
      <c r="AS17" s="8">
        <f t="shared" si="2"/>
        <v>922633.09594467352</v>
      </c>
      <c r="AT17" s="8">
        <f t="shared" si="2"/>
        <v>1769619.77569438</v>
      </c>
      <c r="AU17" s="8">
        <f t="shared" si="2"/>
        <v>922633.09594467352</v>
      </c>
      <c r="AV17" s="8">
        <f t="shared" si="2"/>
        <v>1769619.77569438</v>
      </c>
      <c r="AW17" s="8">
        <f t="shared" si="2"/>
        <v>922633.09594467352</v>
      </c>
      <c r="AX17" s="8">
        <f t="shared" si="2"/>
        <v>1769619.77569438</v>
      </c>
      <c r="AY17" s="8">
        <f t="shared" si="2"/>
        <v>922633.09594467352</v>
      </c>
      <c r="AZ17" s="8">
        <f t="shared" si="2"/>
        <v>1769619.77569438</v>
      </c>
      <c r="BA17" s="8">
        <f t="shared" si="2"/>
        <v>922633.09594467352</v>
      </c>
      <c r="BB17" s="8">
        <f t="shared" si="2"/>
        <v>1769619.77569438</v>
      </c>
      <c r="BC17" s="8">
        <f t="shared" si="2"/>
        <v>922633.09594467352</v>
      </c>
      <c r="BD17" s="8">
        <f t="shared" si="2"/>
        <v>1769619.77569438</v>
      </c>
      <c r="BE17" s="8">
        <f t="shared" si="2"/>
        <v>922633.09594467352</v>
      </c>
      <c r="BF17" s="8">
        <f t="shared" si="2"/>
        <v>1769619.77569438</v>
      </c>
      <c r="BG17" s="8">
        <f t="shared" si="2"/>
        <v>922633.09594467352</v>
      </c>
      <c r="BH17" s="8">
        <f t="shared" si="2"/>
        <v>1769619.77569438</v>
      </c>
      <c r="BI17" s="8">
        <f t="shared" si="2"/>
        <v>922633.09594467352</v>
      </c>
      <c r="BJ17" s="8">
        <f t="shared" si="2"/>
        <v>1769619.77569438</v>
      </c>
      <c r="BK17" s="8">
        <f t="shared" si="2"/>
        <v>922633.09594467352</v>
      </c>
      <c r="BL17" s="8">
        <f t="shared" si="2"/>
        <v>1769619.77569438</v>
      </c>
      <c r="BM17" s="8">
        <f t="shared" si="2"/>
        <v>922633.09594467352</v>
      </c>
      <c r="BN17" s="8">
        <f t="shared" si="2"/>
        <v>1769619.77569438</v>
      </c>
      <c r="BO17" s="8">
        <f t="shared" si="2"/>
        <v>922633.09594467352</v>
      </c>
      <c r="BP17" s="8">
        <f t="shared" si="2"/>
        <v>0</v>
      </c>
      <c r="BQ17" s="8">
        <f t="shared" ref="BQ17:BU17" si="3">BQ14 * BQ16</f>
        <v>0</v>
      </c>
      <c r="BR17" s="8">
        <f t="shared" si="3"/>
        <v>0</v>
      </c>
      <c r="BS17" s="8">
        <f t="shared" si="3"/>
        <v>0</v>
      </c>
      <c r="BT17" s="8">
        <f t="shared" si="3"/>
        <v>0</v>
      </c>
      <c r="BU17" s="8">
        <f t="shared" si="3"/>
        <v>0</v>
      </c>
    </row>
    <row r="18" spans="1:73" ht="15.75">
      <c r="A18" s="70" t="s">
        <v>239</v>
      </c>
      <c r="B18" s="70"/>
      <c r="C18" s="70"/>
    </row>
    <row r="19" spans="1:73">
      <c r="A19" s="59" t="s">
        <v>238</v>
      </c>
      <c r="B19" s="59" t="s">
        <v>165</v>
      </c>
      <c r="C19" s="59">
        <f>C13 - INDEX(Data_Energy!N16:N19,C10)*Inputs!$B$11</f>
        <v>0</v>
      </c>
      <c r="D19" s="37" t="s">
        <v>167</v>
      </c>
    </row>
    <row r="20" spans="1:73">
      <c r="A20" s="59" t="s">
        <v>235</v>
      </c>
      <c r="B20" s="59" t="s">
        <v>165</v>
      </c>
      <c r="C20" s="59">
        <f>IF(MIN(D17:BU17)&gt;=0,0,1)</f>
        <v>0</v>
      </c>
      <c r="D20" s="37" t="s">
        <v>167</v>
      </c>
    </row>
    <row r="21" spans="1:73" ht="15.75">
      <c r="A21" s="70" t="s">
        <v>245</v>
      </c>
      <c r="B21" s="70"/>
      <c r="C21" s="70"/>
    </row>
    <row r="22" spans="1:73">
      <c r="A22" t="str">
        <f>Timeline!A23</f>
        <v>Years from base</v>
      </c>
      <c r="B22" t="str">
        <f>Timeline!B23</f>
        <v>years</v>
      </c>
      <c r="C22" t="str">
        <f>Timeline!C23</f>
        <v>-</v>
      </c>
      <c r="D22" s="8">
        <f>Timeline!D23</f>
        <v>3.2498288843258041</v>
      </c>
      <c r="E22" s="8">
        <f>Timeline!E23</f>
        <v>3.7508555783709787</v>
      </c>
      <c r="F22" s="8">
        <f>Timeline!F23</f>
        <v>4.2518822724161529</v>
      </c>
      <c r="G22" s="8">
        <f>Timeline!G23</f>
        <v>4.7501711156741955</v>
      </c>
      <c r="H22" s="8">
        <f>Timeline!H23</f>
        <v>5.2511978097193701</v>
      </c>
      <c r="I22" s="8">
        <f>Timeline!I23</f>
        <v>5.7494866529774127</v>
      </c>
      <c r="J22" s="8">
        <f>Timeline!J23</f>
        <v>6.2505133470225873</v>
      </c>
      <c r="K22" s="8">
        <f>Timeline!K23</f>
        <v>6.7488021902806299</v>
      </c>
      <c r="L22" s="8">
        <f>Timeline!L23</f>
        <v>7.2498288843258045</v>
      </c>
      <c r="M22" s="8">
        <f>Timeline!M23</f>
        <v>7.7508555783709792</v>
      </c>
      <c r="N22" s="8">
        <f>Timeline!N23</f>
        <v>8.2518822724161538</v>
      </c>
      <c r="O22" s="8">
        <f>Timeline!O23</f>
        <v>8.7501711156741955</v>
      </c>
      <c r="P22" s="8">
        <f>Timeline!P23</f>
        <v>9.2511978097193701</v>
      </c>
      <c r="Q22" s="8">
        <f>Timeline!Q23</f>
        <v>9.7494866529774136</v>
      </c>
      <c r="R22" s="8">
        <f>Timeline!R23</f>
        <v>10.250513347022586</v>
      </c>
      <c r="S22" s="8">
        <f>Timeline!S23</f>
        <v>10.74880219028063</v>
      </c>
      <c r="T22" s="8">
        <f>Timeline!T23</f>
        <v>11.249828884325805</v>
      </c>
      <c r="U22" s="8">
        <f>Timeline!U23</f>
        <v>11.750855578370979</v>
      </c>
      <c r="V22" s="8">
        <f>Timeline!V23</f>
        <v>12.251882272416154</v>
      </c>
      <c r="W22" s="8">
        <f>Timeline!W23</f>
        <v>12.750171115674195</v>
      </c>
      <c r="X22" s="8">
        <f>Timeline!X23</f>
        <v>13.25119780971937</v>
      </c>
      <c r="Y22" s="8">
        <f>Timeline!Y23</f>
        <v>13.749486652977414</v>
      </c>
      <c r="Z22" s="8">
        <f>Timeline!Z23</f>
        <v>14.250513347022586</v>
      </c>
      <c r="AA22" s="8">
        <f>Timeline!AA23</f>
        <v>14.74880219028063</v>
      </c>
      <c r="AB22" s="8">
        <f>Timeline!AB23</f>
        <v>15.249828884325805</v>
      </c>
      <c r="AC22" s="8">
        <f>Timeline!AC23</f>
        <v>15.750855578370979</v>
      </c>
      <c r="AD22" s="8">
        <f>Timeline!AD23</f>
        <v>16.251882272416154</v>
      </c>
      <c r="AE22" s="8">
        <f>Timeline!AE23</f>
        <v>16.750171115674195</v>
      </c>
      <c r="AF22" s="8">
        <f>Timeline!AF23</f>
        <v>17.251197809719372</v>
      </c>
      <c r="AG22" s="8">
        <f>Timeline!AG23</f>
        <v>17.749486652977414</v>
      </c>
      <c r="AH22" s="8">
        <f>Timeline!AH23</f>
        <v>18.250513347022586</v>
      </c>
      <c r="AI22" s="8">
        <f>Timeline!AI23</f>
        <v>18.748802190280628</v>
      </c>
      <c r="AJ22" s="8">
        <f>Timeline!AJ23</f>
        <v>19.249828884325805</v>
      </c>
      <c r="AK22" s="8">
        <f>Timeline!AK23</f>
        <v>19.750855578370977</v>
      </c>
      <c r="AL22" s="8">
        <f>Timeline!AL23</f>
        <v>20.251882272416154</v>
      </c>
      <c r="AM22" s="8">
        <f>Timeline!AM23</f>
        <v>20.750171115674195</v>
      </c>
      <c r="AN22" s="8">
        <f>Timeline!AN23</f>
        <v>21.251197809719372</v>
      </c>
      <c r="AO22" s="8">
        <f>Timeline!AO23</f>
        <v>21.749486652977414</v>
      </c>
      <c r="AP22" s="8">
        <f>Timeline!AP23</f>
        <v>22.250513347022586</v>
      </c>
      <c r="AQ22" s="8">
        <f>Timeline!AQ23</f>
        <v>22.748802190280628</v>
      </c>
      <c r="AR22" s="8">
        <f>Timeline!AR23</f>
        <v>23.249828884325805</v>
      </c>
      <c r="AS22" s="8">
        <f>Timeline!AS23</f>
        <v>23.750855578370977</v>
      </c>
      <c r="AT22" s="8">
        <f>Timeline!AT23</f>
        <v>24.251882272416154</v>
      </c>
      <c r="AU22" s="8">
        <f>Timeline!AU23</f>
        <v>24.750171115674195</v>
      </c>
      <c r="AV22" s="8">
        <f>Timeline!AV23</f>
        <v>25.251197809719372</v>
      </c>
      <c r="AW22" s="8">
        <f>Timeline!AW23</f>
        <v>25.749486652977414</v>
      </c>
      <c r="AX22" s="8">
        <f>Timeline!AX23</f>
        <v>26.250513347022586</v>
      </c>
      <c r="AY22" s="8">
        <f>Timeline!AY23</f>
        <v>26.748802190280628</v>
      </c>
      <c r="AZ22" s="8">
        <f>Timeline!AZ23</f>
        <v>27.249828884325805</v>
      </c>
      <c r="BA22" s="8">
        <f>Timeline!BA23</f>
        <v>27.750855578370977</v>
      </c>
      <c r="BB22" s="8">
        <f>Timeline!BB23</f>
        <v>28.251882272416154</v>
      </c>
      <c r="BC22" s="8">
        <f>Timeline!BC23</f>
        <v>28.750171115674195</v>
      </c>
      <c r="BD22" s="8">
        <f>Timeline!BD23</f>
        <v>29.251197809719372</v>
      </c>
      <c r="BE22" s="8">
        <f>Timeline!BE23</f>
        <v>29.749486652977414</v>
      </c>
      <c r="BF22" s="8">
        <f>Timeline!BF23</f>
        <v>30.250513347022586</v>
      </c>
      <c r="BG22" s="8">
        <f>Timeline!BG23</f>
        <v>30.748802190280628</v>
      </c>
      <c r="BH22" s="8">
        <f>Timeline!BH23</f>
        <v>31.249828884325805</v>
      </c>
      <c r="BI22" s="8">
        <f>Timeline!BI23</f>
        <v>31.750855578370977</v>
      </c>
      <c r="BJ22" s="8">
        <f>Timeline!BJ23</f>
        <v>32.251882272416154</v>
      </c>
      <c r="BK22" s="8">
        <f>Timeline!BK23</f>
        <v>32.750171115674199</v>
      </c>
      <c r="BL22" s="8">
        <f>Timeline!BL23</f>
        <v>33.251197809719372</v>
      </c>
      <c r="BM22" s="8">
        <f>Timeline!BM23</f>
        <v>33.74948665297741</v>
      </c>
      <c r="BN22" s="8">
        <f>Timeline!BN23</f>
        <v>34.25051334702259</v>
      </c>
      <c r="BO22" s="8">
        <f>Timeline!BO23</f>
        <v>34.748802190280628</v>
      </c>
      <c r="BP22" s="8">
        <f>Timeline!BP23</f>
        <v>35.249828884325801</v>
      </c>
      <c r="BQ22" s="8">
        <f>Timeline!BQ23</f>
        <v>35.750855578370981</v>
      </c>
      <c r="BR22" s="8">
        <f>Timeline!BR23</f>
        <v>36.251882272416154</v>
      </c>
      <c r="BS22" s="8">
        <f>Timeline!BS23</f>
        <v>36.750171115674199</v>
      </c>
      <c r="BT22" s="8">
        <f>Timeline!BT23</f>
        <v>37.251197809719372</v>
      </c>
      <c r="BU22" s="8">
        <f>Timeline!BU23</f>
        <v>37.74948665297741</v>
      </c>
    </row>
    <row r="23" spans="1:73">
      <c r="A23" t="s">
        <v>241</v>
      </c>
      <c r="B23" t="s">
        <v>39</v>
      </c>
      <c r="C23" t="s">
        <v>131</v>
      </c>
      <c r="D23" s="8">
        <f>(1+Inputs!$B$33)^D22</f>
        <v>1.0664710889029547</v>
      </c>
      <c r="E23" s="8">
        <f>(1+Inputs!$B$33)^E22</f>
        <v>1.0771049015547092</v>
      </c>
      <c r="F23" s="8">
        <f>(1+Inputs!$B$33)^F22</f>
        <v>1.0878447442458046</v>
      </c>
      <c r="G23" s="8">
        <f>(1+Inputs!$B$33)^G22</f>
        <v>1.0986321084498547</v>
      </c>
      <c r="H23" s="8">
        <f>(1+Inputs!$B$33)^H22</f>
        <v>1.1095865995148448</v>
      </c>
      <c r="I23" s="8">
        <f>(1+Inputs!$B$33)^I22</f>
        <v>1.1205895618660566</v>
      </c>
      <c r="J23" s="8">
        <f>(1+Inputs!$B$33)^J22</f>
        <v>1.1317629913048732</v>
      </c>
      <c r="K23" s="8">
        <f>(1+Inputs!$B$33)^K22</f>
        <v>1.1429858607855135</v>
      </c>
      <c r="L23" s="8">
        <f>(1+Inputs!$B$33)^L22</f>
        <v>1.1543826043387775</v>
      </c>
      <c r="M23" s="8">
        <f>(1+Inputs!$B$33)^M22</f>
        <v>1.1658929851364512</v>
      </c>
      <c r="N23" s="8">
        <f>(1+Inputs!$B$33)^N22</f>
        <v>1.1775181362586338</v>
      </c>
      <c r="O23" s="8">
        <f>(1+Inputs!$B$33)^O22</f>
        <v>1.1891947261947307</v>
      </c>
      <c r="P23" s="8">
        <f>(1+Inputs!$B$33)^P22</f>
        <v>1.2010522196199085</v>
      </c>
      <c r="Q23" s="8">
        <f>(1+Inputs!$B$33)^Q22</f>
        <v>1.2129621799241295</v>
      </c>
      <c r="R23" s="8">
        <f>(1+Inputs!$B$33)^R22</f>
        <v>1.2250566592861951</v>
      </c>
      <c r="S23" s="8">
        <f>(1+Inputs!$B$33)^S22</f>
        <v>1.2372046541395227</v>
      </c>
      <c r="T23" s="8">
        <f>(1+Inputs!$B$33)^T22</f>
        <v>1.2495408558808483</v>
      </c>
      <c r="U23" s="8">
        <f>(1+Inputs!$B$33)^U22</f>
        <v>1.2620000622300969</v>
      </c>
      <c r="V23" s="8">
        <f>(1+Inputs!$B$33)^V22</f>
        <v>1.2745834996696075</v>
      </c>
      <c r="W23" s="8">
        <f>(1+Inputs!$B$33)^W22</f>
        <v>1.2872226161355711</v>
      </c>
      <c r="X23" s="8">
        <f>(1+Inputs!$B$33)^X22</f>
        <v>1.300057548355972</v>
      </c>
      <c r="Y23" s="8">
        <f>(1+Inputs!$B$33)^Y22</f>
        <v>1.3129492724135841</v>
      </c>
      <c r="Z23" s="8">
        <f>(1+Inputs!$B$33)^Z22</f>
        <v>1.3260407258335405</v>
      </c>
      <c r="AA23" s="8">
        <f>(1+Inputs!$B$33)^AA22</f>
        <v>1.3391901061422966</v>
      </c>
      <c r="AB23" s="8">
        <f>(1+Inputs!$B$33)^AB22</f>
        <v>1.3525432076393555</v>
      </c>
      <c r="AC23" s="8">
        <f>(1+Inputs!$B$33)^AC22</f>
        <v>1.3660294532798583</v>
      </c>
      <c r="AD23" s="8">
        <f>(1+Inputs!$B$33)^AD22</f>
        <v>1.3796501706477327</v>
      </c>
      <c r="AE23" s="8">
        <f>(1+Inputs!$B$33)^AE22</f>
        <v>1.3933311567844771</v>
      </c>
      <c r="AF23" s="8">
        <f>(1+Inputs!$B$33)^AF22</f>
        <v>1.4072241001912593</v>
      </c>
      <c r="AG23" s="8">
        <f>(1+Inputs!$B$33)^AG22</f>
        <v>1.4211785169090643</v>
      </c>
      <c r="AH23" s="8">
        <f>(1+Inputs!$B$33)^AH22</f>
        <v>1.4353491271119672</v>
      </c>
      <c r="AI23" s="8">
        <f>(1+Inputs!$B$33)^AI22</f>
        <v>1.4495824392422354</v>
      </c>
      <c r="AJ23" s="8">
        <f>(1+Inputs!$B$33)^AJ22</f>
        <v>1.4640362657383961</v>
      </c>
      <c r="AK23" s="8">
        <f>(1+Inputs!$B$33)^AK22</f>
        <v>1.4786342117373361</v>
      </c>
      <c r="AL23" s="8">
        <f>(1+Inputs!$B$33)^AL22</f>
        <v>1.493377714258594</v>
      </c>
      <c r="AM23" s="8">
        <f>(1+Inputs!$B$33)^AM22</f>
        <v>1.5081864536335203</v>
      </c>
      <c r="AN23" s="8">
        <f>(1+Inputs!$B$33)^AN22</f>
        <v>1.5232246223740813</v>
      </c>
      <c r="AO23" s="8">
        <f>(1+Inputs!$B$33)^AO22</f>
        <v>1.5383293318034752</v>
      </c>
      <c r="AP23" s="8">
        <f>(1+Inputs!$B$33)^AP22</f>
        <v>1.5536680560139213</v>
      </c>
      <c r="AQ23" s="8">
        <f>(1+Inputs!$B$33)^AQ22</f>
        <v>1.5690746508070417</v>
      </c>
      <c r="AR23" s="8">
        <f>(1+Inputs!$B$33)^AR22</f>
        <v>1.5847199374415462</v>
      </c>
      <c r="AS23" s="8">
        <f>(1+Inputs!$B$33)^AS22</f>
        <v>1.6005212236607422</v>
      </c>
      <c r="AT23" s="8">
        <f>(1+Inputs!$B$33)^AT22</f>
        <v>1.6164800649407927</v>
      </c>
      <c r="AU23" s="8">
        <f>(1+Inputs!$B$33)^AU22</f>
        <v>1.6325095206892712</v>
      </c>
      <c r="AV23" s="8">
        <f>(1+Inputs!$B$33)^AV22</f>
        <v>1.6487873181615613</v>
      </c>
      <c r="AW23" s="8">
        <f>(1+Inputs!$B$33)^AW22</f>
        <v>1.6651371414153926</v>
      </c>
      <c r="AX23" s="8">
        <f>(1+Inputs!$B$33)^AX22</f>
        <v>1.6817402697941497</v>
      </c>
      <c r="AY23" s="8">
        <f>(1+Inputs!$B$33)^AY22</f>
        <v>1.698416863474312</v>
      </c>
      <c r="AZ23" s="8">
        <f>(1+Inputs!$B$33)^AZ22</f>
        <v>1.715351824879918</v>
      </c>
      <c r="BA23" s="8">
        <f>(1+Inputs!$B$33)^BA22</f>
        <v>1.7324556452529403</v>
      </c>
      <c r="BB23" s="8">
        <f>(1+Inputs!$B$33)^BB22</f>
        <v>1.7497300082908027</v>
      </c>
      <c r="BC23" s="8">
        <f>(1+Inputs!$B$33)^BC22</f>
        <v>1.7670808067002528</v>
      </c>
      <c r="BD23" s="8">
        <f>(1+Inputs!$B$33)^BD22</f>
        <v>1.7847004181782262</v>
      </c>
      <c r="BE23" s="8">
        <f>(1+Inputs!$B$33)^BE22</f>
        <v>1.8023979926784888</v>
      </c>
      <c r="BF23" s="8">
        <f>(1+Inputs!$B$33)^BF22</f>
        <v>1.8203697527922644</v>
      </c>
      <c r="BG23" s="8">
        <f>(1+Inputs!$B$33)^BG22</f>
        <v>1.8384210341109248</v>
      </c>
      <c r="BH23" s="8">
        <f>(1+Inputs!$B$33)^BH22</f>
        <v>1.8567519809647113</v>
      </c>
      <c r="BI23" s="8">
        <f>(1+Inputs!$B$33)^BI22</f>
        <v>1.8752657061953342</v>
      </c>
      <c r="BJ23" s="8">
        <f>(1+Inputs!$B$33)^BJ22</f>
        <v>1.8939640322910316</v>
      </c>
      <c r="BK23" s="8">
        <f>(1+Inputs!$B$33)^BK22</f>
        <v>1.9127450944910973</v>
      </c>
      <c r="BL23" s="8">
        <f>(1+Inputs!$B$33)^BL22</f>
        <v>1.9318171286015606</v>
      </c>
      <c r="BM23" s="8">
        <f>(1+Inputs!$B$33)^BM22</f>
        <v>1.950973552394641</v>
      </c>
      <c r="BN23" s="8">
        <f>(1+Inputs!$B$33)^BN22</f>
        <v>1.970426763513597</v>
      </c>
      <c r="BO23" s="8">
        <f>(1+Inputs!$B$33)^BO22</f>
        <v>1.989966050942122</v>
      </c>
      <c r="BP23" s="8">
        <f>(1+Inputs!$B$33)^BP22</f>
        <v>2.0098080573399115</v>
      </c>
      <c r="BQ23" s="8">
        <f>(1+Inputs!$B$33)^BQ22</f>
        <v>2.0298479089309409</v>
      </c>
      <c r="BR23" s="8">
        <f>(1+Inputs!$B$33)^BR22</f>
        <v>2.0500875784350909</v>
      </c>
      <c r="BS23" s="8">
        <f>(1+Inputs!$B$33)^BS22</f>
        <v>2.0704168041594029</v>
      </c>
      <c r="BT23" s="8">
        <f>(1+Inputs!$B$33)^BT22</f>
        <v>2.0910609872371855</v>
      </c>
      <c r="BU23" s="8">
        <f>(1+Inputs!$B$33)^BU22</f>
        <v>2.1117965164214043</v>
      </c>
    </row>
    <row r="24" spans="1:73">
      <c r="A24" t="s">
        <v>247</v>
      </c>
      <c r="B24" t="s">
        <v>184</v>
      </c>
      <c r="C24" s="8">
        <f>SUM(D24:BU24)</f>
        <v>44784592.120154262</v>
      </c>
      <c r="D24" s="8">
        <f>Inputs!$B$31 * Construction!$C$10 / 2 * D23 * D8</f>
        <v>0</v>
      </c>
      <c r="E24" s="8">
        <f>Inputs!$B$31 * Construction!$C$10 / 2 * E23 * E8</f>
        <v>0</v>
      </c>
      <c r="F24" s="8">
        <f>Inputs!$B$31 * Construction!$C$10 / 2 * F23 * F8</f>
        <v>0</v>
      </c>
      <c r="G24" s="8">
        <f>Inputs!$B$31 * Construction!$C$10 / 2 * G23 * G8</f>
        <v>0</v>
      </c>
      <c r="H24" s="8">
        <f>Inputs!$B$31 * Construction!$C$10 / 2 * H23 * H8</f>
        <v>549245.3667598482</v>
      </c>
      <c r="I24" s="8">
        <f>Inputs!$B$31 * Construction!$C$10 / 2 * I23 * I8</f>
        <v>554691.83312369802</v>
      </c>
      <c r="J24" s="8">
        <f>Inputs!$B$31 * Construction!$C$10 / 2 * J23 * J8</f>
        <v>560222.68069591222</v>
      </c>
      <c r="K24" s="8">
        <f>Inputs!$B$31 * Construction!$C$10 / 2 * K23 * K8</f>
        <v>565778.00108882913</v>
      </c>
      <c r="L24" s="8">
        <f>Inputs!$B$31 * Construction!$C$10 / 2 * L23 * L8</f>
        <v>571419.3891476948</v>
      </c>
      <c r="M24" s="8">
        <f>Inputs!$B$31 * Construction!$C$10 / 2 * M23 * M8</f>
        <v>577117.02764254331</v>
      </c>
      <c r="N24" s="8">
        <f>Inputs!$B$31 * Construction!$C$10 / 2 * N23 * N8</f>
        <v>582871.47744802374</v>
      </c>
      <c r="O24" s="8">
        <f>Inputs!$B$31 * Construction!$C$10 / 2 * O23 * O8</f>
        <v>588651.38946639164</v>
      </c>
      <c r="P24" s="8">
        <f>Inputs!$B$31 * Construction!$C$10 / 2 * P23 * P8</f>
        <v>594520.84871185466</v>
      </c>
      <c r="Q24" s="8">
        <f>Inputs!$B$31 * Construction!$C$10 / 2 * Q23 * Q8</f>
        <v>600416.27906244411</v>
      </c>
      <c r="R24" s="8">
        <f>Inputs!$B$31 * Construction!$C$10 / 2 * R23 * R8</f>
        <v>606403.04634666652</v>
      </c>
      <c r="S24" s="8">
        <f>Inputs!$B$31 * Construction!$C$10 / 2 * S23 * S8</f>
        <v>612416.30379906378</v>
      </c>
      <c r="T24" s="8">
        <f>Inputs!$B$31 * Construction!$C$10 / 2 * T23 * T8</f>
        <v>618522.72366101993</v>
      </c>
      <c r="U24" s="8">
        <f>Inputs!$B$31 * Construction!$C$10 / 2 * U23 * U8</f>
        <v>624690.030803898</v>
      </c>
      <c r="V24" s="8">
        <f>Inputs!$B$31 * Construction!$C$10 / 2 * V23 * V8</f>
        <v>630918.8323364557</v>
      </c>
      <c r="W24" s="8">
        <f>Inputs!$B$31 * Construction!$C$10 / 2 * W23 * W8</f>
        <v>637175.19498710765</v>
      </c>
      <c r="X24" s="8">
        <f>Inputs!$B$31 * Construction!$C$10 / 2 * X23 * X8</f>
        <v>643528.48643620615</v>
      </c>
      <c r="Y24" s="8">
        <f>Inputs!$B$31 * Construction!$C$10 / 2 * Y23 * Y8</f>
        <v>649909.88984472409</v>
      </c>
      <c r="Z24" s="8">
        <f>Inputs!$B$31 * Construction!$C$10 / 2 * Z23 * Z8</f>
        <v>656390.15928760252</v>
      </c>
      <c r="AA24" s="8">
        <f>Inputs!$B$31 * Construction!$C$10 / 2 * AA23 * AA8</f>
        <v>662899.10254043678</v>
      </c>
      <c r="AB24" s="8">
        <f>Inputs!$B$31 * Construction!$C$10 / 2 * AB23 * AB8</f>
        <v>669508.88778148103</v>
      </c>
      <c r="AC24" s="8">
        <f>Inputs!$B$31 * Construction!$C$10 / 2 * AC23 * AC8</f>
        <v>676184.57937352988</v>
      </c>
      <c r="AD24" s="8">
        <f>Inputs!$B$31 * Construction!$C$10 / 2 * AD23 * AD8</f>
        <v>682926.83447062771</v>
      </c>
      <c r="AE24" s="8">
        <f>Inputs!$B$31 * Construction!$C$10 / 2 * AE23 * AE8</f>
        <v>689698.92260831618</v>
      </c>
      <c r="AF24" s="8">
        <f>Inputs!$B$31 * Construction!$C$10 / 2 * AF23 * AF8</f>
        <v>696575.92959467333</v>
      </c>
      <c r="AG24" s="8">
        <f>Inputs!$B$31 * Construction!$C$10 / 2 * AG23 * AG8</f>
        <v>703483.36586998682</v>
      </c>
      <c r="AH24" s="8">
        <f>Inputs!$B$31 * Construction!$C$10 / 2 * AH23 * AH8</f>
        <v>710497.81792042369</v>
      </c>
      <c r="AI24" s="8">
        <f>Inputs!$B$31 * Construction!$C$10 / 2 * AI23 * AI8</f>
        <v>717543.30742490652</v>
      </c>
      <c r="AJ24" s="8">
        <f>Inputs!$B$31 * Construction!$C$10 / 2 * AJ23 * AJ8</f>
        <v>724697.9515405061</v>
      </c>
      <c r="AK24" s="8">
        <f>Inputs!$B$31 * Construction!$C$10 / 2 * AK23 * AK8</f>
        <v>731923.93480998138</v>
      </c>
      <c r="AL24" s="8">
        <f>Inputs!$B$31 * Construction!$C$10 / 2 * AL23 * AL8</f>
        <v>739221.96855800401</v>
      </c>
      <c r="AM24" s="8">
        <f>Inputs!$B$31 * Construction!$C$10 / 2 * AM23 * AM8</f>
        <v>746552.29454859253</v>
      </c>
      <c r="AN24" s="8">
        <f>Inputs!$B$31 * Construction!$C$10 / 2 * AN23 * AN8</f>
        <v>753996.18807517027</v>
      </c>
      <c r="AO24" s="8">
        <f>Inputs!$B$31 * Construction!$C$10 / 2 * AO23 * AO8</f>
        <v>761473.01924272021</v>
      </c>
      <c r="AP24" s="8">
        <f>Inputs!$B$31 * Construction!$C$10 / 2 * AP23 * AP8</f>
        <v>769065.68772689102</v>
      </c>
      <c r="AQ24" s="8">
        <f>Inputs!$B$31 * Construction!$C$10 / 2 * AQ23 * AQ8</f>
        <v>776691.95214948559</v>
      </c>
      <c r="AR24" s="8">
        <f>Inputs!$B$31 * Construction!$C$10 / 2 * AR23 * AR8</f>
        <v>784436.3690335654</v>
      </c>
      <c r="AS24" s="8">
        <f>Inputs!$B$31 * Construction!$C$10 / 2 * AS23 * AS8</f>
        <v>792258.00571206736</v>
      </c>
      <c r="AT24" s="8">
        <f>Inputs!$B$31 * Construction!$C$10 / 2 * AT23 * AT8</f>
        <v>800157.63214569236</v>
      </c>
      <c r="AU24" s="8">
        <f>Inputs!$B$31 * Construction!$C$10 / 2 * AU23 * AU8</f>
        <v>808092.21274118929</v>
      </c>
      <c r="AV24" s="8">
        <f>Inputs!$B$31 * Construction!$C$10 / 2 * AV23 * AV8</f>
        <v>816149.72248997283</v>
      </c>
      <c r="AW24" s="8">
        <f>Inputs!$B$31 * Construction!$C$10 / 2 * AW23 * AW8</f>
        <v>824242.88500061934</v>
      </c>
      <c r="AX24" s="8">
        <f>Inputs!$B$31 * Construction!$C$10 / 2 * AX23 * AX8</f>
        <v>832461.43354810413</v>
      </c>
      <c r="AY24" s="8">
        <f>Inputs!$B$31 * Construction!$C$10 / 2 * AY23 * AY8</f>
        <v>840716.3474197844</v>
      </c>
      <c r="AZ24" s="8">
        <f>Inputs!$B$31 * Construction!$C$10 / 2 * AZ23 * AZ8</f>
        <v>849099.15331555938</v>
      </c>
      <c r="BA24" s="8">
        <f>Inputs!$B$31 * Construction!$C$10 / 2 * BA23 * BA8</f>
        <v>857565.54440020549</v>
      </c>
      <c r="BB24" s="8">
        <f>Inputs!$B$31 * Construction!$C$10 / 2 * BB23 * BB8</f>
        <v>866116.35410394729</v>
      </c>
      <c r="BC24" s="8">
        <f>Inputs!$B$31 * Construction!$C$10 / 2 * BC23 * BC8</f>
        <v>874704.99931662518</v>
      </c>
      <c r="BD24" s="8">
        <f>Inputs!$B$31 * Construction!$C$10 / 2 * BD23 * BD8</f>
        <v>883426.70699822193</v>
      </c>
      <c r="BE24" s="8">
        <f>Inputs!$B$31 * Construction!$C$10 / 2 * BE23 * BE8</f>
        <v>892187.00637585192</v>
      </c>
      <c r="BF24" s="8">
        <f>Inputs!$B$31 * Construction!$C$10 / 2 * BF23 * BF8</f>
        <v>901083.02763217094</v>
      </c>
      <c r="BG24" s="8">
        <f>Inputs!$B$31 * Construction!$C$10 / 2 * BG23 * BG8</f>
        <v>910018.41188490775</v>
      </c>
      <c r="BH24" s="8">
        <f>Inputs!$B$31 * Construction!$C$10 / 2 * BH23 * BH8</f>
        <v>919092.23057753209</v>
      </c>
      <c r="BI24" s="8">
        <f>Inputs!$B$31 * Construction!$C$10 / 2 * BI23 * BI8</f>
        <v>928256.52456669044</v>
      </c>
      <c r="BJ24" s="8">
        <f>Inputs!$B$31 * Construction!$C$10 / 2 * BJ23 * BJ8</f>
        <v>937512.19598406064</v>
      </c>
      <c r="BK24" s="8">
        <f>Inputs!$B$31 * Construction!$C$10 / 2 * BK23 * BK8</f>
        <v>946808.82177309319</v>
      </c>
      <c r="BL24" s="8">
        <f>Inputs!$B$31 * Construction!$C$10 / 2 * BL23 * BL8</f>
        <v>956249.47865777253</v>
      </c>
      <c r="BM24" s="8">
        <f>Inputs!$B$31 * Construction!$C$10 / 2 * BM23 * BM8</f>
        <v>965731.90843534726</v>
      </c>
      <c r="BN24" s="8">
        <f>Inputs!$B$31 * Construction!$C$10 / 2 * BN23 * BN8</f>
        <v>975361.24793923052</v>
      </c>
      <c r="BO24" s="8">
        <f>Inputs!$B$31 * Construction!$C$10 / 2 * BO23 * BO8</f>
        <v>985033.19521635037</v>
      </c>
      <c r="BP24" s="8">
        <f>Inputs!$B$31 * Construction!$C$10 / 2 * BP23 * BP8</f>
        <v>0</v>
      </c>
      <c r="BQ24" s="8">
        <f>Inputs!$B$31 * Construction!$C$10 / 2 * BQ23 * BQ8</f>
        <v>0</v>
      </c>
      <c r="BR24" s="8">
        <f>Inputs!$B$31 * Construction!$C$10 / 2 * BR23 * BR8</f>
        <v>0</v>
      </c>
      <c r="BS24" s="8">
        <f>Inputs!$B$31 * Construction!$C$10 / 2 * BS23 * BS8</f>
        <v>0</v>
      </c>
      <c r="BT24" s="8">
        <f>Inputs!$B$31 * Construction!$C$10 / 2 * BT23 * BT8</f>
        <v>0</v>
      </c>
      <c r="BU24" s="8">
        <f>Inputs!$B$31 * Construction!$C$10 / 2 * BU23 * BU8</f>
        <v>0</v>
      </c>
    </row>
    <row r="25" spans="1:73">
      <c r="A25" t="s">
        <v>32</v>
      </c>
      <c r="B25" t="s">
        <v>184</v>
      </c>
      <c r="C25" s="8">
        <f>SUM(D25:BU25)</f>
        <v>0</v>
      </c>
      <c r="D25" s="8">
        <f>D14 * Inputs!$B$32 * D23</f>
        <v>0</v>
      </c>
      <c r="E25" s="8">
        <f>E14 * Inputs!$B$32 * E23</f>
        <v>0</v>
      </c>
      <c r="F25" s="8">
        <f>F14 * Inputs!$B$32 * F23</f>
        <v>0</v>
      </c>
      <c r="G25" s="8">
        <f>G14 * Inputs!$B$32 * G23</f>
        <v>0</v>
      </c>
      <c r="H25" s="8">
        <f>H14 * Inputs!$B$32 * H23</f>
        <v>0</v>
      </c>
      <c r="I25" s="8">
        <f>I14 * Inputs!$B$32 * I23</f>
        <v>0</v>
      </c>
      <c r="J25" s="8">
        <f>J14 * Inputs!$B$32 * J23</f>
        <v>0</v>
      </c>
      <c r="K25" s="8">
        <f>K14 * Inputs!$B$32 * K23</f>
        <v>0</v>
      </c>
      <c r="L25" s="8">
        <f>L14 * Inputs!$B$32 * L23</f>
        <v>0</v>
      </c>
      <c r="M25" s="8">
        <f>M14 * Inputs!$B$32 * M23</f>
        <v>0</v>
      </c>
      <c r="N25" s="8">
        <f>N14 * Inputs!$B$32 * N23</f>
        <v>0</v>
      </c>
      <c r="O25" s="8">
        <f>O14 * Inputs!$B$32 * O23</f>
        <v>0</v>
      </c>
      <c r="P25" s="8">
        <f>P14 * Inputs!$B$32 * P23</f>
        <v>0</v>
      </c>
      <c r="Q25" s="8">
        <f>Q14 * Inputs!$B$32 * Q23</f>
        <v>0</v>
      </c>
      <c r="R25" s="8">
        <f>R14 * Inputs!$B$32 * R23</f>
        <v>0</v>
      </c>
      <c r="S25" s="8">
        <f>S14 * Inputs!$B$32 * S23</f>
        <v>0</v>
      </c>
      <c r="T25" s="8">
        <f>T14 * Inputs!$B$32 * T23</f>
        <v>0</v>
      </c>
      <c r="U25" s="8">
        <f>U14 * Inputs!$B$32 * U23</f>
        <v>0</v>
      </c>
      <c r="V25" s="8">
        <f>V14 * Inputs!$B$32 * V23</f>
        <v>0</v>
      </c>
      <c r="W25" s="8">
        <f>W14 * Inputs!$B$32 * W23</f>
        <v>0</v>
      </c>
      <c r="X25" s="8">
        <f>X14 * Inputs!$B$32 * X23</f>
        <v>0</v>
      </c>
      <c r="Y25" s="8">
        <f>Y14 * Inputs!$B$32 * Y23</f>
        <v>0</v>
      </c>
      <c r="Z25" s="8">
        <f>Z14 * Inputs!$B$32 * Z23</f>
        <v>0</v>
      </c>
      <c r="AA25" s="8">
        <f>AA14 * Inputs!$B$32 * AA23</f>
        <v>0</v>
      </c>
      <c r="AB25" s="8">
        <f>AB14 * Inputs!$B$32 * AB23</f>
        <v>0</v>
      </c>
      <c r="AC25" s="8">
        <f>AC14 * Inputs!$B$32 * AC23</f>
        <v>0</v>
      </c>
      <c r="AD25" s="8">
        <f>AD14 * Inputs!$B$32 * AD23</f>
        <v>0</v>
      </c>
      <c r="AE25" s="8">
        <f>AE14 * Inputs!$B$32 * AE23</f>
        <v>0</v>
      </c>
      <c r="AF25" s="8">
        <f>AF14 * Inputs!$B$32 * AF23</f>
        <v>0</v>
      </c>
      <c r="AG25" s="8">
        <f>AG14 * Inputs!$B$32 * AG23</f>
        <v>0</v>
      </c>
      <c r="AH25" s="8">
        <f>AH14 * Inputs!$B$32 * AH23</f>
        <v>0</v>
      </c>
      <c r="AI25" s="8">
        <f>AI14 * Inputs!$B$32 * AI23</f>
        <v>0</v>
      </c>
      <c r="AJ25" s="8">
        <f>AJ14 * Inputs!$B$32 * AJ23</f>
        <v>0</v>
      </c>
      <c r="AK25" s="8">
        <f>AK14 * Inputs!$B$32 * AK23</f>
        <v>0</v>
      </c>
      <c r="AL25" s="8">
        <f>AL14 * Inputs!$B$32 * AL23</f>
        <v>0</v>
      </c>
      <c r="AM25" s="8">
        <f>AM14 * Inputs!$B$32 * AM23</f>
        <v>0</v>
      </c>
      <c r="AN25" s="8">
        <f>AN14 * Inputs!$B$32 * AN23</f>
        <v>0</v>
      </c>
      <c r="AO25" s="8">
        <f>AO14 * Inputs!$B$32 * AO23</f>
        <v>0</v>
      </c>
      <c r="AP25" s="8">
        <f>AP14 * Inputs!$B$32 * AP23</f>
        <v>0</v>
      </c>
      <c r="AQ25" s="8">
        <f>AQ14 * Inputs!$B$32 * AQ23</f>
        <v>0</v>
      </c>
      <c r="AR25" s="8">
        <f>AR14 * Inputs!$B$32 * AR23</f>
        <v>0</v>
      </c>
      <c r="AS25" s="8">
        <f>AS14 * Inputs!$B$32 * AS23</f>
        <v>0</v>
      </c>
      <c r="AT25" s="8">
        <f>AT14 * Inputs!$B$32 * AT23</f>
        <v>0</v>
      </c>
      <c r="AU25" s="8">
        <f>AU14 * Inputs!$B$32 * AU23</f>
        <v>0</v>
      </c>
      <c r="AV25" s="8">
        <f>AV14 * Inputs!$B$32 * AV23</f>
        <v>0</v>
      </c>
      <c r="AW25" s="8">
        <f>AW14 * Inputs!$B$32 * AW23</f>
        <v>0</v>
      </c>
      <c r="AX25" s="8">
        <f>AX14 * Inputs!$B$32 * AX23</f>
        <v>0</v>
      </c>
      <c r="AY25" s="8">
        <f>AY14 * Inputs!$B$32 * AY23</f>
        <v>0</v>
      </c>
      <c r="AZ25" s="8">
        <f>AZ14 * Inputs!$B$32 * AZ23</f>
        <v>0</v>
      </c>
      <c r="BA25" s="8">
        <f>BA14 * Inputs!$B$32 * BA23</f>
        <v>0</v>
      </c>
      <c r="BB25" s="8">
        <f>BB14 * Inputs!$B$32 * BB23</f>
        <v>0</v>
      </c>
      <c r="BC25" s="8">
        <f>BC14 * Inputs!$B$32 * BC23</f>
        <v>0</v>
      </c>
      <c r="BD25" s="8">
        <f>BD14 * Inputs!$B$32 * BD23</f>
        <v>0</v>
      </c>
      <c r="BE25" s="8">
        <f>BE14 * Inputs!$B$32 * BE23</f>
        <v>0</v>
      </c>
      <c r="BF25" s="8">
        <f>BF14 * Inputs!$B$32 * BF23</f>
        <v>0</v>
      </c>
      <c r="BG25" s="8">
        <f>BG14 * Inputs!$B$32 * BG23</f>
        <v>0</v>
      </c>
      <c r="BH25" s="8">
        <f>BH14 * Inputs!$B$32 * BH23</f>
        <v>0</v>
      </c>
      <c r="BI25" s="8">
        <f>BI14 * Inputs!$B$32 * BI23</f>
        <v>0</v>
      </c>
      <c r="BJ25" s="8">
        <f>BJ14 * Inputs!$B$32 * BJ23</f>
        <v>0</v>
      </c>
      <c r="BK25" s="8">
        <f>BK14 * Inputs!$B$32 * BK23</f>
        <v>0</v>
      </c>
      <c r="BL25" s="8">
        <f>BL14 * Inputs!$B$32 * BL23</f>
        <v>0</v>
      </c>
      <c r="BM25" s="8">
        <f>BM14 * Inputs!$B$32 * BM23</f>
        <v>0</v>
      </c>
      <c r="BN25" s="8">
        <f>BN14 * Inputs!$B$32 * BN23</f>
        <v>0</v>
      </c>
      <c r="BO25" s="8">
        <f>BO14 * Inputs!$B$32 * BO23</f>
        <v>0</v>
      </c>
      <c r="BP25" s="8">
        <f>BP14 * Inputs!$B$32 * BP23</f>
        <v>0</v>
      </c>
      <c r="BQ25" s="8">
        <f>BQ14 * Inputs!$B$32 * BQ23</f>
        <v>0</v>
      </c>
      <c r="BR25" s="8">
        <f>BR14 * Inputs!$B$32 * BR23</f>
        <v>0</v>
      </c>
      <c r="BS25" s="8">
        <f>BS14 * Inputs!$B$32 * BS23</f>
        <v>0</v>
      </c>
      <c r="BT25" s="8">
        <f>BT14 * Inputs!$B$32 * BT23</f>
        <v>0</v>
      </c>
      <c r="BU25" s="8">
        <f>BU14 * Inputs!$B$32 * BU23</f>
        <v>0</v>
      </c>
    </row>
    <row r="26" spans="1:73">
      <c r="A26" t="s">
        <v>242</v>
      </c>
      <c r="B26" t="s">
        <v>184</v>
      </c>
      <c r="C26" s="8">
        <f>SUM(D26:BU26)</f>
        <v>44784592.120154262</v>
      </c>
      <c r="D26" s="8">
        <f>D24 + D25</f>
        <v>0</v>
      </c>
      <c r="E26" s="8">
        <f t="shared" ref="E26:BP26" si="4">E24 + E25</f>
        <v>0</v>
      </c>
      <c r="F26" s="8">
        <f t="shared" si="4"/>
        <v>0</v>
      </c>
      <c r="G26" s="8">
        <f t="shared" si="4"/>
        <v>0</v>
      </c>
      <c r="H26" s="8">
        <f t="shared" si="4"/>
        <v>549245.3667598482</v>
      </c>
      <c r="I26" s="8">
        <f t="shared" si="4"/>
        <v>554691.83312369802</v>
      </c>
      <c r="J26" s="8">
        <f t="shared" si="4"/>
        <v>560222.68069591222</v>
      </c>
      <c r="K26" s="8">
        <f t="shared" si="4"/>
        <v>565778.00108882913</v>
      </c>
      <c r="L26" s="8">
        <f t="shared" si="4"/>
        <v>571419.3891476948</v>
      </c>
      <c r="M26" s="8">
        <f t="shared" si="4"/>
        <v>577117.02764254331</v>
      </c>
      <c r="N26" s="8">
        <f t="shared" si="4"/>
        <v>582871.47744802374</v>
      </c>
      <c r="O26" s="8">
        <f t="shared" si="4"/>
        <v>588651.38946639164</v>
      </c>
      <c r="P26" s="8">
        <f t="shared" si="4"/>
        <v>594520.84871185466</v>
      </c>
      <c r="Q26" s="8">
        <f t="shared" si="4"/>
        <v>600416.27906244411</v>
      </c>
      <c r="R26" s="8">
        <f t="shared" si="4"/>
        <v>606403.04634666652</v>
      </c>
      <c r="S26" s="8">
        <f t="shared" si="4"/>
        <v>612416.30379906378</v>
      </c>
      <c r="T26" s="8">
        <f t="shared" si="4"/>
        <v>618522.72366101993</v>
      </c>
      <c r="U26" s="8">
        <f t="shared" si="4"/>
        <v>624690.030803898</v>
      </c>
      <c r="V26" s="8">
        <f t="shared" si="4"/>
        <v>630918.8323364557</v>
      </c>
      <c r="W26" s="8">
        <f t="shared" si="4"/>
        <v>637175.19498710765</v>
      </c>
      <c r="X26" s="8">
        <f t="shared" si="4"/>
        <v>643528.48643620615</v>
      </c>
      <c r="Y26" s="8">
        <f t="shared" si="4"/>
        <v>649909.88984472409</v>
      </c>
      <c r="Z26" s="8">
        <f t="shared" si="4"/>
        <v>656390.15928760252</v>
      </c>
      <c r="AA26" s="8">
        <f t="shared" si="4"/>
        <v>662899.10254043678</v>
      </c>
      <c r="AB26" s="8">
        <f t="shared" si="4"/>
        <v>669508.88778148103</v>
      </c>
      <c r="AC26" s="8">
        <f t="shared" si="4"/>
        <v>676184.57937352988</v>
      </c>
      <c r="AD26" s="8">
        <f t="shared" si="4"/>
        <v>682926.83447062771</v>
      </c>
      <c r="AE26" s="8">
        <f t="shared" si="4"/>
        <v>689698.92260831618</v>
      </c>
      <c r="AF26" s="8">
        <f t="shared" si="4"/>
        <v>696575.92959467333</v>
      </c>
      <c r="AG26" s="8">
        <f t="shared" si="4"/>
        <v>703483.36586998682</v>
      </c>
      <c r="AH26" s="8">
        <f t="shared" si="4"/>
        <v>710497.81792042369</v>
      </c>
      <c r="AI26" s="8">
        <f t="shared" si="4"/>
        <v>717543.30742490652</v>
      </c>
      <c r="AJ26" s="8">
        <f t="shared" si="4"/>
        <v>724697.9515405061</v>
      </c>
      <c r="AK26" s="8">
        <f t="shared" si="4"/>
        <v>731923.93480998138</v>
      </c>
      <c r="AL26" s="8">
        <f t="shared" si="4"/>
        <v>739221.96855800401</v>
      </c>
      <c r="AM26" s="8">
        <f t="shared" si="4"/>
        <v>746552.29454859253</v>
      </c>
      <c r="AN26" s="8">
        <f t="shared" si="4"/>
        <v>753996.18807517027</v>
      </c>
      <c r="AO26" s="8">
        <f t="shared" si="4"/>
        <v>761473.01924272021</v>
      </c>
      <c r="AP26" s="8">
        <f t="shared" si="4"/>
        <v>769065.68772689102</v>
      </c>
      <c r="AQ26" s="8">
        <f t="shared" si="4"/>
        <v>776691.95214948559</v>
      </c>
      <c r="AR26" s="8">
        <f t="shared" si="4"/>
        <v>784436.3690335654</v>
      </c>
      <c r="AS26" s="8">
        <f t="shared" si="4"/>
        <v>792258.00571206736</v>
      </c>
      <c r="AT26" s="8">
        <f t="shared" si="4"/>
        <v>800157.63214569236</v>
      </c>
      <c r="AU26" s="8">
        <f t="shared" si="4"/>
        <v>808092.21274118929</v>
      </c>
      <c r="AV26" s="8">
        <f t="shared" si="4"/>
        <v>816149.72248997283</v>
      </c>
      <c r="AW26" s="8">
        <f t="shared" si="4"/>
        <v>824242.88500061934</v>
      </c>
      <c r="AX26" s="8">
        <f t="shared" si="4"/>
        <v>832461.43354810413</v>
      </c>
      <c r="AY26" s="8">
        <f t="shared" si="4"/>
        <v>840716.3474197844</v>
      </c>
      <c r="AZ26" s="8">
        <f t="shared" si="4"/>
        <v>849099.15331555938</v>
      </c>
      <c r="BA26" s="8">
        <f t="shared" si="4"/>
        <v>857565.54440020549</v>
      </c>
      <c r="BB26" s="8">
        <f t="shared" si="4"/>
        <v>866116.35410394729</v>
      </c>
      <c r="BC26" s="8">
        <f t="shared" si="4"/>
        <v>874704.99931662518</v>
      </c>
      <c r="BD26" s="8">
        <f t="shared" si="4"/>
        <v>883426.70699822193</v>
      </c>
      <c r="BE26" s="8">
        <f t="shared" si="4"/>
        <v>892187.00637585192</v>
      </c>
      <c r="BF26" s="8">
        <f t="shared" si="4"/>
        <v>901083.02763217094</v>
      </c>
      <c r="BG26" s="8">
        <f t="shared" si="4"/>
        <v>910018.41188490775</v>
      </c>
      <c r="BH26" s="8">
        <f t="shared" si="4"/>
        <v>919092.23057753209</v>
      </c>
      <c r="BI26" s="8">
        <f t="shared" si="4"/>
        <v>928256.52456669044</v>
      </c>
      <c r="BJ26" s="8">
        <f t="shared" si="4"/>
        <v>937512.19598406064</v>
      </c>
      <c r="BK26" s="8">
        <f t="shared" si="4"/>
        <v>946808.82177309319</v>
      </c>
      <c r="BL26" s="8">
        <f t="shared" si="4"/>
        <v>956249.47865777253</v>
      </c>
      <c r="BM26" s="8">
        <f t="shared" si="4"/>
        <v>965731.90843534726</v>
      </c>
      <c r="BN26" s="8">
        <f t="shared" si="4"/>
        <v>975361.24793923052</v>
      </c>
      <c r="BO26" s="8">
        <f t="shared" si="4"/>
        <v>985033.19521635037</v>
      </c>
      <c r="BP26" s="8">
        <f t="shared" si="4"/>
        <v>0</v>
      </c>
      <c r="BQ26" s="8">
        <f t="shared" ref="BQ26:BU26" si="5">BQ24 + BQ25</f>
        <v>0</v>
      </c>
      <c r="BR26" s="8">
        <f t="shared" si="5"/>
        <v>0</v>
      </c>
      <c r="BS26" s="8">
        <f t="shared" si="5"/>
        <v>0</v>
      </c>
      <c r="BT26" s="8">
        <f t="shared" si="5"/>
        <v>0</v>
      </c>
      <c r="BU26" s="8">
        <f t="shared" si="5"/>
        <v>0</v>
      </c>
    </row>
    <row r="27" spans="1:73">
      <c r="A27" t="s">
        <v>243</v>
      </c>
      <c r="B27" t="s">
        <v>184</v>
      </c>
      <c r="C27" s="8">
        <f>SUM(D27:BU27)</f>
        <v>35982994.029017337</v>
      </c>
      <c r="D27" s="8">
        <f>D17-D26</f>
        <v>0</v>
      </c>
      <c r="E27" s="8">
        <f t="shared" ref="E27:BP27" si="6">E17-E26</f>
        <v>0</v>
      </c>
      <c r="F27" s="8">
        <f t="shared" si="6"/>
        <v>0</v>
      </c>
      <c r="G27" s="8">
        <f t="shared" si="6"/>
        <v>0</v>
      </c>
      <c r="H27" s="8">
        <f t="shared" si="6"/>
        <v>1220374.4089345317</v>
      </c>
      <c r="I27" s="8">
        <f t="shared" si="6"/>
        <v>367941.26282097551</v>
      </c>
      <c r="J27" s="8">
        <f t="shared" si="6"/>
        <v>1209397.0949984677</v>
      </c>
      <c r="K27" s="8">
        <f t="shared" si="6"/>
        <v>356855.09485584439</v>
      </c>
      <c r="L27" s="8">
        <f t="shared" si="6"/>
        <v>1198200.3865466854</v>
      </c>
      <c r="M27" s="8">
        <f t="shared" si="6"/>
        <v>345516.06830213021</v>
      </c>
      <c r="N27" s="8">
        <f t="shared" si="6"/>
        <v>1186748.2982463562</v>
      </c>
      <c r="O27" s="8">
        <f t="shared" si="6"/>
        <v>333981.70647828188</v>
      </c>
      <c r="P27" s="8">
        <f t="shared" si="6"/>
        <v>1175098.9269825253</v>
      </c>
      <c r="Q27" s="8">
        <f t="shared" si="6"/>
        <v>322216.81688222941</v>
      </c>
      <c r="R27" s="8">
        <f t="shared" si="6"/>
        <v>1163216.7293477135</v>
      </c>
      <c r="S27" s="8">
        <f t="shared" si="6"/>
        <v>310216.79214560974</v>
      </c>
      <c r="T27" s="8">
        <f t="shared" si="6"/>
        <v>1151097.0520333601</v>
      </c>
      <c r="U27" s="8">
        <f t="shared" si="6"/>
        <v>297943.06514077552</v>
      </c>
      <c r="V27" s="8">
        <f t="shared" si="6"/>
        <v>1138700.9433579245</v>
      </c>
      <c r="W27" s="8">
        <f t="shared" si="6"/>
        <v>285457.90095756587</v>
      </c>
      <c r="X27" s="8">
        <f t="shared" si="6"/>
        <v>1126091.2892581739</v>
      </c>
      <c r="Y27" s="8">
        <f t="shared" si="6"/>
        <v>272723.20609994943</v>
      </c>
      <c r="Z27" s="8">
        <f t="shared" si="6"/>
        <v>1113229.6164067774</v>
      </c>
      <c r="AA27" s="8">
        <f t="shared" si="6"/>
        <v>259733.99340423674</v>
      </c>
      <c r="AB27" s="8">
        <f t="shared" si="6"/>
        <v>1100110.887912899</v>
      </c>
      <c r="AC27" s="8">
        <f t="shared" si="6"/>
        <v>246448.51657114364</v>
      </c>
      <c r="AD27" s="8">
        <f t="shared" si="6"/>
        <v>1086692.9412237522</v>
      </c>
      <c r="AE27" s="8">
        <f t="shared" si="6"/>
        <v>232934.17333635734</v>
      </c>
      <c r="AF27" s="8">
        <f t="shared" si="6"/>
        <v>1073043.8460997068</v>
      </c>
      <c r="AG27" s="8">
        <f t="shared" si="6"/>
        <v>219149.7300746867</v>
      </c>
      <c r="AH27" s="8">
        <f t="shared" si="6"/>
        <v>1059121.9577739565</v>
      </c>
      <c r="AI27" s="8">
        <f t="shared" si="6"/>
        <v>205089.788519767</v>
      </c>
      <c r="AJ27" s="8">
        <f t="shared" si="6"/>
        <v>1044921.824153874</v>
      </c>
      <c r="AK27" s="8">
        <f t="shared" si="6"/>
        <v>190709.16113469214</v>
      </c>
      <c r="AL27" s="8">
        <f t="shared" si="6"/>
        <v>1030397.807136376</v>
      </c>
      <c r="AM27" s="8">
        <f t="shared" si="6"/>
        <v>176080.80139608099</v>
      </c>
      <c r="AN27" s="8">
        <f t="shared" si="6"/>
        <v>1015623.5876192098</v>
      </c>
      <c r="AO27" s="8">
        <f t="shared" si="6"/>
        <v>161160.07670195331</v>
      </c>
      <c r="AP27" s="8">
        <f t="shared" si="6"/>
        <v>1000554.087967489</v>
      </c>
      <c r="AQ27" s="8">
        <f t="shared" si="6"/>
        <v>145941.14379518793</v>
      </c>
      <c r="AR27" s="8">
        <f t="shared" si="6"/>
        <v>985183.40666081465</v>
      </c>
      <c r="AS27" s="8">
        <f t="shared" si="6"/>
        <v>130375.09023260616</v>
      </c>
      <c r="AT27" s="8">
        <f t="shared" si="6"/>
        <v>969462.14354868769</v>
      </c>
      <c r="AU27" s="8">
        <f t="shared" si="6"/>
        <v>114540.88320348423</v>
      </c>
      <c r="AV27" s="8">
        <f t="shared" si="6"/>
        <v>953470.05320440722</v>
      </c>
      <c r="AW27" s="8">
        <f t="shared" si="6"/>
        <v>98390.210944054183</v>
      </c>
      <c r="AX27" s="8">
        <f t="shared" si="6"/>
        <v>937158.34214627591</v>
      </c>
      <c r="AY27" s="8">
        <f t="shared" si="6"/>
        <v>81916.748524889117</v>
      </c>
      <c r="AZ27" s="8">
        <f t="shared" si="6"/>
        <v>920520.62237882067</v>
      </c>
      <c r="BA27" s="8">
        <f t="shared" si="6"/>
        <v>65067.551544468035</v>
      </c>
      <c r="BB27" s="8">
        <f t="shared" si="6"/>
        <v>903503.42159043276</v>
      </c>
      <c r="BC27" s="8">
        <f t="shared" si="6"/>
        <v>47928.096628048341</v>
      </c>
      <c r="BD27" s="8">
        <f t="shared" si="6"/>
        <v>886193.06869615812</v>
      </c>
      <c r="BE27" s="8">
        <f t="shared" si="6"/>
        <v>30446.089568821597</v>
      </c>
      <c r="BF27" s="8">
        <f t="shared" si="6"/>
        <v>868536.74806220911</v>
      </c>
      <c r="BG27" s="8">
        <f t="shared" si="6"/>
        <v>12614.684059765772</v>
      </c>
      <c r="BH27" s="8">
        <f t="shared" si="6"/>
        <v>850527.54511684796</v>
      </c>
      <c r="BI27" s="8">
        <f t="shared" si="6"/>
        <v>-5623.4286220169161</v>
      </c>
      <c r="BJ27" s="8">
        <f t="shared" si="6"/>
        <v>832107.57971031941</v>
      </c>
      <c r="BK27" s="8">
        <f t="shared" si="6"/>
        <v>-24175.725828419672</v>
      </c>
      <c r="BL27" s="8">
        <f t="shared" si="6"/>
        <v>813370.29703660752</v>
      </c>
      <c r="BM27" s="8">
        <f t="shared" si="6"/>
        <v>-43098.812490673736</v>
      </c>
      <c r="BN27" s="8">
        <f t="shared" si="6"/>
        <v>794258.52775514952</v>
      </c>
      <c r="BO27" s="8">
        <f t="shared" si="6"/>
        <v>-62400.099271676852</v>
      </c>
      <c r="BP27" s="8">
        <f t="shared" si="6"/>
        <v>0</v>
      </c>
      <c r="BQ27" s="8">
        <f t="shared" ref="BQ27:BU27" si="7">BQ17-BQ26</f>
        <v>0</v>
      </c>
      <c r="BR27" s="8">
        <f t="shared" si="7"/>
        <v>0</v>
      </c>
      <c r="BS27" s="8">
        <f t="shared" si="7"/>
        <v>0</v>
      </c>
      <c r="BT27" s="8">
        <f t="shared" si="7"/>
        <v>0</v>
      </c>
      <c r="BU27" s="8">
        <f t="shared" si="7"/>
        <v>0</v>
      </c>
    </row>
    <row r="28" spans="1:73">
      <c r="A28" t="s">
        <v>244</v>
      </c>
      <c r="B28" t="s">
        <v>184</v>
      </c>
      <c r="C28" s="8">
        <f>SUM(D28:BU28)</f>
        <v>35982994.029017337</v>
      </c>
      <c r="D28" s="8">
        <f>D27</f>
        <v>0</v>
      </c>
      <c r="E28" s="8">
        <f t="shared" ref="E28:BP28" si="8">E27</f>
        <v>0</v>
      </c>
      <c r="F28" s="8">
        <f t="shared" si="8"/>
        <v>0</v>
      </c>
      <c r="G28" s="8">
        <f t="shared" si="8"/>
        <v>0</v>
      </c>
      <c r="H28" s="8">
        <f t="shared" si="8"/>
        <v>1220374.4089345317</v>
      </c>
      <c r="I28" s="8">
        <f t="shared" si="8"/>
        <v>367941.26282097551</v>
      </c>
      <c r="J28" s="8">
        <f t="shared" si="8"/>
        <v>1209397.0949984677</v>
      </c>
      <c r="K28" s="8">
        <f t="shared" si="8"/>
        <v>356855.09485584439</v>
      </c>
      <c r="L28" s="8">
        <f t="shared" si="8"/>
        <v>1198200.3865466854</v>
      </c>
      <c r="M28" s="8">
        <f t="shared" si="8"/>
        <v>345516.06830213021</v>
      </c>
      <c r="N28" s="8">
        <f t="shared" si="8"/>
        <v>1186748.2982463562</v>
      </c>
      <c r="O28" s="8">
        <f t="shared" si="8"/>
        <v>333981.70647828188</v>
      </c>
      <c r="P28" s="8">
        <f t="shared" si="8"/>
        <v>1175098.9269825253</v>
      </c>
      <c r="Q28" s="8">
        <f t="shared" si="8"/>
        <v>322216.81688222941</v>
      </c>
      <c r="R28" s="8">
        <f t="shared" si="8"/>
        <v>1163216.7293477135</v>
      </c>
      <c r="S28" s="8">
        <f t="shared" si="8"/>
        <v>310216.79214560974</v>
      </c>
      <c r="T28" s="8">
        <f t="shared" si="8"/>
        <v>1151097.0520333601</v>
      </c>
      <c r="U28" s="8">
        <f t="shared" si="8"/>
        <v>297943.06514077552</v>
      </c>
      <c r="V28" s="8">
        <f t="shared" si="8"/>
        <v>1138700.9433579245</v>
      </c>
      <c r="W28" s="8">
        <f t="shared" si="8"/>
        <v>285457.90095756587</v>
      </c>
      <c r="X28" s="8">
        <f t="shared" si="8"/>
        <v>1126091.2892581739</v>
      </c>
      <c r="Y28" s="8">
        <f t="shared" si="8"/>
        <v>272723.20609994943</v>
      </c>
      <c r="Z28" s="8">
        <f t="shared" si="8"/>
        <v>1113229.6164067774</v>
      </c>
      <c r="AA28" s="8">
        <f t="shared" si="8"/>
        <v>259733.99340423674</v>
      </c>
      <c r="AB28" s="8">
        <f t="shared" si="8"/>
        <v>1100110.887912899</v>
      </c>
      <c r="AC28" s="8">
        <f t="shared" si="8"/>
        <v>246448.51657114364</v>
      </c>
      <c r="AD28" s="8">
        <f t="shared" si="8"/>
        <v>1086692.9412237522</v>
      </c>
      <c r="AE28" s="8">
        <f t="shared" si="8"/>
        <v>232934.17333635734</v>
      </c>
      <c r="AF28" s="8">
        <f t="shared" si="8"/>
        <v>1073043.8460997068</v>
      </c>
      <c r="AG28" s="8">
        <f t="shared" si="8"/>
        <v>219149.7300746867</v>
      </c>
      <c r="AH28" s="8">
        <f t="shared" si="8"/>
        <v>1059121.9577739565</v>
      </c>
      <c r="AI28" s="8">
        <f t="shared" si="8"/>
        <v>205089.788519767</v>
      </c>
      <c r="AJ28" s="8">
        <f t="shared" si="8"/>
        <v>1044921.824153874</v>
      </c>
      <c r="AK28" s="8">
        <f t="shared" si="8"/>
        <v>190709.16113469214</v>
      </c>
      <c r="AL28" s="8">
        <f t="shared" si="8"/>
        <v>1030397.807136376</v>
      </c>
      <c r="AM28" s="8">
        <f t="shared" si="8"/>
        <v>176080.80139608099</v>
      </c>
      <c r="AN28" s="8">
        <f t="shared" si="8"/>
        <v>1015623.5876192098</v>
      </c>
      <c r="AO28" s="8">
        <f t="shared" si="8"/>
        <v>161160.07670195331</v>
      </c>
      <c r="AP28" s="8">
        <f t="shared" si="8"/>
        <v>1000554.087967489</v>
      </c>
      <c r="AQ28" s="8">
        <f t="shared" si="8"/>
        <v>145941.14379518793</v>
      </c>
      <c r="AR28" s="8">
        <f t="shared" si="8"/>
        <v>985183.40666081465</v>
      </c>
      <c r="AS28" s="8">
        <f t="shared" si="8"/>
        <v>130375.09023260616</v>
      </c>
      <c r="AT28" s="8">
        <f t="shared" si="8"/>
        <v>969462.14354868769</v>
      </c>
      <c r="AU28" s="8">
        <f t="shared" si="8"/>
        <v>114540.88320348423</v>
      </c>
      <c r="AV28" s="8">
        <f t="shared" si="8"/>
        <v>953470.05320440722</v>
      </c>
      <c r="AW28" s="8">
        <f t="shared" si="8"/>
        <v>98390.210944054183</v>
      </c>
      <c r="AX28" s="8">
        <f t="shared" si="8"/>
        <v>937158.34214627591</v>
      </c>
      <c r="AY28" s="8">
        <f t="shared" si="8"/>
        <v>81916.748524889117</v>
      </c>
      <c r="AZ28" s="8">
        <f t="shared" si="8"/>
        <v>920520.62237882067</v>
      </c>
      <c r="BA28" s="8">
        <f t="shared" si="8"/>
        <v>65067.551544468035</v>
      </c>
      <c r="BB28" s="8">
        <f t="shared" si="8"/>
        <v>903503.42159043276</v>
      </c>
      <c r="BC28" s="8">
        <f t="shared" si="8"/>
        <v>47928.096628048341</v>
      </c>
      <c r="BD28" s="8">
        <f t="shared" si="8"/>
        <v>886193.06869615812</v>
      </c>
      <c r="BE28" s="8">
        <f t="shared" si="8"/>
        <v>30446.089568821597</v>
      </c>
      <c r="BF28" s="8">
        <f t="shared" si="8"/>
        <v>868536.74806220911</v>
      </c>
      <c r="BG28" s="8">
        <f t="shared" si="8"/>
        <v>12614.684059765772</v>
      </c>
      <c r="BH28" s="8">
        <f t="shared" si="8"/>
        <v>850527.54511684796</v>
      </c>
      <c r="BI28" s="8">
        <f t="shared" si="8"/>
        <v>-5623.4286220169161</v>
      </c>
      <c r="BJ28" s="8">
        <f t="shared" si="8"/>
        <v>832107.57971031941</v>
      </c>
      <c r="BK28" s="8">
        <f t="shared" si="8"/>
        <v>-24175.725828419672</v>
      </c>
      <c r="BL28" s="8">
        <f t="shared" si="8"/>
        <v>813370.29703660752</v>
      </c>
      <c r="BM28" s="8">
        <f t="shared" si="8"/>
        <v>-43098.812490673736</v>
      </c>
      <c r="BN28" s="8">
        <f t="shared" si="8"/>
        <v>794258.52775514952</v>
      </c>
      <c r="BO28" s="8">
        <f t="shared" si="8"/>
        <v>-62400.099271676852</v>
      </c>
      <c r="BP28" s="8">
        <f t="shared" si="8"/>
        <v>0</v>
      </c>
      <c r="BQ28" s="8">
        <f t="shared" ref="BQ28:BU28" si="9">BQ27</f>
        <v>0</v>
      </c>
      <c r="BR28" s="8">
        <f t="shared" si="9"/>
        <v>0</v>
      </c>
      <c r="BS28" s="8">
        <f t="shared" si="9"/>
        <v>0</v>
      </c>
      <c r="BT28" s="8">
        <f t="shared" si="9"/>
        <v>0</v>
      </c>
      <c r="BU28" s="8">
        <f t="shared" si="9"/>
        <v>0</v>
      </c>
    </row>
    <row r="29" spans="1:73" ht="15.75">
      <c r="A29" s="70" t="s">
        <v>206</v>
      </c>
      <c r="B29" s="70"/>
      <c r="C29" s="70"/>
    </row>
    <row r="30" spans="1:73">
      <c r="A30" s="59" t="s">
        <v>246</v>
      </c>
      <c r="B30" s="59" t="s">
        <v>165</v>
      </c>
      <c r="C30" s="59">
        <f>IF(MIN(D26:BU26)&gt;=0,0,1)</f>
        <v>0</v>
      </c>
      <c r="D30" s="37" t="s">
        <v>167</v>
      </c>
      <c r="BR30" s="37"/>
    </row>
  </sheetData>
  <mergeCells count="4">
    <mergeCell ref="A4:C4"/>
    <mergeCell ref="A18:C18"/>
    <mergeCell ref="A21:C21"/>
    <mergeCell ref="A29:C29"/>
  </mergeCells>
  <pageMargins left="0.75" right="0.75" top="1" bottom="1" header="0.5" footer="0.5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6"/>
  <sheetViews>
    <sheetView zoomScale="85" zoomScaleNormal="85" workbookViewId="0">
      <pane xSplit="3" topLeftCell="D1" activePane="topRight" state="frozen"/>
      <selection pane="topRight" activeCell="A21" sqref="A21"/>
    </sheetView>
  </sheetViews>
  <sheetFormatPr baseColWidth="10" defaultColWidth="9.140625" defaultRowHeight="15"/>
  <cols>
    <col min="1" max="1" width="58.42578125" bestFit="1" customWidth="1"/>
    <col min="2" max="2" width="7.5703125" customWidth="1"/>
    <col min="3" max="3" width="16.28515625" customWidth="1"/>
    <col min="4" max="4" width="18.42578125" customWidth="1"/>
  </cols>
  <sheetData>
    <row r="1" spans="1:73" ht="18.75">
      <c r="A1" s="1" t="s">
        <v>54</v>
      </c>
    </row>
    <row r="2" spans="1:73">
      <c r="A2" t="s">
        <v>55</v>
      </c>
    </row>
    <row r="4" spans="1:73" ht="15.75">
      <c r="A4" s="70" t="s">
        <v>255</v>
      </c>
      <c r="B4" s="70"/>
      <c r="C4" s="70"/>
    </row>
    <row r="5" spans="1:73">
      <c r="A5" t="s">
        <v>145</v>
      </c>
      <c r="B5" t="s">
        <v>13</v>
      </c>
      <c r="C5" t="s">
        <v>187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Timeline!A21</f>
        <v>Operations flag</v>
      </c>
      <c r="B7" t="str">
        <f>Timeline!B21</f>
        <v>flag</v>
      </c>
      <c r="C7">
        <f>Timeline!C21</f>
        <v>60</v>
      </c>
      <c r="D7">
        <f>Timeline!D21</f>
        <v>0</v>
      </c>
      <c r="E7">
        <f>Timeline!E21</f>
        <v>0</v>
      </c>
      <c r="F7">
        <f>Timeline!F21</f>
        <v>0</v>
      </c>
      <c r="G7">
        <f>Timeline!G21</f>
        <v>0</v>
      </c>
      <c r="H7">
        <f>Timeline!H21</f>
        <v>1</v>
      </c>
      <c r="I7">
        <f>Timeline!I21</f>
        <v>1</v>
      </c>
      <c r="J7">
        <f>Timeline!J21</f>
        <v>1</v>
      </c>
      <c r="K7">
        <f>Timeline!K21</f>
        <v>1</v>
      </c>
      <c r="L7">
        <f>Timeline!L21</f>
        <v>1</v>
      </c>
      <c r="M7">
        <f>Timeline!M21</f>
        <v>1</v>
      </c>
      <c r="N7">
        <f>Timeline!N21</f>
        <v>1</v>
      </c>
      <c r="O7">
        <f>Timeline!O21</f>
        <v>1</v>
      </c>
      <c r="P7">
        <f>Timeline!P21</f>
        <v>1</v>
      </c>
      <c r="Q7">
        <f>Timeline!Q21</f>
        <v>1</v>
      </c>
      <c r="R7">
        <f>Timeline!R21</f>
        <v>1</v>
      </c>
      <c r="S7">
        <f>Timeline!S21</f>
        <v>1</v>
      </c>
      <c r="T7">
        <f>Timeline!T21</f>
        <v>1</v>
      </c>
      <c r="U7">
        <f>Timeline!U21</f>
        <v>1</v>
      </c>
      <c r="V7">
        <f>Timeline!V21</f>
        <v>1</v>
      </c>
      <c r="W7">
        <f>Timeline!W21</f>
        <v>1</v>
      </c>
      <c r="X7">
        <f>Timeline!X21</f>
        <v>1</v>
      </c>
      <c r="Y7">
        <f>Timeline!Y21</f>
        <v>1</v>
      </c>
      <c r="Z7">
        <f>Timeline!Z21</f>
        <v>1</v>
      </c>
      <c r="AA7">
        <f>Timeline!AA21</f>
        <v>1</v>
      </c>
      <c r="AB7">
        <f>Timeline!AB21</f>
        <v>1</v>
      </c>
      <c r="AC7">
        <f>Timeline!AC21</f>
        <v>1</v>
      </c>
      <c r="AD7">
        <f>Timeline!AD21</f>
        <v>1</v>
      </c>
      <c r="AE7">
        <f>Timeline!AE21</f>
        <v>1</v>
      </c>
      <c r="AF7">
        <f>Timeline!AF21</f>
        <v>1</v>
      </c>
      <c r="AG7">
        <f>Timeline!AG21</f>
        <v>1</v>
      </c>
      <c r="AH7">
        <f>Timeline!AH21</f>
        <v>1</v>
      </c>
      <c r="AI7">
        <f>Timeline!AI21</f>
        <v>1</v>
      </c>
      <c r="AJ7">
        <f>Timeline!AJ21</f>
        <v>1</v>
      </c>
      <c r="AK7">
        <f>Timeline!AK21</f>
        <v>1</v>
      </c>
      <c r="AL7">
        <f>Timeline!AL21</f>
        <v>1</v>
      </c>
      <c r="AM7">
        <f>Timeline!AM21</f>
        <v>1</v>
      </c>
      <c r="AN7">
        <f>Timeline!AN21</f>
        <v>1</v>
      </c>
      <c r="AO7">
        <f>Timeline!AO21</f>
        <v>1</v>
      </c>
      <c r="AP7">
        <f>Timeline!AP21</f>
        <v>1</v>
      </c>
      <c r="AQ7">
        <f>Timeline!AQ21</f>
        <v>1</v>
      </c>
      <c r="AR7">
        <f>Timeline!AR21</f>
        <v>1</v>
      </c>
      <c r="AS7">
        <f>Timeline!AS21</f>
        <v>1</v>
      </c>
      <c r="AT7">
        <f>Timeline!AT21</f>
        <v>1</v>
      </c>
      <c r="AU7">
        <f>Timeline!AU21</f>
        <v>1</v>
      </c>
      <c r="AV7">
        <f>Timeline!AV21</f>
        <v>1</v>
      </c>
      <c r="AW7">
        <f>Timeline!AW21</f>
        <v>1</v>
      </c>
      <c r="AX7">
        <f>Timeline!AX21</f>
        <v>1</v>
      </c>
      <c r="AY7">
        <f>Timeline!AY21</f>
        <v>1</v>
      </c>
      <c r="AZ7">
        <f>Timeline!AZ21</f>
        <v>1</v>
      </c>
      <c r="BA7">
        <f>Timeline!BA21</f>
        <v>1</v>
      </c>
      <c r="BB7">
        <f>Timeline!BB21</f>
        <v>1</v>
      </c>
      <c r="BC7">
        <f>Timeline!BC21</f>
        <v>1</v>
      </c>
      <c r="BD7">
        <f>Timeline!BD21</f>
        <v>1</v>
      </c>
      <c r="BE7">
        <f>Timeline!BE21</f>
        <v>1</v>
      </c>
      <c r="BF7">
        <f>Timeline!BF21</f>
        <v>1</v>
      </c>
      <c r="BG7">
        <f>Timeline!BG21</f>
        <v>1</v>
      </c>
      <c r="BH7">
        <f>Timeline!BH21</f>
        <v>1</v>
      </c>
      <c r="BI7">
        <f>Timeline!BI21</f>
        <v>1</v>
      </c>
      <c r="BJ7">
        <f>Timeline!BJ21</f>
        <v>1</v>
      </c>
      <c r="BK7">
        <f>Timeline!BK21</f>
        <v>1</v>
      </c>
      <c r="BL7">
        <f>Timeline!BL21</f>
        <v>1</v>
      </c>
      <c r="BM7">
        <f>Timeline!BM21</f>
        <v>1</v>
      </c>
      <c r="BN7">
        <f>Timeline!BN21</f>
        <v>1</v>
      </c>
      <c r="BO7">
        <f>Timeline!BO21</f>
        <v>1</v>
      </c>
      <c r="BP7">
        <f>Timeline!BP21</f>
        <v>0</v>
      </c>
      <c r="BQ7">
        <f>Timeline!BQ21</f>
        <v>0</v>
      </c>
      <c r="BR7">
        <f>Timeline!BR21</f>
        <v>0</v>
      </c>
      <c r="BS7">
        <f>Timeline!BS21</f>
        <v>0</v>
      </c>
      <c r="BT7">
        <f>Timeline!BT21</f>
        <v>0</v>
      </c>
      <c r="BU7">
        <f>Timeline!BU21</f>
        <v>0</v>
      </c>
    </row>
    <row r="8" spans="1:73">
      <c r="A8" t="str">
        <f>Operations!A27</f>
        <v>EBITDA</v>
      </c>
      <c r="B8" t="str">
        <f>Operations!B27</f>
        <v>USD</v>
      </c>
      <c r="C8">
        <f>Operations!C27</f>
        <v>35982994.029017337</v>
      </c>
      <c r="D8">
        <f>Operations!D27</f>
        <v>0</v>
      </c>
      <c r="E8">
        <f>Operations!E27</f>
        <v>0</v>
      </c>
      <c r="F8">
        <f>Operations!F27</f>
        <v>0</v>
      </c>
      <c r="G8">
        <f>Operations!G27</f>
        <v>0</v>
      </c>
      <c r="H8">
        <f>Operations!H27</f>
        <v>1220374.4089345317</v>
      </c>
      <c r="I8">
        <f>Operations!I27</f>
        <v>367941.26282097551</v>
      </c>
      <c r="J8">
        <f>Operations!J27</f>
        <v>1209397.0949984677</v>
      </c>
      <c r="K8">
        <f>Operations!K27</f>
        <v>356855.09485584439</v>
      </c>
      <c r="L8">
        <f>Operations!L27</f>
        <v>1198200.3865466854</v>
      </c>
      <c r="M8">
        <f>Operations!M27</f>
        <v>345516.06830213021</v>
      </c>
      <c r="N8">
        <f>Operations!N27</f>
        <v>1186748.2982463562</v>
      </c>
      <c r="O8">
        <f>Operations!O27</f>
        <v>333981.70647828188</v>
      </c>
      <c r="P8">
        <f>Operations!P27</f>
        <v>1175098.9269825253</v>
      </c>
      <c r="Q8">
        <f>Operations!Q27</f>
        <v>322216.81688222941</v>
      </c>
      <c r="R8">
        <f>Operations!R27</f>
        <v>1163216.7293477135</v>
      </c>
      <c r="S8">
        <f>Operations!S27</f>
        <v>310216.79214560974</v>
      </c>
      <c r="T8">
        <f>Operations!T27</f>
        <v>1151097.0520333601</v>
      </c>
      <c r="U8">
        <f>Operations!U27</f>
        <v>297943.06514077552</v>
      </c>
      <c r="V8">
        <f>Operations!V27</f>
        <v>1138700.9433579245</v>
      </c>
      <c r="W8">
        <f>Operations!W27</f>
        <v>285457.90095756587</v>
      </c>
      <c r="X8">
        <f>Operations!X27</f>
        <v>1126091.2892581739</v>
      </c>
      <c r="Y8">
        <f>Operations!Y27</f>
        <v>272723.20609994943</v>
      </c>
      <c r="Z8">
        <f>Operations!Z27</f>
        <v>1113229.6164067774</v>
      </c>
      <c r="AA8">
        <f>Operations!AA27</f>
        <v>259733.99340423674</v>
      </c>
      <c r="AB8">
        <f>Operations!AB27</f>
        <v>1100110.887912899</v>
      </c>
      <c r="AC8">
        <f>Operations!AC27</f>
        <v>246448.51657114364</v>
      </c>
      <c r="AD8">
        <f>Operations!AD27</f>
        <v>1086692.9412237522</v>
      </c>
      <c r="AE8">
        <f>Operations!AE27</f>
        <v>232934.17333635734</v>
      </c>
      <c r="AF8">
        <f>Operations!AF27</f>
        <v>1073043.8460997068</v>
      </c>
      <c r="AG8">
        <f>Operations!AG27</f>
        <v>219149.7300746867</v>
      </c>
      <c r="AH8">
        <f>Operations!AH27</f>
        <v>1059121.9577739565</v>
      </c>
      <c r="AI8">
        <f>Operations!AI27</f>
        <v>205089.788519767</v>
      </c>
      <c r="AJ8">
        <f>Operations!AJ27</f>
        <v>1044921.824153874</v>
      </c>
      <c r="AK8">
        <f>Operations!AK27</f>
        <v>190709.16113469214</v>
      </c>
      <c r="AL8">
        <f>Operations!AL27</f>
        <v>1030397.807136376</v>
      </c>
      <c r="AM8">
        <f>Operations!AM27</f>
        <v>176080.80139608099</v>
      </c>
      <c r="AN8">
        <f>Operations!AN27</f>
        <v>1015623.5876192098</v>
      </c>
      <c r="AO8">
        <f>Operations!AO27</f>
        <v>161160.07670195331</v>
      </c>
      <c r="AP8">
        <f>Operations!AP27</f>
        <v>1000554.087967489</v>
      </c>
      <c r="AQ8">
        <f>Operations!AQ27</f>
        <v>145941.14379518793</v>
      </c>
      <c r="AR8">
        <f>Operations!AR27</f>
        <v>985183.40666081465</v>
      </c>
      <c r="AS8">
        <f>Operations!AS27</f>
        <v>130375.09023260616</v>
      </c>
      <c r="AT8">
        <f>Operations!AT27</f>
        <v>969462.14354868769</v>
      </c>
      <c r="AU8">
        <f>Operations!AU27</f>
        <v>114540.88320348423</v>
      </c>
      <c r="AV8">
        <f>Operations!AV27</f>
        <v>953470.05320440722</v>
      </c>
      <c r="AW8">
        <f>Operations!AW27</f>
        <v>98390.210944054183</v>
      </c>
      <c r="AX8">
        <f>Operations!AX27</f>
        <v>937158.34214627591</v>
      </c>
      <c r="AY8">
        <f>Operations!AY27</f>
        <v>81916.748524889117</v>
      </c>
      <c r="AZ8">
        <f>Operations!AZ27</f>
        <v>920520.62237882067</v>
      </c>
      <c r="BA8">
        <f>Operations!BA27</f>
        <v>65067.551544468035</v>
      </c>
      <c r="BB8">
        <f>Operations!BB27</f>
        <v>903503.42159043276</v>
      </c>
      <c r="BC8">
        <f>Operations!BC27</f>
        <v>47928.096628048341</v>
      </c>
      <c r="BD8">
        <f>Operations!BD27</f>
        <v>886193.06869615812</v>
      </c>
      <c r="BE8">
        <f>Operations!BE27</f>
        <v>30446.089568821597</v>
      </c>
      <c r="BF8">
        <f>Operations!BF27</f>
        <v>868536.74806220911</v>
      </c>
      <c r="BG8">
        <f>Operations!BG27</f>
        <v>12614.684059765772</v>
      </c>
      <c r="BH8">
        <f>Operations!BH27</f>
        <v>850527.54511684796</v>
      </c>
      <c r="BI8">
        <f>Operations!BI27</f>
        <v>-5623.4286220169161</v>
      </c>
      <c r="BJ8">
        <f>Operations!BJ27</f>
        <v>832107.57971031941</v>
      </c>
      <c r="BK8">
        <f>Operations!BK27</f>
        <v>-24175.725828419672</v>
      </c>
      <c r="BL8">
        <f>Operations!BL27</f>
        <v>813370.29703660752</v>
      </c>
      <c r="BM8">
        <f>Operations!BM27</f>
        <v>-43098.812490673736</v>
      </c>
      <c r="BN8">
        <f>Operations!BN27</f>
        <v>794258.52775514952</v>
      </c>
      <c r="BO8">
        <f>Operations!BO27</f>
        <v>-62400.099271676852</v>
      </c>
      <c r="BP8">
        <f>Operations!BP27</f>
        <v>0</v>
      </c>
      <c r="BQ8">
        <f>Operations!BQ27</f>
        <v>0</v>
      </c>
      <c r="BR8">
        <f>Operations!BR27</f>
        <v>0</v>
      </c>
      <c r="BS8">
        <f>Operations!BS27</f>
        <v>0</v>
      </c>
      <c r="BT8">
        <f>Operations!BT27</f>
        <v>0</v>
      </c>
      <c r="BU8">
        <f>Operations!BU27</f>
        <v>0</v>
      </c>
    </row>
    <row r="9" spans="1:73">
      <c r="A9" t="s">
        <v>248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25</v>
      </c>
      <c r="AG9">
        <f>IF(AG7=1,SUM($D$7:AG7),0)</f>
        <v>26</v>
      </c>
      <c r="AH9">
        <f>IF(AH7=1,SUM($D$7:AH7),0)</f>
        <v>27</v>
      </c>
      <c r="AI9">
        <f>IF(AI7=1,SUM($D$7:AI7),0)</f>
        <v>28</v>
      </c>
      <c r="AJ9">
        <f>IF(AJ7=1,SUM($D$7:AJ7),0)</f>
        <v>29</v>
      </c>
      <c r="AK9">
        <f>IF(AK7=1,SUM($D$7:AK7),0)</f>
        <v>30</v>
      </c>
      <c r="AL9">
        <f>IF(AL7=1,SUM($D$7:AL7),0)</f>
        <v>31</v>
      </c>
      <c r="AM9">
        <f>IF(AM7=1,SUM($D$7:AM7),0)</f>
        <v>32</v>
      </c>
      <c r="AN9">
        <f>IF(AN7=1,SUM($D$7:AN7),0)</f>
        <v>33</v>
      </c>
      <c r="AO9">
        <f>IF(AO7=1,SUM($D$7:AO7),0)</f>
        <v>34</v>
      </c>
      <c r="AP9">
        <f>IF(AP7=1,SUM($D$7:AP7),0)</f>
        <v>35</v>
      </c>
      <c r="AQ9">
        <f>IF(AQ7=1,SUM($D$7:AQ7),0)</f>
        <v>36</v>
      </c>
      <c r="AR9">
        <f>IF(AR7=1,SUM($D$7:AR7),0)</f>
        <v>37</v>
      </c>
      <c r="AS9">
        <f>IF(AS7=1,SUM($D$7:AS7),0)</f>
        <v>38</v>
      </c>
      <c r="AT9">
        <f>IF(AT7=1,SUM($D$7:AT7),0)</f>
        <v>39</v>
      </c>
      <c r="AU9">
        <f>IF(AU7=1,SUM($D$7:AU7),0)</f>
        <v>40</v>
      </c>
      <c r="AV9">
        <f>IF(AV7=1,SUM($D$7:AV7),0)</f>
        <v>41</v>
      </c>
      <c r="AW9">
        <f>IF(AW7=1,SUM($D$7:AW7),0)</f>
        <v>42</v>
      </c>
      <c r="AX9">
        <f>IF(AX7=1,SUM($D$7:AX7),0)</f>
        <v>43</v>
      </c>
      <c r="AY9">
        <f>IF(AY7=1,SUM($D$7:AY7),0)</f>
        <v>44</v>
      </c>
      <c r="AZ9">
        <f>IF(AZ7=1,SUM($D$7:AZ7),0)</f>
        <v>45</v>
      </c>
      <c r="BA9">
        <f>IF(BA7=1,SUM($D$7:BA7),0)</f>
        <v>46</v>
      </c>
      <c r="BB9">
        <f>IF(BB7=1,SUM($D$7:BB7),0)</f>
        <v>47</v>
      </c>
      <c r="BC9">
        <f>IF(BC7=1,SUM($D$7:BC7),0)</f>
        <v>48</v>
      </c>
      <c r="BD9">
        <f>IF(BD7=1,SUM($D$7:BD7),0)</f>
        <v>49</v>
      </c>
      <c r="BE9">
        <f>IF(BE7=1,SUM($D$7:BE7),0)</f>
        <v>50</v>
      </c>
      <c r="BF9">
        <f>IF(BF7=1,SUM($D$7:BF7),0)</f>
        <v>51</v>
      </c>
      <c r="BG9">
        <f>IF(BG7=1,SUM($D$7:BG7),0)</f>
        <v>52</v>
      </c>
      <c r="BH9">
        <f>IF(BH7=1,SUM($D$7:BH7),0)</f>
        <v>53</v>
      </c>
      <c r="BI9">
        <f>IF(BI7=1,SUM($D$7:BI7),0)</f>
        <v>54</v>
      </c>
      <c r="BJ9">
        <f>IF(BJ7=1,SUM($D$7:BJ7),0)</f>
        <v>55</v>
      </c>
      <c r="BK9">
        <f>IF(BK7=1,SUM($D$7:BK7),0)</f>
        <v>56</v>
      </c>
      <c r="BL9">
        <f>IF(BL7=1,SUM($D$7:BL7),0)</f>
        <v>57</v>
      </c>
      <c r="BM9">
        <f>IF(BM7=1,SUM($D$7:BM7),0)</f>
        <v>58</v>
      </c>
      <c r="BN9">
        <f>IF(BN7=1,SUM($D$7:BN7),0)</f>
        <v>59</v>
      </c>
      <c r="BO9">
        <f>IF(BO7=1,SUM($D$7:BO7),0)</f>
        <v>60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249</v>
      </c>
      <c r="B10" t="s">
        <v>184</v>
      </c>
      <c r="C10">
        <f>Construction!C46+Construction!C47+Construction!C48</f>
        <v>35722429.235892341</v>
      </c>
    </row>
    <row r="11" spans="1:73">
      <c r="A11" t="s">
        <v>250</v>
      </c>
      <c r="B11" t="s">
        <v>184</v>
      </c>
      <c r="C11">
        <f>C10 * Inputs!B37</f>
        <v>17861214.61794617</v>
      </c>
    </row>
    <row r="12" spans="1:73">
      <c r="A12" t="s">
        <v>251</v>
      </c>
      <c r="B12" t="s">
        <v>184</v>
      </c>
      <c r="C12">
        <f>C10-C11</f>
        <v>17861214.61794617</v>
      </c>
    </row>
    <row r="13" spans="1:73">
      <c r="A13" t="s">
        <v>252</v>
      </c>
      <c r="B13" t="s">
        <v>184</v>
      </c>
      <c r="C13">
        <f>SUM(D13:BU13)</f>
        <v>10716728.770767707</v>
      </c>
      <c r="D13">
        <f xml:space="preserve"> $C$11 / (Inputs!$B$38 * 2) * D7</f>
        <v>0</v>
      </c>
      <c r="E13">
        <f xml:space="preserve"> $C$11 / (Inputs!$B$38 * 2) * E7</f>
        <v>0</v>
      </c>
      <c r="F13">
        <f xml:space="preserve"> $C$11 / (Inputs!$B$38 * 2) * F7</f>
        <v>0</v>
      </c>
      <c r="G13">
        <f xml:space="preserve"> $C$11 / (Inputs!$B$38 * 2) * G7</f>
        <v>0</v>
      </c>
      <c r="H13">
        <f xml:space="preserve"> $C$11 / (Inputs!$B$38 * 2) * H7</f>
        <v>178612.14617946171</v>
      </c>
      <c r="I13">
        <f xml:space="preserve"> $C$11 / (Inputs!$B$38 * 2) * I7</f>
        <v>178612.14617946171</v>
      </c>
      <c r="J13">
        <f xml:space="preserve"> $C$11 / (Inputs!$B$38 * 2) * J7</f>
        <v>178612.14617946171</v>
      </c>
      <c r="K13">
        <f xml:space="preserve"> $C$11 / (Inputs!$B$38 * 2) * K7</f>
        <v>178612.14617946171</v>
      </c>
      <c r="L13">
        <f xml:space="preserve"> $C$11 / (Inputs!$B$38 * 2) * L7</f>
        <v>178612.14617946171</v>
      </c>
      <c r="M13">
        <f xml:space="preserve"> $C$11 / (Inputs!$B$38 * 2) * M7</f>
        <v>178612.14617946171</v>
      </c>
      <c r="N13">
        <f xml:space="preserve"> $C$11 / (Inputs!$B$38 * 2) * N7</f>
        <v>178612.14617946171</v>
      </c>
      <c r="O13">
        <f xml:space="preserve"> $C$11 / (Inputs!$B$38 * 2) * O7</f>
        <v>178612.14617946171</v>
      </c>
      <c r="P13">
        <f xml:space="preserve"> $C$11 / (Inputs!$B$38 * 2) * P7</f>
        <v>178612.14617946171</v>
      </c>
      <c r="Q13">
        <f xml:space="preserve"> $C$11 / (Inputs!$B$38 * 2) * Q7</f>
        <v>178612.14617946171</v>
      </c>
      <c r="R13">
        <f xml:space="preserve"> $C$11 / (Inputs!$B$38 * 2) * R7</f>
        <v>178612.14617946171</v>
      </c>
      <c r="S13">
        <f xml:space="preserve"> $C$11 / (Inputs!$B$38 * 2) * S7</f>
        <v>178612.14617946171</v>
      </c>
      <c r="T13">
        <f xml:space="preserve"> $C$11 / (Inputs!$B$38 * 2) * T7</f>
        <v>178612.14617946171</v>
      </c>
      <c r="U13">
        <f xml:space="preserve"> $C$11 / (Inputs!$B$38 * 2) * U7</f>
        <v>178612.14617946171</v>
      </c>
      <c r="V13">
        <f xml:space="preserve"> $C$11 / (Inputs!$B$38 * 2) * V7</f>
        <v>178612.14617946171</v>
      </c>
      <c r="W13">
        <f xml:space="preserve"> $C$11 / (Inputs!$B$38 * 2) * W7</f>
        <v>178612.14617946171</v>
      </c>
      <c r="X13">
        <f xml:space="preserve"> $C$11 / (Inputs!$B$38 * 2) * X7</f>
        <v>178612.14617946171</v>
      </c>
      <c r="Y13">
        <f xml:space="preserve"> $C$11 / (Inputs!$B$38 * 2) * Y7</f>
        <v>178612.14617946171</v>
      </c>
      <c r="Z13">
        <f xml:space="preserve"> $C$11 / (Inputs!$B$38 * 2) * Z7</f>
        <v>178612.14617946171</v>
      </c>
      <c r="AA13">
        <f xml:space="preserve"> $C$11 / (Inputs!$B$38 * 2) * AA7</f>
        <v>178612.14617946171</v>
      </c>
      <c r="AB13">
        <f xml:space="preserve"> $C$11 / (Inputs!$B$38 * 2) * AB7</f>
        <v>178612.14617946171</v>
      </c>
      <c r="AC13">
        <f xml:space="preserve"> $C$11 / (Inputs!$B$38 * 2) * AC7</f>
        <v>178612.14617946171</v>
      </c>
      <c r="AD13">
        <f xml:space="preserve"> $C$11 / (Inputs!$B$38 * 2) * AD7</f>
        <v>178612.14617946171</v>
      </c>
      <c r="AE13">
        <f xml:space="preserve"> $C$11 / (Inputs!$B$38 * 2) * AE7</f>
        <v>178612.14617946171</v>
      </c>
      <c r="AF13">
        <f xml:space="preserve"> $C$11 / (Inputs!$B$38 * 2) * AF7</f>
        <v>178612.14617946171</v>
      </c>
      <c r="AG13">
        <f xml:space="preserve"> $C$11 / (Inputs!$B$38 * 2) * AG7</f>
        <v>178612.14617946171</v>
      </c>
      <c r="AH13">
        <f xml:space="preserve"> $C$11 / (Inputs!$B$38 * 2) * AH7</f>
        <v>178612.14617946171</v>
      </c>
      <c r="AI13">
        <f xml:space="preserve"> $C$11 / (Inputs!$B$38 * 2) * AI7</f>
        <v>178612.14617946171</v>
      </c>
      <c r="AJ13">
        <f xml:space="preserve"> $C$11 / (Inputs!$B$38 * 2) * AJ7</f>
        <v>178612.14617946171</v>
      </c>
      <c r="AK13">
        <f xml:space="preserve"> $C$11 / (Inputs!$B$38 * 2) * AK7</f>
        <v>178612.14617946171</v>
      </c>
      <c r="AL13">
        <f xml:space="preserve"> $C$11 / (Inputs!$B$38 * 2) * AL7</f>
        <v>178612.14617946171</v>
      </c>
      <c r="AM13">
        <f xml:space="preserve"> $C$11 / (Inputs!$B$38 * 2) * AM7</f>
        <v>178612.14617946171</v>
      </c>
      <c r="AN13">
        <f xml:space="preserve"> $C$11 / (Inputs!$B$38 * 2) * AN7</f>
        <v>178612.14617946171</v>
      </c>
      <c r="AO13">
        <f xml:space="preserve"> $C$11 / (Inputs!$B$38 * 2) * AO7</f>
        <v>178612.14617946171</v>
      </c>
      <c r="AP13">
        <f xml:space="preserve"> $C$11 / (Inputs!$B$38 * 2) * AP7</f>
        <v>178612.14617946171</v>
      </c>
      <c r="AQ13">
        <f xml:space="preserve"> $C$11 / (Inputs!$B$38 * 2) * AQ7</f>
        <v>178612.14617946171</v>
      </c>
      <c r="AR13">
        <f xml:space="preserve"> $C$11 / (Inputs!$B$38 * 2) * AR7</f>
        <v>178612.14617946171</v>
      </c>
      <c r="AS13">
        <f xml:space="preserve"> $C$11 / (Inputs!$B$38 * 2) * AS7</f>
        <v>178612.14617946171</v>
      </c>
      <c r="AT13">
        <f xml:space="preserve"> $C$11 / (Inputs!$B$38 * 2) * AT7</f>
        <v>178612.14617946171</v>
      </c>
      <c r="AU13">
        <f xml:space="preserve"> $C$11 / (Inputs!$B$38 * 2) * AU7</f>
        <v>178612.14617946171</v>
      </c>
      <c r="AV13">
        <f xml:space="preserve"> $C$11 / (Inputs!$B$38 * 2) * AV7</f>
        <v>178612.14617946171</v>
      </c>
      <c r="AW13">
        <f xml:space="preserve"> $C$11 / (Inputs!$B$38 * 2) * AW7</f>
        <v>178612.14617946171</v>
      </c>
      <c r="AX13">
        <f xml:space="preserve"> $C$11 / (Inputs!$B$38 * 2) * AX7</f>
        <v>178612.14617946171</v>
      </c>
      <c r="AY13">
        <f xml:space="preserve"> $C$11 / (Inputs!$B$38 * 2) * AY7</f>
        <v>178612.14617946171</v>
      </c>
      <c r="AZ13">
        <f xml:space="preserve"> $C$11 / (Inputs!$B$38 * 2) * AZ7</f>
        <v>178612.14617946171</v>
      </c>
      <c r="BA13">
        <f xml:space="preserve"> $C$11 / (Inputs!$B$38 * 2) * BA7</f>
        <v>178612.14617946171</v>
      </c>
      <c r="BB13">
        <f xml:space="preserve"> $C$11 / (Inputs!$B$38 * 2) * BB7</f>
        <v>178612.14617946171</v>
      </c>
      <c r="BC13">
        <f xml:space="preserve"> $C$11 / (Inputs!$B$38 * 2) * BC7</f>
        <v>178612.14617946171</v>
      </c>
      <c r="BD13">
        <f xml:space="preserve"> $C$11 / (Inputs!$B$38 * 2) * BD7</f>
        <v>178612.14617946171</v>
      </c>
      <c r="BE13">
        <f xml:space="preserve"> $C$11 / (Inputs!$B$38 * 2) * BE7</f>
        <v>178612.14617946171</v>
      </c>
      <c r="BF13">
        <f xml:space="preserve"> $C$11 / (Inputs!$B$38 * 2) * BF7</f>
        <v>178612.14617946171</v>
      </c>
      <c r="BG13">
        <f xml:space="preserve"> $C$11 / (Inputs!$B$38 * 2) * BG7</f>
        <v>178612.14617946171</v>
      </c>
      <c r="BH13">
        <f xml:space="preserve"> $C$11 / (Inputs!$B$38 * 2) * BH7</f>
        <v>178612.14617946171</v>
      </c>
      <c r="BI13">
        <f xml:space="preserve"> $C$11 / (Inputs!$B$38 * 2) * BI7</f>
        <v>178612.14617946171</v>
      </c>
      <c r="BJ13">
        <f xml:space="preserve"> $C$11 / (Inputs!$B$38 * 2) * BJ7</f>
        <v>178612.14617946171</v>
      </c>
      <c r="BK13">
        <f xml:space="preserve"> $C$11 / (Inputs!$B$38 * 2) * BK7</f>
        <v>178612.14617946171</v>
      </c>
      <c r="BL13">
        <f xml:space="preserve"> $C$11 / (Inputs!$B$38 * 2) * BL7</f>
        <v>178612.14617946171</v>
      </c>
      <c r="BM13">
        <f xml:space="preserve"> $C$11 / (Inputs!$B$38 * 2) * BM7</f>
        <v>178612.14617946171</v>
      </c>
      <c r="BN13">
        <f xml:space="preserve"> $C$11 / (Inputs!$B$38 * 2) * BN7</f>
        <v>178612.14617946171</v>
      </c>
      <c r="BO13">
        <f xml:space="preserve"> $C$11 / (Inputs!$B$38 * 2) * BO7</f>
        <v>178612.14617946171</v>
      </c>
      <c r="BP13">
        <f xml:space="preserve"> $C$11 / (Inputs!$B$38 * 2) * BP7</f>
        <v>0</v>
      </c>
      <c r="BQ13">
        <f xml:space="preserve"> $C$11 / (Inputs!$B$38 * 2) * BQ7</f>
        <v>0</v>
      </c>
      <c r="BR13">
        <f xml:space="preserve"> $C$11 / (Inputs!$B$38 * 2) * BR7</f>
        <v>0</v>
      </c>
      <c r="BS13">
        <f xml:space="preserve"> $C$11 / (Inputs!$B$38 * 2) * BS7</f>
        <v>0</v>
      </c>
      <c r="BT13">
        <f xml:space="preserve"> $C$11 / (Inputs!$B$38 * 2) * BT7</f>
        <v>0</v>
      </c>
      <c r="BU13">
        <f xml:space="preserve"> $C$11 / (Inputs!$B$38 * 2) * BU7</f>
        <v>0</v>
      </c>
    </row>
    <row r="14" spans="1:73">
      <c r="A14" t="s">
        <v>253</v>
      </c>
      <c r="B14" t="s">
        <v>184</v>
      </c>
      <c r="C14">
        <f>SUM(D14:BU14)</f>
        <v>17861214.617946174</v>
      </c>
      <c r="D14">
        <f>IF(D9 &lt;= Inputs!$B$39 * 2, $C$12 / (Inputs!$B$39 * 2) * D7,0)</f>
        <v>0</v>
      </c>
      <c r="E14">
        <f>IF(E9 &lt;= Inputs!$B$39 * 2, $C$12 / (Inputs!$B$39 * 2) * E7,0)</f>
        <v>0</v>
      </c>
      <c r="F14">
        <f>IF(F9 &lt;= Inputs!$B$39 * 2, $C$12 / (Inputs!$B$39 * 2) * F7,0)</f>
        <v>0</v>
      </c>
      <c r="G14">
        <f>IF(G9 &lt;= Inputs!$B$39 * 2, $C$12 / (Inputs!$B$39 * 2) * G7,0)</f>
        <v>0</v>
      </c>
      <c r="H14">
        <f>IF(H9 &lt;= Inputs!$B$39 * 2, $C$12 / (Inputs!$B$39 * 2) * H7,0)</f>
        <v>893060.73089730856</v>
      </c>
      <c r="I14">
        <f>IF(I9 &lt;= Inputs!$B$39 * 2, $C$12 / (Inputs!$B$39 * 2) * I7,0)</f>
        <v>893060.73089730856</v>
      </c>
      <c r="J14">
        <f>IF(J9 &lt;= Inputs!$B$39 * 2, $C$12 / (Inputs!$B$39 * 2) * J7,0)</f>
        <v>893060.73089730856</v>
      </c>
      <c r="K14">
        <f>IF(K9 &lt;= Inputs!$B$39 * 2, $C$12 / (Inputs!$B$39 * 2) * K7,0)</f>
        <v>893060.73089730856</v>
      </c>
      <c r="L14">
        <f>IF(L9 &lt;= Inputs!$B$39 * 2, $C$12 / (Inputs!$B$39 * 2) * L7,0)</f>
        <v>893060.73089730856</v>
      </c>
      <c r="M14">
        <f>IF(M9 &lt;= Inputs!$B$39 * 2, $C$12 / (Inputs!$B$39 * 2) * M7,0)</f>
        <v>893060.73089730856</v>
      </c>
      <c r="N14">
        <f>IF(N9 &lt;= Inputs!$B$39 * 2, $C$12 / (Inputs!$B$39 * 2) * N7,0)</f>
        <v>893060.73089730856</v>
      </c>
      <c r="O14">
        <f>IF(O9 &lt;= Inputs!$B$39 * 2, $C$12 / (Inputs!$B$39 * 2) * O7,0)</f>
        <v>893060.73089730856</v>
      </c>
      <c r="P14">
        <f>IF(P9 &lt;= Inputs!$B$39 * 2, $C$12 / (Inputs!$B$39 * 2) * P7,0)</f>
        <v>893060.73089730856</v>
      </c>
      <c r="Q14">
        <f>IF(Q9 &lt;= Inputs!$B$39 * 2, $C$12 / (Inputs!$B$39 * 2) * Q7,0)</f>
        <v>893060.73089730856</v>
      </c>
      <c r="R14">
        <f>IF(R9 &lt;= Inputs!$B$39 * 2, $C$12 / (Inputs!$B$39 * 2) * R7,0)</f>
        <v>893060.73089730856</v>
      </c>
      <c r="S14">
        <f>IF(S9 &lt;= Inputs!$B$39 * 2, $C$12 / (Inputs!$B$39 * 2) * S7,0)</f>
        <v>893060.73089730856</v>
      </c>
      <c r="T14">
        <f>IF(T9 &lt;= Inputs!$B$39 * 2, $C$12 / (Inputs!$B$39 * 2) * T7,0)</f>
        <v>893060.73089730856</v>
      </c>
      <c r="U14">
        <f>IF(U9 &lt;= Inputs!$B$39 * 2, $C$12 / (Inputs!$B$39 * 2) * U7,0)</f>
        <v>893060.73089730856</v>
      </c>
      <c r="V14">
        <f>IF(V9 &lt;= Inputs!$B$39 * 2, $C$12 / (Inputs!$B$39 * 2) * V7,0)</f>
        <v>893060.73089730856</v>
      </c>
      <c r="W14">
        <f>IF(W9 &lt;= Inputs!$B$39 * 2, $C$12 / (Inputs!$B$39 * 2) * W7,0)</f>
        <v>893060.73089730856</v>
      </c>
      <c r="X14">
        <f>IF(X9 &lt;= Inputs!$B$39 * 2, $C$12 / (Inputs!$B$39 * 2) * X7,0)</f>
        <v>893060.73089730856</v>
      </c>
      <c r="Y14">
        <f>IF(Y9 &lt;= Inputs!$B$39 * 2, $C$12 / (Inputs!$B$39 * 2) * Y7,0)</f>
        <v>893060.73089730856</v>
      </c>
      <c r="Z14">
        <f>IF(Z9 &lt;= Inputs!$B$39 * 2, $C$12 / (Inputs!$B$39 * 2) * Z7,0)</f>
        <v>893060.73089730856</v>
      </c>
      <c r="AA14">
        <f>IF(AA9 &lt;= Inputs!$B$39 * 2, $C$12 / (Inputs!$B$39 * 2) * AA7,0)</f>
        <v>893060.73089730856</v>
      </c>
      <c r="AB14">
        <f>IF(AB9 &lt;= Inputs!$B$39 * 2, $C$12 / (Inputs!$B$39 * 2) * AB7,0)</f>
        <v>0</v>
      </c>
      <c r="AC14">
        <f>IF(AC9 &lt;= Inputs!$B$39 * 2, $C$12 / (Inputs!$B$39 * 2) * AC7,0)</f>
        <v>0</v>
      </c>
      <c r="AD14">
        <f>IF(AD9 &lt;= Inputs!$B$39 * 2, $C$12 / (Inputs!$B$39 * 2) * AD7,0)</f>
        <v>0</v>
      </c>
      <c r="AE14">
        <f>IF(AE9 &lt;= Inputs!$B$39 * 2, $C$12 / (Inputs!$B$39 * 2) * AE7,0)</f>
        <v>0</v>
      </c>
      <c r="AF14">
        <f>IF(AF9 &lt;= Inputs!$B$39 * 2, $C$12 / (Inputs!$B$39 * 2) * AF7,0)</f>
        <v>0</v>
      </c>
      <c r="AG14">
        <f>IF(AG9 &lt;= Inputs!$B$39 * 2, $C$12 / (Inputs!$B$39 * 2) * AG7,0)</f>
        <v>0</v>
      </c>
      <c r="AH14">
        <f>IF(AH9 &lt;= Inputs!$B$39 * 2, $C$12 / (Inputs!$B$39 * 2) * AH7,0)</f>
        <v>0</v>
      </c>
      <c r="AI14">
        <f>IF(AI9 &lt;= Inputs!$B$39 * 2, $C$12 / (Inputs!$B$39 * 2) * AI7,0)</f>
        <v>0</v>
      </c>
      <c r="AJ14">
        <f>IF(AJ9 &lt;= Inputs!$B$39 * 2, $C$12 / (Inputs!$B$39 * 2) * AJ7,0)</f>
        <v>0</v>
      </c>
      <c r="AK14">
        <f>IF(AK9 &lt;= Inputs!$B$39 * 2, $C$12 / (Inputs!$B$39 * 2) * AK7,0)</f>
        <v>0</v>
      </c>
      <c r="AL14">
        <f>IF(AL9 &lt;= Inputs!$B$39 * 2, $C$12 / (Inputs!$B$39 * 2) * AL7,0)</f>
        <v>0</v>
      </c>
      <c r="AM14">
        <f>IF(AM9 &lt;= Inputs!$B$39 * 2, $C$12 / (Inputs!$B$39 * 2) * AM7,0)</f>
        <v>0</v>
      </c>
      <c r="AN14">
        <f>IF(AN9 &lt;= Inputs!$B$39 * 2, $C$12 / (Inputs!$B$39 * 2) * AN7,0)</f>
        <v>0</v>
      </c>
      <c r="AO14">
        <f>IF(AO9 &lt;= Inputs!$B$39 * 2, $C$12 / (Inputs!$B$39 * 2) * AO7,0)</f>
        <v>0</v>
      </c>
      <c r="AP14">
        <f>IF(AP9 &lt;= Inputs!$B$39 * 2, $C$12 / (Inputs!$B$39 * 2) * AP7,0)</f>
        <v>0</v>
      </c>
      <c r="AQ14">
        <f>IF(AQ9 &lt;= Inputs!$B$39 * 2, $C$12 / (Inputs!$B$39 * 2) * AQ7,0)</f>
        <v>0</v>
      </c>
      <c r="AR14">
        <f>IF(AR9 &lt;= Inputs!$B$39 * 2, $C$12 / (Inputs!$B$39 * 2) * AR7,0)</f>
        <v>0</v>
      </c>
      <c r="AS14">
        <f>IF(AS9 &lt;= Inputs!$B$39 * 2, $C$12 / (Inputs!$B$39 * 2) * AS7,0)</f>
        <v>0</v>
      </c>
      <c r="AT14">
        <f>IF(AT9 &lt;= Inputs!$B$39 * 2, $C$12 / (Inputs!$B$39 * 2) * AT7,0)</f>
        <v>0</v>
      </c>
      <c r="AU14">
        <f>IF(AU9 &lt;= Inputs!$B$39 * 2, $C$12 / (Inputs!$B$39 * 2) * AU7,0)</f>
        <v>0</v>
      </c>
      <c r="AV14">
        <f>IF(AV9 &lt;= Inputs!$B$39 * 2, $C$12 / (Inputs!$B$39 * 2) * AV7,0)</f>
        <v>0</v>
      </c>
      <c r="AW14">
        <f>IF(AW9 &lt;= Inputs!$B$39 * 2, $C$12 / (Inputs!$B$39 * 2) * AW7,0)</f>
        <v>0</v>
      </c>
      <c r="AX14">
        <f>IF(AX9 &lt;= Inputs!$B$39 * 2, $C$12 / (Inputs!$B$39 * 2) * AX7,0)</f>
        <v>0</v>
      </c>
      <c r="AY14">
        <f>IF(AY9 &lt;= Inputs!$B$39 * 2, $C$12 / (Inputs!$B$39 * 2) * AY7,0)</f>
        <v>0</v>
      </c>
      <c r="AZ14">
        <f>IF(AZ9 &lt;= Inputs!$B$39 * 2, $C$12 / (Inputs!$B$39 * 2) * AZ7,0)</f>
        <v>0</v>
      </c>
      <c r="BA14">
        <f>IF(BA9 &lt;= Inputs!$B$39 * 2, $C$12 / (Inputs!$B$39 * 2) * BA7,0)</f>
        <v>0</v>
      </c>
      <c r="BB14">
        <f>IF(BB9 &lt;= Inputs!$B$39 * 2, $C$12 / (Inputs!$B$39 * 2) * BB7,0)</f>
        <v>0</v>
      </c>
      <c r="BC14">
        <f>IF(BC9 &lt;= Inputs!$B$39 * 2, $C$12 / (Inputs!$B$39 * 2) * BC7,0)</f>
        <v>0</v>
      </c>
      <c r="BD14">
        <f>IF(BD9 &lt;= Inputs!$B$39 * 2, $C$12 / (Inputs!$B$39 * 2) * BD7,0)</f>
        <v>0</v>
      </c>
      <c r="BE14">
        <f>IF(BE9 &lt;= Inputs!$B$39 * 2, $C$12 / (Inputs!$B$39 * 2) * BE7,0)</f>
        <v>0</v>
      </c>
      <c r="BF14">
        <f>IF(BF9 &lt;= Inputs!$B$39 * 2, $C$12 / (Inputs!$B$39 * 2) * BF7,0)</f>
        <v>0</v>
      </c>
      <c r="BG14">
        <f>IF(BG9 &lt;= Inputs!$B$39 * 2, $C$12 / (Inputs!$B$39 * 2) * BG7,0)</f>
        <v>0</v>
      </c>
      <c r="BH14">
        <f>IF(BH9 &lt;= Inputs!$B$39 * 2, $C$12 / (Inputs!$B$39 * 2) * BH7,0)</f>
        <v>0</v>
      </c>
      <c r="BI14">
        <f>IF(BI9 &lt;= Inputs!$B$39 * 2, $C$12 / (Inputs!$B$39 * 2) * BI7,0)</f>
        <v>0</v>
      </c>
      <c r="BJ14">
        <f>IF(BJ9 &lt;= Inputs!$B$39 * 2, $C$12 / (Inputs!$B$39 * 2) * BJ7,0)</f>
        <v>0</v>
      </c>
      <c r="BK14">
        <f>IF(BK9 &lt;= Inputs!$B$39 * 2, $C$12 / (Inputs!$B$39 * 2) * BK7,0)</f>
        <v>0</v>
      </c>
      <c r="BL14">
        <f>IF(BL9 &lt;= Inputs!$B$39 * 2, $C$12 / (Inputs!$B$39 * 2) * BL7,0)</f>
        <v>0</v>
      </c>
      <c r="BM14">
        <f>IF(BM9 &lt;= Inputs!$B$39 * 2, $C$12 / (Inputs!$B$39 * 2) * BM7,0)</f>
        <v>0</v>
      </c>
      <c r="BN14">
        <f>IF(BN9 &lt;= Inputs!$B$39 * 2, $C$12 / (Inputs!$B$39 * 2) * BN7,0)</f>
        <v>0</v>
      </c>
      <c r="BO14">
        <f>IF(BO9 &lt;= Inputs!$B$39 * 2, $C$12 / (Inputs!$B$39 * 2) * BO7,0)</f>
        <v>0</v>
      </c>
      <c r="BP14">
        <f>IF(BP9 &lt;= Inputs!$B$39 * 2, $C$12 / (Inputs!$B$39 * 2) * BP7,0)</f>
        <v>0</v>
      </c>
      <c r="BQ14">
        <f>IF(BQ9 &lt;= Inputs!$B$39 * 2, $C$12 / (Inputs!$B$39 * 2) * BQ7,0)</f>
        <v>0</v>
      </c>
      <c r="BR14">
        <f>IF(BR9 &lt;= Inputs!$B$39 * 2, $C$12 / (Inputs!$B$39 * 2) * BR7,0)</f>
        <v>0</v>
      </c>
      <c r="BS14">
        <f>IF(BS9 &lt;= Inputs!$B$39 * 2, $C$12 / (Inputs!$B$39 * 2) * BS7,0)</f>
        <v>0</v>
      </c>
      <c r="BT14">
        <f>IF(BT9 &lt;= Inputs!$B$39 * 2, $C$12 / (Inputs!$B$39 * 2) * BT7,0)</f>
        <v>0</v>
      </c>
      <c r="BU14">
        <f>IF(BU9 &lt;= Inputs!$B$39 * 2, $C$12 / (Inputs!$B$39 * 2) * BU7,0)</f>
        <v>0</v>
      </c>
    </row>
    <row r="15" spans="1:73">
      <c r="A15" t="s">
        <v>254</v>
      </c>
      <c r="B15" t="s">
        <v>184</v>
      </c>
      <c r="C15">
        <f>C13+C14</f>
        <v>28577943.388713881</v>
      </c>
      <c r="D15">
        <f t="shared" ref="D15:BO15" si="0">D13+D14</f>
        <v>0</v>
      </c>
      <c r="E15">
        <f t="shared" si="0"/>
        <v>0</v>
      </c>
      <c r="F15">
        <f t="shared" si="0"/>
        <v>0</v>
      </c>
      <c r="G15">
        <f t="shared" si="0"/>
        <v>0</v>
      </c>
      <c r="H15">
        <f t="shared" si="0"/>
        <v>1071672.8770767702</v>
      </c>
      <c r="I15">
        <f t="shared" si="0"/>
        <v>1071672.8770767702</v>
      </c>
      <c r="J15">
        <f t="shared" si="0"/>
        <v>1071672.8770767702</v>
      </c>
      <c r="K15">
        <f t="shared" si="0"/>
        <v>1071672.8770767702</v>
      </c>
      <c r="L15">
        <f t="shared" si="0"/>
        <v>1071672.8770767702</v>
      </c>
      <c r="M15">
        <f t="shared" si="0"/>
        <v>1071672.8770767702</v>
      </c>
      <c r="N15">
        <f t="shared" si="0"/>
        <v>1071672.8770767702</v>
      </c>
      <c r="O15">
        <f t="shared" si="0"/>
        <v>1071672.8770767702</v>
      </c>
      <c r="P15">
        <f t="shared" si="0"/>
        <v>1071672.8770767702</v>
      </c>
      <c r="Q15">
        <f t="shared" si="0"/>
        <v>1071672.8770767702</v>
      </c>
      <c r="R15">
        <f t="shared" si="0"/>
        <v>1071672.8770767702</v>
      </c>
      <c r="S15">
        <f t="shared" si="0"/>
        <v>1071672.8770767702</v>
      </c>
      <c r="T15">
        <f t="shared" si="0"/>
        <v>1071672.8770767702</v>
      </c>
      <c r="U15">
        <f t="shared" si="0"/>
        <v>1071672.8770767702</v>
      </c>
      <c r="V15">
        <f t="shared" si="0"/>
        <v>1071672.8770767702</v>
      </c>
      <c r="W15">
        <f t="shared" si="0"/>
        <v>1071672.8770767702</v>
      </c>
      <c r="X15">
        <f t="shared" si="0"/>
        <v>1071672.8770767702</v>
      </c>
      <c r="Y15">
        <f t="shared" si="0"/>
        <v>1071672.8770767702</v>
      </c>
      <c r="Z15">
        <f t="shared" si="0"/>
        <v>1071672.8770767702</v>
      </c>
      <c r="AA15">
        <f t="shared" si="0"/>
        <v>1071672.8770767702</v>
      </c>
      <c r="AB15">
        <f t="shared" si="0"/>
        <v>178612.14617946171</v>
      </c>
      <c r="AC15">
        <f t="shared" si="0"/>
        <v>178612.14617946171</v>
      </c>
      <c r="AD15">
        <f t="shared" si="0"/>
        <v>178612.14617946171</v>
      </c>
      <c r="AE15">
        <f t="shared" si="0"/>
        <v>178612.14617946171</v>
      </c>
      <c r="AF15">
        <f t="shared" si="0"/>
        <v>178612.14617946171</v>
      </c>
      <c r="AG15">
        <f t="shared" si="0"/>
        <v>178612.14617946171</v>
      </c>
      <c r="AH15">
        <f t="shared" si="0"/>
        <v>178612.14617946171</v>
      </c>
      <c r="AI15">
        <f t="shared" si="0"/>
        <v>178612.14617946171</v>
      </c>
      <c r="AJ15">
        <f t="shared" si="0"/>
        <v>178612.14617946171</v>
      </c>
      <c r="AK15">
        <f t="shared" si="0"/>
        <v>178612.14617946171</v>
      </c>
      <c r="AL15">
        <f t="shared" si="0"/>
        <v>178612.14617946171</v>
      </c>
      <c r="AM15">
        <f t="shared" si="0"/>
        <v>178612.14617946171</v>
      </c>
      <c r="AN15">
        <f t="shared" si="0"/>
        <v>178612.14617946171</v>
      </c>
      <c r="AO15">
        <f t="shared" si="0"/>
        <v>178612.14617946171</v>
      </c>
      <c r="AP15">
        <f t="shared" si="0"/>
        <v>178612.14617946171</v>
      </c>
      <c r="AQ15">
        <f t="shared" si="0"/>
        <v>178612.14617946171</v>
      </c>
      <c r="AR15">
        <f t="shared" si="0"/>
        <v>178612.14617946171</v>
      </c>
      <c r="AS15">
        <f t="shared" si="0"/>
        <v>178612.14617946171</v>
      </c>
      <c r="AT15">
        <f t="shared" si="0"/>
        <v>178612.14617946171</v>
      </c>
      <c r="AU15">
        <f t="shared" si="0"/>
        <v>178612.14617946171</v>
      </c>
      <c r="AV15">
        <f t="shared" si="0"/>
        <v>178612.14617946171</v>
      </c>
      <c r="AW15">
        <f t="shared" si="0"/>
        <v>178612.14617946171</v>
      </c>
      <c r="AX15">
        <f t="shared" si="0"/>
        <v>178612.14617946171</v>
      </c>
      <c r="AY15">
        <f t="shared" si="0"/>
        <v>178612.14617946171</v>
      </c>
      <c r="AZ15">
        <f t="shared" si="0"/>
        <v>178612.14617946171</v>
      </c>
      <c r="BA15">
        <f t="shared" si="0"/>
        <v>178612.14617946171</v>
      </c>
      <c r="BB15">
        <f t="shared" si="0"/>
        <v>178612.14617946171</v>
      </c>
      <c r="BC15">
        <f t="shared" si="0"/>
        <v>178612.14617946171</v>
      </c>
      <c r="BD15">
        <f t="shared" si="0"/>
        <v>178612.14617946171</v>
      </c>
      <c r="BE15">
        <f t="shared" si="0"/>
        <v>178612.14617946171</v>
      </c>
      <c r="BF15">
        <f t="shared" si="0"/>
        <v>178612.14617946171</v>
      </c>
      <c r="BG15">
        <f t="shared" si="0"/>
        <v>178612.14617946171</v>
      </c>
      <c r="BH15">
        <f t="shared" si="0"/>
        <v>178612.14617946171</v>
      </c>
      <c r="BI15">
        <f t="shared" si="0"/>
        <v>178612.14617946171</v>
      </c>
      <c r="BJ15">
        <f t="shared" si="0"/>
        <v>178612.14617946171</v>
      </c>
      <c r="BK15">
        <f t="shared" si="0"/>
        <v>178612.14617946171</v>
      </c>
      <c r="BL15">
        <f t="shared" si="0"/>
        <v>178612.14617946171</v>
      </c>
      <c r="BM15">
        <f t="shared" si="0"/>
        <v>178612.14617946171</v>
      </c>
      <c r="BN15">
        <f t="shared" si="0"/>
        <v>178612.14617946171</v>
      </c>
      <c r="BO15">
        <f t="shared" si="0"/>
        <v>178612.14617946171</v>
      </c>
      <c r="BP15">
        <f t="shared" ref="BP15:BU15" si="1">BP13+BP14</f>
        <v>0</v>
      </c>
      <c r="BQ15">
        <f t="shared" si="1"/>
        <v>0</v>
      </c>
      <c r="BR15">
        <f t="shared" si="1"/>
        <v>0</v>
      </c>
      <c r="BS15">
        <f t="shared" si="1"/>
        <v>0</v>
      </c>
      <c r="BT15">
        <f t="shared" si="1"/>
        <v>0</v>
      </c>
      <c r="BU15">
        <f t="shared" si="1"/>
        <v>0</v>
      </c>
    </row>
    <row r="16" spans="1:73" ht="15.75">
      <c r="A16" s="70" t="s">
        <v>239</v>
      </c>
      <c r="B16" s="70"/>
      <c r="C16" s="70"/>
    </row>
    <row r="17" spans="1:73" ht="30">
      <c r="A17" s="61" t="s">
        <v>256</v>
      </c>
      <c r="B17" s="62" t="s">
        <v>165</v>
      </c>
      <c r="C17" s="67">
        <f>C15-(C12+C11*Inputs!$B$11 / Inputs!$B$38)</f>
        <v>0</v>
      </c>
      <c r="D17" s="53" t="s">
        <v>167</v>
      </c>
    </row>
    <row r="18" spans="1:73" ht="15.75">
      <c r="A18" s="70" t="s">
        <v>257</v>
      </c>
      <c r="B18" s="70"/>
      <c r="C18" s="70"/>
    </row>
    <row r="19" spans="1:73">
      <c r="A19" t="s">
        <v>271</v>
      </c>
      <c r="B19" s="54" t="s">
        <v>184</v>
      </c>
      <c r="C19">
        <f>SUM(D19:BU19)</f>
        <v>884259.49304903857</v>
      </c>
      <c r="D19" s="52">
        <f>Construction!D42</f>
        <v>166463.3101001952</v>
      </c>
      <c r="E19" s="52">
        <f>Construction!E42</f>
        <v>130499.66339411125</v>
      </c>
      <c r="F19" s="52">
        <f>Construction!F42</f>
        <v>250463.42850752515</v>
      </c>
      <c r="G19" s="52">
        <f>Construction!G42</f>
        <v>336833.09104720695</v>
      </c>
      <c r="H19" s="52">
        <f>Construction!H42</f>
        <v>0</v>
      </c>
      <c r="I19" s="52">
        <f>Construction!I42</f>
        <v>0</v>
      </c>
      <c r="J19" s="52">
        <f>Construction!J42</f>
        <v>0</v>
      </c>
      <c r="K19" s="52">
        <f>Construction!K42</f>
        <v>0</v>
      </c>
      <c r="L19" s="52">
        <f>Construction!L42</f>
        <v>0</v>
      </c>
      <c r="M19" s="52">
        <f>Construction!M42</f>
        <v>0</v>
      </c>
      <c r="N19" s="52">
        <f>Construction!N42</f>
        <v>0</v>
      </c>
      <c r="O19" s="52">
        <f>Construction!O42</f>
        <v>0</v>
      </c>
      <c r="P19" s="52">
        <f>Construction!P42</f>
        <v>0</v>
      </c>
      <c r="Q19" s="52">
        <f>Construction!Q42</f>
        <v>0</v>
      </c>
      <c r="R19" s="52">
        <f>Construction!R42</f>
        <v>0</v>
      </c>
      <c r="S19" s="52">
        <f>Construction!S42</f>
        <v>0</v>
      </c>
      <c r="T19" s="52">
        <f>Construction!T42</f>
        <v>0</v>
      </c>
      <c r="U19" s="52">
        <f>Construction!U42</f>
        <v>0</v>
      </c>
      <c r="V19" s="52">
        <f>Construction!V42</f>
        <v>0</v>
      </c>
      <c r="W19" s="52">
        <f>Construction!W42</f>
        <v>0</v>
      </c>
      <c r="X19" s="52">
        <f>Construction!X42</f>
        <v>0</v>
      </c>
      <c r="Y19" s="52">
        <f>Construction!Y42</f>
        <v>0</v>
      </c>
      <c r="Z19" s="52">
        <f>Construction!Z42</f>
        <v>0</v>
      </c>
      <c r="AA19" s="52">
        <f>Construction!AA42</f>
        <v>0</v>
      </c>
      <c r="AB19" s="52">
        <f>Construction!AB42</f>
        <v>0</v>
      </c>
      <c r="AC19" s="52">
        <f>Construction!AC42</f>
        <v>0</v>
      </c>
      <c r="AD19" s="52">
        <f>Construction!AD42</f>
        <v>0</v>
      </c>
      <c r="AE19" s="52">
        <f>Construction!AE42</f>
        <v>0</v>
      </c>
      <c r="AF19" s="52">
        <f>Construction!AF42</f>
        <v>0</v>
      </c>
      <c r="AG19" s="52">
        <f>Construction!AG42</f>
        <v>0</v>
      </c>
      <c r="AH19" s="52">
        <f>Construction!AH42</f>
        <v>0</v>
      </c>
      <c r="AI19" s="52">
        <f>Construction!AI42</f>
        <v>0</v>
      </c>
      <c r="AJ19" s="52">
        <f>Construction!AJ42</f>
        <v>0</v>
      </c>
      <c r="AK19" s="52">
        <f>Construction!AK42</f>
        <v>0</v>
      </c>
      <c r="AL19" s="52">
        <f>Construction!AL42</f>
        <v>0</v>
      </c>
      <c r="AM19" s="52">
        <f>Construction!AM42</f>
        <v>0</v>
      </c>
      <c r="AN19" s="52">
        <f>Construction!AN42</f>
        <v>0</v>
      </c>
      <c r="AO19" s="52">
        <f>Construction!AO42</f>
        <v>0</v>
      </c>
      <c r="AP19" s="52">
        <f>Construction!AP42</f>
        <v>0</v>
      </c>
      <c r="AQ19" s="52">
        <f>Construction!AQ42</f>
        <v>0</v>
      </c>
      <c r="AR19" s="52">
        <f>Construction!AR42</f>
        <v>0</v>
      </c>
      <c r="AS19" s="52">
        <f>Construction!AS42</f>
        <v>0</v>
      </c>
      <c r="AT19" s="52">
        <f>Construction!AT42</f>
        <v>0</v>
      </c>
      <c r="AU19" s="52">
        <f>Construction!AU42</f>
        <v>0</v>
      </c>
      <c r="AV19" s="52">
        <f>Construction!AV42</f>
        <v>0</v>
      </c>
      <c r="AW19" s="52">
        <f>Construction!AW42</f>
        <v>0</v>
      </c>
      <c r="AX19" s="52">
        <f>Construction!AX42</f>
        <v>0</v>
      </c>
      <c r="AY19" s="52">
        <f>Construction!AY42</f>
        <v>0</v>
      </c>
      <c r="AZ19" s="52">
        <f>Construction!AZ42</f>
        <v>0</v>
      </c>
      <c r="BA19" s="52">
        <f>Construction!BA42</f>
        <v>0</v>
      </c>
      <c r="BB19" s="52">
        <f>Construction!BB42</f>
        <v>0</v>
      </c>
      <c r="BC19" s="52">
        <f>Construction!BC42</f>
        <v>0</v>
      </c>
      <c r="BD19" s="52">
        <f>Construction!BD42</f>
        <v>0</v>
      </c>
      <c r="BE19" s="52">
        <f>Construction!BE42</f>
        <v>0</v>
      </c>
      <c r="BF19" s="52">
        <f>Construction!BF42</f>
        <v>0</v>
      </c>
      <c r="BG19" s="52">
        <f>Construction!BG42</f>
        <v>0</v>
      </c>
      <c r="BH19" s="52">
        <f>Construction!BH42</f>
        <v>0</v>
      </c>
      <c r="BI19" s="52">
        <f>Construction!BI42</f>
        <v>0</v>
      </c>
      <c r="BJ19" s="52">
        <f>Construction!BJ42</f>
        <v>0</v>
      </c>
      <c r="BK19" s="52">
        <f>Construction!BK42</f>
        <v>0</v>
      </c>
      <c r="BL19" s="52">
        <f>Construction!BL42</f>
        <v>0</v>
      </c>
      <c r="BM19" s="52">
        <f>Construction!BM42</f>
        <v>0</v>
      </c>
      <c r="BN19" s="52">
        <f>Construction!BN42</f>
        <v>0</v>
      </c>
      <c r="BO19" s="52">
        <f>Construction!BO42</f>
        <v>0</v>
      </c>
      <c r="BP19" s="52">
        <f>Construction!BP42</f>
        <v>0</v>
      </c>
      <c r="BQ19" s="52">
        <f>Construction!BQ42</f>
        <v>0</v>
      </c>
      <c r="BR19" s="52">
        <f>Construction!BR42</f>
        <v>0</v>
      </c>
      <c r="BS19" s="52">
        <f>Construction!BS42</f>
        <v>0</v>
      </c>
      <c r="BT19" s="52">
        <f>Construction!BT42</f>
        <v>0</v>
      </c>
      <c r="BU19" s="52">
        <f>Construction!BU42</f>
        <v>0</v>
      </c>
    </row>
    <row r="20" spans="1:73">
      <c r="A20" t="s">
        <v>384</v>
      </c>
      <c r="B20" s="27" t="s">
        <v>184</v>
      </c>
      <c r="C20">
        <f>SUM(D20:BU20)</f>
        <v>4898687.2238423498</v>
      </c>
      <c r="D20" s="52">
        <f>Debt!D24</f>
        <v>0</v>
      </c>
      <c r="E20" s="52">
        <f>Debt!E24</f>
        <v>0</v>
      </c>
      <c r="F20" s="52">
        <f>Debt!F24</f>
        <v>0</v>
      </c>
      <c r="G20" s="52">
        <f>Debt!G24</f>
        <v>0</v>
      </c>
      <c r="H20" s="52">
        <f>Debt!H24</f>
        <v>362923.31400190428</v>
      </c>
      <c r="I20" s="52">
        <f>Debt!I24</f>
        <v>338575.71616750554</v>
      </c>
      <c r="J20" s="52">
        <f>Debt!J24</f>
        <v>341546.91463434411</v>
      </c>
      <c r="K20" s="52">
        <f>Debt!K24</f>
        <v>316603.2892929407</v>
      </c>
      <c r="L20" s="52">
        <f>Debt!L24</f>
        <v>318955.26748259494</v>
      </c>
      <c r="M20" s="52">
        <f>Debt!M24</f>
        <v>293368.24163442221</v>
      </c>
      <c r="N20" s="52">
        <f>Debt!N24</f>
        <v>295052.61023123353</v>
      </c>
      <c r="O20" s="52">
        <f>Debt!O24</f>
        <v>268771.70108342718</v>
      </c>
      <c r="P20" s="52">
        <f>Debt!P24</f>
        <v>269733.70408290531</v>
      </c>
      <c r="Q20" s="52">
        <f>Debt!Q24</f>
        <v>242701.7565338852</v>
      </c>
      <c r="R20" s="52">
        <f>Debt!R24</f>
        <v>242882.77501516906</v>
      </c>
      <c r="S20" s="52">
        <f>Debt!S24</f>
        <v>215038.60891259453</v>
      </c>
      <c r="T20" s="52">
        <f>Debt!T24</f>
        <v>214374.78657547428</v>
      </c>
      <c r="U20" s="52">
        <f>Debt!U24</f>
        <v>185651.75023692529</v>
      </c>
      <c r="V20" s="52">
        <f>Debt!V24</f>
        <v>184074.64349289442</v>
      </c>
      <c r="W20" s="52">
        <f>Debt!W24</f>
        <v>154401.30433814385</v>
      </c>
      <c r="X20" s="52">
        <f>Debt!X24</f>
        <v>151834.09966810813</v>
      </c>
      <c r="Y20" s="52">
        <f>Debt!Y24</f>
        <v>121130.25784456721</v>
      </c>
      <c r="Z20" s="52">
        <f>Debt!Z24</f>
        <v>117490.34591090777</v>
      </c>
      <c r="AA20" s="52">
        <f>Debt!AA24</f>
        <v>85669.757596672702</v>
      </c>
      <c r="AB20" s="52">
        <f>Debt!AB24</f>
        <v>80867.096908381762</v>
      </c>
      <c r="AC20" s="52">
        <f>Debt!AC24</f>
        <v>47835.753338828967</v>
      </c>
      <c r="AD20" s="52">
        <f>Debt!AD24</f>
        <v>41773.411686704814</v>
      </c>
      <c r="AE20" s="52">
        <f>Debt!AE24</f>
        <v>7430.1171718147962</v>
      </c>
      <c r="AF20" s="52">
        <f>Debt!AF24</f>
        <v>0</v>
      </c>
      <c r="AG20" s="52">
        <f>Debt!AG24</f>
        <v>0</v>
      </c>
      <c r="AH20" s="52">
        <f>Debt!AH24</f>
        <v>0</v>
      </c>
      <c r="AI20" s="52">
        <f>Debt!AI24</f>
        <v>0</v>
      </c>
      <c r="AJ20" s="52">
        <f>Debt!AJ24</f>
        <v>0</v>
      </c>
      <c r="AK20" s="52">
        <f>Debt!AK24</f>
        <v>0</v>
      </c>
      <c r="AL20" s="52">
        <f>Debt!AL24</f>
        <v>0</v>
      </c>
      <c r="AM20" s="52">
        <f>Debt!AM24</f>
        <v>0</v>
      </c>
      <c r="AN20" s="52">
        <f>Debt!AN24</f>
        <v>0</v>
      </c>
      <c r="AO20" s="52">
        <f>Debt!AO24</f>
        <v>0</v>
      </c>
      <c r="AP20" s="52">
        <f>Debt!AP24</f>
        <v>0</v>
      </c>
      <c r="AQ20" s="52">
        <f>Debt!AQ24</f>
        <v>0</v>
      </c>
      <c r="AR20" s="52">
        <f>Debt!AR24</f>
        <v>0</v>
      </c>
      <c r="AS20" s="52">
        <f>Debt!AS24</f>
        <v>0</v>
      </c>
      <c r="AT20" s="52">
        <f>Debt!AT24</f>
        <v>0</v>
      </c>
      <c r="AU20" s="52">
        <f>Debt!AU24</f>
        <v>0</v>
      </c>
      <c r="AV20" s="52">
        <f>Debt!AV24</f>
        <v>0</v>
      </c>
      <c r="AW20" s="52">
        <f>Debt!AW24</f>
        <v>0</v>
      </c>
      <c r="AX20" s="52">
        <f>Debt!AX24</f>
        <v>0</v>
      </c>
      <c r="AY20" s="52">
        <f>Debt!AY24</f>
        <v>0</v>
      </c>
      <c r="AZ20" s="52">
        <f>Debt!AZ24</f>
        <v>0</v>
      </c>
      <c r="BA20" s="52">
        <f>Debt!BA24</f>
        <v>0</v>
      </c>
      <c r="BB20" s="52">
        <f>Debt!BB24</f>
        <v>0</v>
      </c>
      <c r="BC20" s="52">
        <f>Debt!BC24</f>
        <v>0</v>
      </c>
      <c r="BD20" s="52">
        <f>Debt!BD24</f>
        <v>0</v>
      </c>
      <c r="BE20" s="52">
        <f>Debt!BE24</f>
        <v>0</v>
      </c>
      <c r="BF20" s="52">
        <f>Debt!BF24</f>
        <v>0</v>
      </c>
      <c r="BG20" s="52">
        <f>Debt!BG24</f>
        <v>0</v>
      </c>
      <c r="BH20" s="52">
        <f>Debt!BH24</f>
        <v>0</v>
      </c>
      <c r="BI20" s="52">
        <f>Debt!BI24</f>
        <v>0</v>
      </c>
      <c r="BJ20" s="52">
        <f>Debt!BJ24</f>
        <v>0</v>
      </c>
      <c r="BK20" s="52">
        <f>Debt!BK24</f>
        <v>0</v>
      </c>
      <c r="BL20" s="52">
        <f>Debt!BL24</f>
        <v>0</v>
      </c>
      <c r="BM20" s="52">
        <f>Debt!BM24</f>
        <v>0</v>
      </c>
      <c r="BN20" s="52">
        <f>Debt!BN24</f>
        <v>0</v>
      </c>
      <c r="BO20" s="52">
        <f>Debt!BO24</f>
        <v>0</v>
      </c>
      <c r="BP20" s="52">
        <f>Debt!BP24</f>
        <v>0</v>
      </c>
      <c r="BQ20" s="52">
        <f>Debt!BQ24</f>
        <v>0</v>
      </c>
      <c r="BR20" s="52">
        <f>Debt!BR24</f>
        <v>0</v>
      </c>
      <c r="BS20" s="52">
        <f>Debt!BS24</f>
        <v>0</v>
      </c>
      <c r="BT20" s="52">
        <f>Debt!BT24</f>
        <v>0</v>
      </c>
      <c r="BU20" s="52">
        <f>Debt!BU24</f>
        <v>0</v>
      </c>
    </row>
    <row r="21" spans="1:73">
      <c r="A21" t="s">
        <v>270</v>
      </c>
      <c r="B21" s="27" t="s">
        <v>184</v>
      </c>
      <c r="C21">
        <f>SUM(D21:BU21)</f>
        <v>5782946.7168913893</v>
      </c>
      <c r="D21" s="52">
        <f>D19+D20</f>
        <v>166463.3101001952</v>
      </c>
      <c r="E21" s="52">
        <f t="shared" ref="E21:BP21" si="2">E19+E20</f>
        <v>130499.66339411125</v>
      </c>
      <c r="F21" s="52">
        <f t="shared" si="2"/>
        <v>250463.42850752515</v>
      </c>
      <c r="G21" s="52">
        <f t="shared" si="2"/>
        <v>336833.09104720695</v>
      </c>
      <c r="H21" s="52">
        <f t="shared" si="2"/>
        <v>362923.31400190428</v>
      </c>
      <c r="I21" s="52">
        <f t="shared" si="2"/>
        <v>338575.71616750554</v>
      </c>
      <c r="J21" s="52">
        <f t="shared" si="2"/>
        <v>341546.91463434411</v>
      </c>
      <c r="K21" s="52">
        <f t="shared" si="2"/>
        <v>316603.2892929407</v>
      </c>
      <c r="L21" s="52">
        <f t="shared" si="2"/>
        <v>318955.26748259494</v>
      </c>
      <c r="M21" s="52">
        <f t="shared" si="2"/>
        <v>293368.24163442221</v>
      </c>
      <c r="N21" s="52">
        <f t="shared" si="2"/>
        <v>295052.61023123353</v>
      </c>
      <c r="O21" s="52">
        <f t="shared" si="2"/>
        <v>268771.70108342718</v>
      </c>
      <c r="P21" s="52">
        <f t="shared" si="2"/>
        <v>269733.70408290531</v>
      </c>
      <c r="Q21" s="52">
        <f t="shared" si="2"/>
        <v>242701.7565338852</v>
      </c>
      <c r="R21" s="52">
        <f t="shared" si="2"/>
        <v>242882.77501516906</v>
      </c>
      <c r="S21" s="52">
        <f t="shared" si="2"/>
        <v>215038.60891259453</v>
      </c>
      <c r="T21" s="52">
        <f t="shared" si="2"/>
        <v>214374.78657547428</v>
      </c>
      <c r="U21" s="52">
        <f t="shared" si="2"/>
        <v>185651.75023692529</v>
      </c>
      <c r="V21" s="52">
        <f t="shared" si="2"/>
        <v>184074.64349289442</v>
      </c>
      <c r="W21" s="52">
        <f t="shared" si="2"/>
        <v>154401.30433814385</v>
      </c>
      <c r="X21" s="52">
        <f t="shared" si="2"/>
        <v>151834.09966810813</v>
      </c>
      <c r="Y21" s="52">
        <f t="shared" si="2"/>
        <v>121130.25784456721</v>
      </c>
      <c r="Z21" s="52">
        <f t="shared" si="2"/>
        <v>117490.34591090777</v>
      </c>
      <c r="AA21" s="52">
        <f t="shared" si="2"/>
        <v>85669.757596672702</v>
      </c>
      <c r="AB21" s="52">
        <f t="shared" si="2"/>
        <v>80867.096908381762</v>
      </c>
      <c r="AC21" s="52">
        <f t="shared" si="2"/>
        <v>47835.753338828967</v>
      </c>
      <c r="AD21" s="52">
        <f t="shared" si="2"/>
        <v>41773.411686704814</v>
      </c>
      <c r="AE21" s="52">
        <f t="shared" si="2"/>
        <v>7430.1171718147962</v>
      </c>
      <c r="AF21" s="52">
        <f t="shared" si="2"/>
        <v>0</v>
      </c>
      <c r="AG21" s="52">
        <f t="shared" si="2"/>
        <v>0</v>
      </c>
      <c r="AH21" s="52">
        <f t="shared" si="2"/>
        <v>0</v>
      </c>
      <c r="AI21" s="52">
        <f t="shared" si="2"/>
        <v>0</v>
      </c>
      <c r="AJ21" s="52">
        <f t="shared" si="2"/>
        <v>0</v>
      </c>
      <c r="AK21" s="52">
        <f t="shared" si="2"/>
        <v>0</v>
      </c>
      <c r="AL21" s="52">
        <f t="shared" si="2"/>
        <v>0</v>
      </c>
      <c r="AM21" s="52">
        <f t="shared" si="2"/>
        <v>0</v>
      </c>
      <c r="AN21" s="52">
        <f t="shared" si="2"/>
        <v>0</v>
      </c>
      <c r="AO21" s="52">
        <f t="shared" si="2"/>
        <v>0</v>
      </c>
      <c r="AP21" s="52">
        <f t="shared" si="2"/>
        <v>0</v>
      </c>
      <c r="AQ21" s="52">
        <f t="shared" si="2"/>
        <v>0</v>
      </c>
      <c r="AR21" s="52">
        <f t="shared" si="2"/>
        <v>0</v>
      </c>
      <c r="AS21" s="52">
        <f t="shared" si="2"/>
        <v>0</v>
      </c>
      <c r="AT21" s="52">
        <f t="shared" si="2"/>
        <v>0</v>
      </c>
      <c r="AU21" s="52">
        <f t="shared" si="2"/>
        <v>0</v>
      </c>
      <c r="AV21" s="52">
        <f t="shared" si="2"/>
        <v>0</v>
      </c>
      <c r="AW21" s="52">
        <f t="shared" si="2"/>
        <v>0</v>
      </c>
      <c r="AX21" s="52">
        <f t="shared" si="2"/>
        <v>0</v>
      </c>
      <c r="AY21" s="52">
        <f t="shared" si="2"/>
        <v>0</v>
      </c>
      <c r="AZ21" s="52">
        <f t="shared" si="2"/>
        <v>0</v>
      </c>
      <c r="BA21" s="52">
        <f t="shared" si="2"/>
        <v>0</v>
      </c>
      <c r="BB21" s="52">
        <f t="shared" si="2"/>
        <v>0</v>
      </c>
      <c r="BC21" s="52">
        <f t="shared" si="2"/>
        <v>0</v>
      </c>
      <c r="BD21" s="52">
        <f t="shared" si="2"/>
        <v>0</v>
      </c>
      <c r="BE21" s="52">
        <f t="shared" si="2"/>
        <v>0</v>
      </c>
      <c r="BF21" s="52">
        <f t="shared" si="2"/>
        <v>0</v>
      </c>
      <c r="BG21" s="52">
        <f t="shared" si="2"/>
        <v>0</v>
      </c>
      <c r="BH21" s="52">
        <f t="shared" si="2"/>
        <v>0</v>
      </c>
      <c r="BI21" s="52">
        <f t="shared" si="2"/>
        <v>0</v>
      </c>
      <c r="BJ21" s="52">
        <f t="shared" si="2"/>
        <v>0</v>
      </c>
      <c r="BK21" s="52">
        <f t="shared" si="2"/>
        <v>0</v>
      </c>
      <c r="BL21" s="52">
        <f t="shared" si="2"/>
        <v>0</v>
      </c>
      <c r="BM21" s="52">
        <f t="shared" si="2"/>
        <v>0</v>
      </c>
      <c r="BN21" s="52">
        <f t="shared" si="2"/>
        <v>0</v>
      </c>
      <c r="BO21" s="52">
        <f t="shared" si="2"/>
        <v>0</v>
      </c>
      <c r="BP21" s="52">
        <f t="shared" si="2"/>
        <v>0</v>
      </c>
      <c r="BQ21" s="52">
        <f t="shared" ref="BQ21:BU21" si="3">BQ19+BQ20</f>
        <v>0</v>
      </c>
      <c r="BR21" s="52">
        <f t="shared" si="3"/>
        <v>0</v>
      </c>
      <c r="BS21" s="52">
        <f t="shared" si="3"/>
        <v>0</v>
      </c>
      <c r="BT21" s="52">
        <f t="shared" si="3"/>
        <v>0</v>
      </c>
      <c r="BU21" s="52">
        <f t="shared" si="3"/>
        <v>0</v>
      </c>
    </row>
    <row r="22" spans="1:73">
      <c r="A22" t="s">
        <v>258</v>
      </c>
      <c r="B22" t="s">
        <v>184</v>
      </c>
      <c r="D22">
        <f>D8 - D15 - D21</f>
        <v>-166463.3101001952</v>
      </c>
      <c r="E22">
        <f t="shared" ref="E22:BP22" si="4">E8 - E15 - E21</f>
        <v>-130499.66339411125</v>
      </c>
      <c r="F22">
        <f t="shared" si="4"/>
        <v>-250463.42850752515</v>
      </c>
      <c r="G22">
        <f t="shared" si="4"/>
        <v>-336833.09104720695</v>
      </c>
      <c r="H22">
        <f t="shared" si="4"/>
        <v>-214221.78214414272</v>
      </c>
      <c r="I22">
        <f t="shared" si="4"/>
        <v>-1042307.3304233002</v>
      </c>
      <c r="J22">
        <f t="shared" si="4"/>
        <v>-203822.69671264658</v>
      </c>
      <c r="K22">
        <f t="shared" si="4"/>
        <v>-1031421.0715138665</v>
      </c>
      <c r="L22">
        <f t="shared" si="4"/>
        <v>-192427.75801267975</v>
      </c>
      <c r="M22">
        <f t="shared" si="4"/>
        <v>-1019525.0504090622</v>
      </c>
      <c r="N22">
        <f t="shared" si="4"/>
        <v>-179977.18906164751</v>
      </c>
      <c r="O22">
        <f t="shared" si="4"/>
        <v>-1006462.8716819155</v>
      </c>
      <c r="P22">
        <f t="shared" si="4"/>
        <v>-166307.65417715022</v>
      </c>
      <c r="Q22">
        <f t="shared" si="4"/>
        <v>-992157.81672842591</v>
      </c>
      <c r="R22">
        <f t="shared" si="4"/>
        <v>-151338.92274422571</v>
      </c>
      <c r="S22">
        <f t="shared" si="4"/>
        <v>-976494.69384375494</v>
      </c>
      <c r="T22">
        <f t="shared" si="4"/>
        <v>-134950.61161888434</v>
      </c>
      <c r="U22">
        <f t="shared" si="4"/>
        <v>-959381.56217291998</v>
      </c>
      <c r="V22">
        <f t="shared" si="4"/>
        <v>-117046.57721174014</v>
      </c>
      <c r="W22">
        <f t="shared" si="4"/>
        <v>-940616.2804573481</v>
      </c>
      <c r="X22">
        <f t="shared" si="4"/>
        <v>-97415.68748670441</v>
      </c>
      <c r="Y22">
        <f t="shared" si="4"/>
        <v>-920079.92882138793</v>
      </c>
      <c r="Z22">
        <f t="shared" si="4"/>
        <v>-75933.606580900538</v>
      </c>
      <c r="AA22">
        <f t="shared" si="4"/>
        <v>-897608.64126920619</v>
      </c>
      <c r="AB22">
        <f t="shared" si="4"/>
        <v>840631.6448250555</v>
      </c>
      <c r="AC22">
        <f t="shared" si="4"/>
        <v>20000.617052852969</v>
      </c>
      <c r="AD22">
        <f t="shared" si="4"/>
        <v>866307.38335758564</v>
      </c>
      <c r="AE22">
        <f t="shared" si="4"/>
        <v>46891.909985080842</v>
      </c>
      <c r="AF22">
        <f t="shared" si="4"/>
        <v>894431.6999202451</v>
      </c>
      <c r="AG22">
        <f t="shared" si="4"/>
        <v>40537.583895224991</v>
      </c>
      <c r="AH22">
        <f t="shared" si="4"/>
        <v>880509.81159449473</v>
      </c>
      <c r="AI22">
        <f t="shared" si="4"/>
        <v>26477.64234030529</v>
      </c>
      <c r="AJ22">
        <f t="shared" si="4"/>
        <v>866309.67797441222</v>
      </c>
      <c r="AK22">
        <f t="shared" si="4"/>
        <v>12097.014955230436</v>
      </c>
      <c r="AL22">
        <f t="shared" si="4"/>
        <v>851785.6609569143</v>
      </c>
      <c r="AM22">
        <f t="shared" si="4"/>
        <v>-2531.3447833807149</v>
      </c>
      <c r="AN22">
        <f t="shared" si="4"/>
        <v>837011.44143974804</v>
      </c>
      <c r="AO22">
        <f t="shared" si="4"/>
        <v>-17452.069477508398</v>
      </c>
      <c r="AP22">
        <f t="shared" si="4"/>
        <v>821941.9417880273</v>
      </c>
      <c r="AQ22">
        <f t="shared" si="4"/>
        <v>-32671.002384273772</v>
      </c>
      <c r="AR22">
        <f t="shared" si="4"/>
        <v>806571.26048135292</v>
      </c>
      <c r="AS22">
        <f t="shared" si="4"/>
        <v>-48237.055946855544</v>
      </c>
      <c r="AT22">
        <f t="shared" si="4"/>
        <v>790849.99736922595</v>
      </c>
      <c r="AU22">
        <f t="shared" si="4"/>
        <v>-64071.262975977472</v>
      </c>
      <c r="AV22">
        <f t="shared" si="4"/>
        <v>774857.90702494548</v>
      </c>
      <c r="AW22">
        <f t="shared" si="4"/>
        <v>-80221.935235407524</v>
      </c>
      <c r="AX22">
        <f t="shared" si="4"/>
        <v>758546.19596681418</v>
      </c>
      <c r="AY22">
        <f t="shared" si="4"/>
        <v>-96695.397654572589</v>
      </c>
      <c r="AZ22">
        <f t="shared" si="4"/>
        <v>741908.47619935893</v>
      </c>
      <c r="BA22">
        <f t="shared" si="4"/>
        <v>-113544.59463499367</v>
      </c>
      <c r="BB22">
        <f t="shared" si="4"/>
        <v>724891.27541097102</v>
      </c>
      <c r="BC22">
        <f t="shared" si="4"/>
        <v>-130684.04955141337</v>
      </c>
      <c r="BD22">
        <f t="shared" si="4"/>
        <v>707580.92251669639</v>
      </c>
      <c r="BE22">
        <f t="shared" si="4"/>
        <v>-148166.05661064011</v>
      </c>
      <c r="BF22">
        <f t="shared" si="4"/>
        <v>689924.60188274737</v>
      </c>
      <c r="BG22">
        <f t="shared" si="4"/>
        <v>-165997.46211969593</v>
      </c>
      <c r="BH22">
        <f t="shared" si="4"/>
        <v>671915.39893738623</v>
      </c>
      <c r="BI22">
        <f t="shared" si="4"/>
        <v>-184235.57480147862</v>
      </c>
      <c r="BJ22">
        <f t="shared" si="4"/>
        <v>653495.43353085767</v>
      </c>
      <c r="BK22">
        <f t="shared" si="4"/>
        <v>-202787.87200788138</v>
      </c>
      <c r="BL22">
        <f t="shared" si="4"/>
        <v>634758.15085714578</v>
      </c>
      <c r="BM22">
        <f t="shared" si="4"/>
        <v>-221710.95867013544</v>
      </c>
      <c r="BN22">
        <f t="shared" si="4"/>
        <v>615646.38157568779</v>
      </c>
      <c r="BO22">
        <f t="shared" si="4"/>
        <v>-241012.24545113856</v>
      </c>
      <c r="BP22">
        <f t="shared" si="4"/>
        <v>0</v>
      </c>
      <c r="BQ22">
        <f t="shared" ref="BQ22:BU22" si="5">BQ8 - BQ15 - BQ21</f>
        <v>0</v>
      </c>
      <c r="BR22">
        <f t="shared" si="5"/>
        <v>0</v>
      </c>
      <c r="BS22">
        <f t="shared" si="5"/>
        <v>0</v>
      </c>
      <c r="BT22">
        <f t="shared" si="5"/>
        <v>0</v>
      </c>
      <c r="BU22">
        <f t="shared" si="5"/>
        <v>0</v>
      </c>
    </row>
    <row r="23" spans="1:73">
      <c r="A23" t="s">
        <v>259</v>
      </c>
    </row>
    <row r="24" spans="1:73">
      <c r="A24" t="s">
        <v>201</v>
      </c>
      <c r="B24" t="s">
        <v>184</v>
      </c>
      <c r="D24" s="48">
        <v>0</v>
      </c>
      <c r="E24">
        <f>D29</f>
        <v>166463.3101001952</v>
      </c>
      <c r="F24">
        <f t="shared" ref="F24:BQ24" si="6">E29</f>
        <v>296962.97349430644</v>
      </c>
      <c r="G24">
        <f t="shared" si="6"/>
        <v>547426.40200183156</v>
      </c>
      <c r="H24">
        <f t="shared" si="6"/>
        <v>884259.49304903857</v>
      </c>
      <c r="I24">
        <f t="shared" si="6"/>
        <v>1098481.2751931814</v>
      </c>
      <c r="J24">
        <f t="shared" si="6"/>
        <v>2140788.6056164815</v>
      </c>
      <c r="K24">
        <f t="shared" si="6"/>
        <v>2344611.3023291281</v>
      </c>
      <c r="L24">
        <f t="shared" si="6"/>
        <v>3376032.3738429947</v>
      </c>
      <c r="M24">
        <f t="shared" si="6"/>
        <v>3568460.1318556746</v>
      </c>
      <c r="N24">
        <f t="shared" si="6"/>
        <v>4587985.1822647369</v>
      </c>
      <c r="O24">
        <f t="shared" si="6"/>
        <v>4601499.0612261882</v>
      </c>
      <c r="P24">
        <f t="shared" si="6"/>
        <v>5477462.2695139935</v>
      </c>
      <c r="Q24">
        <f t="shared" si="6"/>
        <v>5393306.4951836187</v>
      </c>
      <c r="R24">
        <f t="shared" si="6"/>
        <v>6048631.220864838</v>
      </c>
      <c r="S24">
        <f t="shared" si="6"/>
        <v>5985748.3614649214</v>
      </c>
      <c r="T24">
        <f t="shared" si="6"/>
        <v>5919935.7248853752</v>
      </c>
      <c r="U24">
        <f t="shared" si="6"/>
        <v>5851063.6397916125</v>
      </c>
      <c r="V24">
        <f t="shared" si="6"/>
        <v>5779024.130450666</v>
      </c>
      <c r="W24">
        <f t="shared" si="6"/>
        <v>5703642.949649726</v>
      </c>
      <c r="X24">
        <f t="shared" si="6"/>
        <v>5624734.1796980128</v>
      </c>
      <c r="Y24">
        <f t="shared" si="6"/>
        <v>5542172.6781230699</v>
      </c>
      <c r="Z24">
        <f t="shared" si="6"/>
        <v>5455789.7352625411</v>
      </c>
      <c r="AA24">
        <f t="shared" si="6"/>
        <v>5365415.6876662923</v>
      </c>
      <c r="AB24">
        <f t="shared" si="6"/>
        <v>5270866.5122070722</v>
      </c>
      <c r="AC24">
        <f t="shared" si="6"/>
        <v>4430234.867382017</v>
      </c>
      <c r="AD24">
        <f t="shared" si="6"/>
        <v>4143032.8956190911</v>
      </c>
      <c r="AE24">
        <f t="shared" si="6"/>
        <v>3276725.5122615052</v>
      </c>
      <c r="AF24">
        <f t="shared" si="6"/>
        <v>3048700.7218272872</v>
      </c>
      <c r="AG24">
        <f t="shared" si="6"/>
        <v>2154269.0219070422</v>
      </c>
      <c r="AH24">
        <f t="shared" si="6"/>
        <v>1991037.8641581992</v>
      </c>
      <c r="AI24">
        <f t="shared" si="6"/>
        <v>1110528.0525637046</v>
      </c>
      <c r="AJ24">
        <f t="shared" si="6"/>
        <v>973542.24785010668</v>
      </c>
      <c r="AK24">
        <f t="shared" si="6"/>
        <v>107232.56987569446</v>
      </c>
      <c r="AL24">
        <f t="shared" si="6"/>
        <v>0</v>
      </c>
      <c r="AM24">
        <f t="shared" si="6"/>
        <v>0</v>
      </c>
      <c r="AN24">
        <f t="shared" si="6"/>
        <v>2531.3447833807149</v>
      </c>
      <c r="AO24">
        <f t="shared" si="6"/>
        <v>0</v>
      </c>
      <c r="AP24">
        <f t="shared" si="6"/>
        <v>17452.069477508398</v>
      </c>
      <c r="AQ24">
        <f t="shared" si="6"/>
        <v>0</v>
      </c>
      <c r="AR24">
        <f t="shared" si="6"/>
        <v>32671.002384273772</v>
      </c>
      <c r="AS24">
        <f t="shared" si="6"/>
        <v>0</v>
      </c>
      <c r="AT24">
        <f t="shared" si="6"/>
        <v>48237.055946855544</v>
      </c>
      <c r="AU24">
        <f t="shared" si="6"/>
        <v>0</v>
      </c>
      <c r="AV24">
        <f t="shared" si="6"/>
        <v>64071.262975977472</v>
      </c>
      <c r="AW24">
        <f t="shared" si="6"/>
        <v>0</v>
      </c>
      <c r="AX24">
        <f t="shared" si="6"/>
        <v>80221.935235407524</v>
      </c>
      <c r="AY24">
        <f t="shared" si="6"/>
        <v>0</v>
      </c>
      <c r="AZ24">
        <f t="shared" si="6"/>
        <v>96695.397654572589</v>
      </c>
      <c r="BA24">
        <f t="shared" si="6"/>
        <v>0</v>
      </c>
      <c r="BB24">
        <f t="shared" si="6"/>
        <v>113544.59463499367</v>
      </c>
      <c r="BC24">
        <f t="shared" si="6"/>
        <v>0</v>
      </c>
      <c r="BD24">
        <f t="shared" si="6"/>
        <v>130684.04955141337</v>
      </c>
      <c r="BE24">
        <f t="shared" si="6"/>
        <v>0</v>
      </c>
      <c r="BF24">
        <f t="shared" si="6"/>
        <v>148166.05661064011</v>
      </c>
      <c r="BG24">
        <f t="shared" si="6"/>
        <v>0</v>
      </c>
      <c r="BH24">
        <f t="shared" si="6"/>
        <v>165997.46211969593</v>
      </c>
      <c r="BI24">
        <f t="shared" si="6"/>
        <v>0</v>
      </c>
      <c r="BJ24">
        <f t="shared" si="6"/>
        <v>184235.57480147862</v>
      </c>
      <c r="BK24">
        <f t="shared" si="6"/>
        <v>0</v>
      </c>
      <c r="BL24">
        <f t="shared" si="6"/>
        <v>202787.87200788138</v>
      </c>
      <c r="BM24">
        <f t="shared" si="6"/>
        <v>0</v>
      </c>
      <c r="BN24">
        <f t="shared" si="6"/>
        <v>221710.95867013544</v>
      </c>
      <c r="BO24">
        <f t="shared" si="6"/>
        <v>0</v>
      </c>
      <c r="BP24">
        <f t="shared" si="6"/>
        <v>241012.24545113856</v>
      </c>
      <c r="BQ24">
        <f t="shared" si="6"/>
        <v>241012.24545113856</v>
      </c>
      <c r="BR24">
        <f t="shared" ref="BR24:BU24" si="7">BQ29</f>
        <v>241012.24545113856</v>
      </c>
      <c r="BS24">
        <f t="shared" si="7"/>
        <v>241012.24545113856</v>
      </c>
      <c r="BT24">
        <f t="shared" si="7"/>
        <v>241012.24545113856</v>
      </c>
      <c r="BU24">
        <f t="shared" si="7"/>
        <v>241012.24545113856</v>
      </c>
    </row>
    <row r="25" spans="1:73">
      <c r="A25" t="s">
        <v>260</v>
      </c>
      <c r="B25" t="s">
        <v>184</v>
      </c>
      <c r="C25">
        <f>SUM(D25:BU25)</f>
        <v>13953776.108426301</v>
      </c>
      <c r="D25">
        <f>MAX(0,-D22)</f>
        <v>166463.3101001952</v>
      </c>
      <c r="E25">
        <f t="shared" ref="E25:BP25" si="8">MAX(0,-E22)</f>
        <v>130499.66339411125</v>
      </c>
      <c r="F25">
        <f t="shared" si="8"/>
        <v>250463.42850752515</v>
      </c>
      <c r="G25">
        <f t="shared" si="8"/>
        <v>336833.09104720695</v>
      </c>
      <c r="H25">
        <f t="shared" si="8"/>
        <v>214221.78214414272</v>
      </c>
      <c r="I25">
        <f t="shared" si="8"/>
        <v>1042307.3304233002</v>
      </c>
      <c r="J25">
        <f t="shared" si="8"/>
        <v>203822.69671264658</v>
      </c>
      <c r="K25">
        <f t="shared" si="8"/>
        <v>1031421.0715138665</v>
      </c>
      <c r="L25">
        <f t="shared" si="8"/>
        <v>192427.75801267975</v>
      </c>
      <c r="M25">
        <f t="shared" si="8"/>
        <v>1019525.0504090622</v>
      </c>
      <c r="N25">
        <f t="shared" si="8"/>
        <v>179977.18906164751</v>
      </c>
      <c r="O25">
        <f t="shared" si="8"/>
        <v>1006462.8716819155</v>
      </c>
      <c r="P25">
        <f t="shared" si="8"/>
        <v>166307.65417715022</v>
      </c>
      <c r="Q25">
        <f t="shared" si="8"/>
        <v>992157.81672842591</v>
      </c>
      <c r="R25">
        <f t="shared" si="8"/>
        <v>151338.92274422571</v>
      </c>
      <c r="S25">
        <f t="shared" si="8"/>
        <v>976494.69384375494</v>
      </c>
      <c r="T25">
        <f t="shared" si="8"/>
        <v>134950.61161888434</v>
      </c>
      <c r="U25">
        <f t="shared" si="8"/>
        <v>959381.56217291998</v>
      </c>
      <c r="V25">
        <f t="shared" si="8"/>
        <v>117046.57721174014</v>
      </c>
      <c r="W25">
        <f t="shared" si="8"/>
        <v>940616.2804573481</v>
      </c>
      <c r="X25">
        <f t="shared" si="8"/>
        <v>97415.68748670441</v>
      </c>
      <c r="Y25">
        <f t="shared" si="8"/>
        <v>920079.92882138793</v>
      </c>
      <c r="Z25">
        <f t="shared" si="8"/>
        <v>75933.606580900538</v>
      </c>
      <c r="AA25">
        <f t="shared" si="8"/>
        <v>897608.64126920619</v>
      </c>
      <c r="AB25">
        <f t="shared" si="8"/>
        <v>0</v>
      </c>
      <c r="AC25">
        <f t="shared" si="8"/>
        <v>0</v>
      </c>
      <c r="AD25">
        <f t="shared" si="8"/>
        <v>0</v>
      </c>
      <c r="AE25">
        <f t="shared" si="8"/>
        <v>0</v>
      </c>
      <c r="AF25">
        <f t="shared" si="8"/>
        <v>0</v>
      </c>
      <c r="AG25">
        <f t="shared" si="8"/>
        <v>0</v>
      </c>
      <c r="AH25">
        <f t="shared" si="8"/>
        <v>0</v>
      </c>
      <c r="AI25">
        <f t="shared" si="8"/>
        <v>0</v>
      </c>
      <c r="AJ25">
        <f t="shared" si="8"/>
        <v>0</v>
      </c>
      <c r="AK25">
        <f t="shared" si="8"/>
        <v>0</v>
      </c>
      <c r="AL25">
        <f t="shared" si="8"/>
        <v>0</v>
      </c>
      <c r="AM25">
        <f t="shared" si="8"/>
        <v>2531.3447833807149</v>
      </c>
      <c r="AN25">
        <f t="shared" si="8"/>
        <v>0</v>
      </c>
      <c r="AO25">
        <f t="shared" si="8"/>
        <v>17452.069477508398</v>
      </c>
      <c r="AP25">
        <f t="shared" si="8"/>
        <v>0</v>
      </c>
      <c r="AQ25">
        <f t="shared" si="8"/>
        <v>32671.002384273772</v>
      </c>
      <c r="AR25">
        <f t="shared" si="8"/>
        <v>0</v>
      </c>
      <c r="AS25">
        <f t="shared" si="8"/>
        <v>48237.055946855544</v>
      </c>
      <c r="AT25">
        <f t="shared" si="8"/>
        <v>0</v>
      </c>
      <c r="AU25">
        <f t="shared" si="8"/>
        <v>64071.262975977472</v>
      </c>
      <c r="AV25">
        <f t="shared" si="8"/>
        <v>0</v>
      </c>
      <c r="AW25">
        <f t="shared" si="8"/>
        <v>80221.935235407524</v>
      </c>
      <c r="AX25">
        <f t="shared" si="8"/>
        <v>0</v>
      </c>
      <c r="AY25">
        <f t="shared" si="8"/>
        <v>96695.397654572589</v>
      </c>
      <c r="AZ25">
        <f t="shared" si="8"/>
        <v>0</v>
      </c>
      <c r="BA25">
        <f t="shared" si="8"/>
        <v>113544.59463499367</v>
      </c>
      <c r="BB25">
        <f t="shared" si="8"/>
        <v>0</v>
      </c>
      <c r="BC25">
        <f t="shared" si="8"/>
        <v>130684.04955141337</v>
      </c>
      <c r="BD25">
        <f t="shared" si="8"/>
        <v>0</v>
      </c>
      <c r="BE25">
        <f t="shared" si="8"/>
        <v>148166.05661064011</v>
      </c>
      <c r="BF25">
        <f t="shared" si="8"/>
        <v>0</v>
      </c>
      <c r="BG25">
        <f t="shared" si="8"/>
        <v>165997.46211969593</v>
      </c>
      <c r="BH25">
        <f t="shared" si="8"/>
        <v>0</v>
      </c>
      <c r="BI25">
        <f t="shared" si="8"/>
        <v>184235.57480147862</v>
      </c>
      <c r="BJ25">
        <f t="shared" si="8"/>
        <v>0</v>
      </c>
      <c r="BK25">
        <f t="shared" si="8"/>
        <v>202787.87200788138</v>
      </c>
      <c r="BL25">
        <f t="shared" si="8"/>
        <v>0</v>
      </c>
      <c r="BM25">
        <f t="shared" si="8"/>
        <v>221710.95867013544</v>
      </c>
      <c r="BN25">
        <f t="shared" si="8"/>
        <v>0</v>
      </c>
      <c r="BO25">
        <f t="shared" si="8"/>
        <v>241012.24545113856</v>
      </c>
      <c r="BP25">
        <f t="shared" si="8"/>
        <v>0</v>
      </c>
      <c r="BQ25">
        <f t="shared" ref="BQ25:BT25" si="9">MAX(0,-BQ22)</f>
        <v>0</v>
      </c>
      <c r="BR25">
        <f t="shared" si="9"/>
        <v>0</v>
      </c>
      <c r="BS25">
        <f t="shared" si="9"/>
        <v>0</v>
      </c>
      <c r="BT25">
        <f t="shared" si="9"/>
        <v>0</v>
      </c>
      <c r="BU25">
        <f t="shared" ref="BU25" si="10">MAX(0,-BU22)</f>
        <v>0</v>
      </c>
    </row>
    <row r="26" spans="1:73">
      <c r="A26" t="s">
        <v>262</v>
      </c>
      <c r="B26" t="s">
        <v>184</v>
      </c>
      <c r="C26">
        <f>SUM(D26:BU26)</f>
        <v>6003201.6227547023</v>
      </c>
      <c r="D26">
        <f>MIN(D24,MAX(0,D22))</f>
        <v>0</v>
      </c>
      <c r="E26">
        <f t="shared" ref="E26:BP26" si="11">MIN(E24,MAX(0,E22))</f>
        <v>0</v>
      </c>
      <c r="F26">
        <f t="shared" si="11"/>
        <v>0</v>
      </c>
      <c r="G26">
        <f t="shared" si="11"/>
        <v>0</v>
      </c>
      <c r="H26">
        <f t="shared" si="11"/>
        <v>0</v>
      </c>
      <c r="I26">
        <f t="shared" si="11"/>
        <v>0</v>
      </c>
      <c r="J26">
        <f t="shared" si="11"/>
        <v>0</v>
      </c>
      <c r="K26">
        <f t="shared" si="11"/>
        <v>0</v>
      </c>
      <c r="L26">
        <f t="shared" si="11"/>
        <v>0</v>
      </c>
      <c r="M26">
        <f t="shared" si="11"/>
        <v>0</v>
      </c>
      <c r="N26">
        <f t="shared" si="11"/>
        <v>0</v>
      </c>
      <c r="O26">
        <f t="shared" si="11"/>
        <v>0</v>
      </c>
      <c r="P26">
        <f t="shared" si="11"/>
        <v>0</v>
      </c>
      <c r="Q26">
        <f t="shared" si="11"/>
        <v>0</v>
      </c>
      <c r="R26">
        <f t="shared" si="11"/>
        <v>0</v>
      </c>
      <c r="S26">
        <f t="shared" si="11"/>
        <v>0</v>
      </c>
      <c r="T26">
        <f t="shared" si="11"/>
        <v>0</v>
      </c>
      <c r="U26">
        <f t="shared" si="11"/>
        <v>0</v>
      </c>
      <c r="V26">
        <f t="shared" si="11"/>
        <v>0</v>
      </c>
      <c r="W26">
        <f t="shared" si="11"/>
        <v>0</v>
      </c>
      <c r="X26">
        <f t="shared" si="11"/>
        <v>0</v>
      </c>
      <c r="Y26">
        <f t="shared" si="11"/>
        <v>0</v>
      </c>
      <c r="Z26">
        <f t="shared" si="11"/>
        <v>0</v>
      </c>
      <c r="AA26">
        <f t="shared" si="11"/>
        <v>0</v>
      </c>
      <c r="AB26">
        <f t="shared" si="11"/>
        <v>840631.6448250555</v>
      </c>
      <c r="AC26">
        <f t="shared" si="11"/>
        <v>20000.617052852969</v>
      </c>
      <c r="AD26">
        <f t="shared" si="11"/>
        <v>866307.38335758564</v>
      </c>
      <c r="AE26">
        <f t="shared" si="11"/>
        <v>46891.909985080842</v>
      </c>
      <c r="AF26">
        <f t="shared" si="11"/>
        <v>894431.6999202451</v>
      </c>
      <c r="AG26">
        <f t="shared" si="11"/>
        <v>40537.583895224991</v>
      </c>
      <c r="AH26">
        <f t="shared" si="11"/>
        <v>880509.81159449473</v>
      </c>
      <c r="AI26">
        <f t="shared" si="11"/>
        <v>26477.64234030529</v>
      </c>
      <c r="AJ26">
        <f t="shared" si="11"/>
        <v>866309.67797441222</v>
      </c>
      <c r="AK26">
        <f t="shared" si="11"/>
        <v>12097.014955230436</v>
      </c>
      <c r="AL26">
        <f t="shared" si="11"/>
        <v>0</v>
      </c>
      <c r="AM26">
        <f t="shared" si="11"/>
        <v>0</v>
      </c>
      <c r="AN26">
        <f t="shared" si="11"/>
        <v>2531.3447833807149</v>
      </c>
      <c r="AO26">
        <f t="shared" si="11"/>
        <v>0</v>
      </c>
      <c r="AP26">
        <f t="shared" si="11"/>
        <v>17452.069477508398</v>
      </c>
      <c r="AQ26">
        <f t="shared" si="11"/>
        <v>0</v>
      </c>
      <c r="AR26">
        <f t="shared" si="11"/>
        <v>32671.002384273772</v>
      </c>
      <c r="AS26">
        <f t="shared" si="11"/>
        <v>0</v>
      </c>
      <c r="AT26">
        <f t="shared" si="11"/>
        <v>48237.055946855544</v>
      </c>
      <c r="AU26">
        <f t="shared" si="11"/>
        <v>0</v>
      </c>
      <c r="AV26">
        <f t="shared" si="11"/>
        <v>64071.262975977472</v>
      </c>
      <c r="AW26">
        <f t="shared" si="11"/>
        <v>0</v>
      </c>
      <c r="AX26">
        <f t="shared" si="11"/>
        <v>80221.935235407524</v>
      </c>
      <c r="AY26">
        <f t="shared" si="11"/>
        <v>0</v>
      </c>
      <c r="AZ26">
        <f t="shared" si="11"/>
        <v>96695.397654572589</v>
      </c>
      <c r="BA26">
        <f t="shared" si="11"/>
        <v>0</v>
      </c>
      <c r="BB26">
        <f t="shared" si="11"/>
        <v>113544.59463499367</v>
      </c>
      <c r="BC26">
        <f t="shared" si="11"/>
        <v>0</v>
      </c>
      <c r="BD26">
        <f t="shared" si="11"/>
        <v>130684.04955141337</v>
      </c>
      <c r="BE26">
        <f t="shared" si="11"/>
        <v>0</v>
      </c>
      <c r="BF26">
        <f t="shared" si="11"/>
        <v>148166.05661064011</v>
      </c>
      <c r="BG26">
        <f t="shared" si="11"/>
        <v>0</v>
      </c>
      <c r="BH26">
        <f t="shared" si="11"/>
        <v>165997.46211969593</v>
      </c>
      <c r="BI26">
        <f t="shared" si="11"/>
        <v>0</v>
      </c>
      <c r="BJ26">
        <f t="shared" si="11"/>
        <v>184235.57480147862</v>
      </c>
      <c r="BK26">
        <f t="shared" si="11"/>
        <v>0</v>
      </c>
      <c r="BL26">
        <f t="shared" si="11"/>
        <v>202787.87200788138</v>
      </c>
      <c r="BM26">
        <f t="shared" si="11"/>
        <v>0</v>
      </c>
      <c r="BN26">
        <f t="shared" si="11"/>
        <v>221710.95867013544</v>
      </c>
      <c r="BO26">
        <f t="shared" si="11"/>
        <v>0</v>
      </c>
      <c r="BP26">
        <f t="shared" si="11"/>
        <v>0</v>
      </c>
      <c r="BQ26">
        <f t="shared" ref="BQ26:BT26" si="12">MIN(BQ24,MAX(0,BQ22))</f>
        <v>0</v>
      </c>
      <c r="BR26">
        <f t="shared" si="12"/>
        <v>0</v>
      </c>
      <c r="BS26">
        <f t="shared" si="12"/>
        <v>0</v>
      </c>
      <c r="BT26">
        <f t="shared" si="12"/>
        <v>0</v>
      </c>
      <c r="BU26">
        <f t="shared" ref="BU26" si="13">MIN(BU24,MAX(0,BU22))</f>
        <v>0</v>
      </c>
    </row>
    <row r="27" spans="1:73">
      <c r="A27" t="s">
        <v>263</v>
      </c>
      <c r="B27" t="s">
        <v>184</v>
      </c>
      <c r="D27">
        <f>D24 + D25 - D26</f>
        <v>166463.3101001952</v>
      </c>
      <c r="E27">
        <f t="shared" ref="E27:BP27" si="14">E24 + E25 - E26</f>
        <v>296962.97349430644</v>
      </c>
      <c r="F27">
        <f t="shared" si="14"/>
        <v>547426.40200183156</v>
      </c>
      <c r="G27">
        <f t="shared" si="14"/>
        <v>884259.49304903857</v>
      </c>
      <c r="H27">
        <f t="shared" si="14"/>
        <v>1098481.2751931814</v>
      </c>
      <c r="I27">
        <f t="shared" si="14"/>
        <v>2140788.6056164815</v>
      </c>
      <c r="J27">
        <f t="shared" si="14"/>
        <v>2344611.3023291281</v>
      </c>
      <c r="K27">
        <f t="shared" si="14"/>
        <v>3376032.3738429947</v>
      </c>
      <c r="L27">
        <f t="shared" si="14"/>
        <v>3568460.1318556746</v>
      </c>
      <c r="M27">
        <f t="shared" si="14"/>
        <v>4587985.1822647369</v>
      </c>
      <c r="N27">
        <f t="shared" si="14"/>
        <v>4767962.3713263841</v>
      </c>
      <c r="O27">
        <f t="shared" si="14"/>
        <v>5607961.9329081038</v>
      </c>
      <c r="P27">
        <f t="shared" si="14"/>
        <v>5643769.9236911442</v>
      </c>
      <c r="Q27">
        <f t="shared" si="14"/>
        <v>6385464.3119120449</v>
      </c>
      <c r="R27">
        <f t="shared" si="14"/>
        <v>6199970.1436090637</v>
      </c>
      <c r="S27">
        <f t="shared" si="14"/>
        <v>6962243.0553086763</v>
      </c>
      <c r="T27">
        <f t="shared" si="14"/>
        <v>6054886.3365042591</v>
      </c>
      <c r="U27">
        <f t="shared" si="14"/>
        <v>6810445.201964533</v>
      </c>
      <c r="V27">
        <f t="shared" si="14"/>
        <v>5896070.7076624064</v>
      </c>
      <c r="W27">
        <f t="shared" si="14"/>
        <v>6644259.2301070746</v>
      </c>
      <c r="X27">
        <f t="shared" si="14"/>
        <v>5722149.8671847172</v>
      </c>
      <c r="Y27">
        <f t="shared" si="14"/>
        <v>6462252.6069444576</v>
      </c>
      <c r="Z27">
        <f t="shared" si="14"/>
        <v>5531723.3418434421</v>
      </c>
      <c r="AA27">
        <f t="shared" si="14"/>
        <v>6263024.3289354984</v>
      </c>
      <c r="AB27">
        <f t="shared" si="14"/>
        <v>4430234.867382017</v>
      </c>
      <c r="AC27">
        <f t="shared" si="14"/>
        <v>4410234.2503291639</v>
      </c>
      <c r="AD27">
        <f t="shared" si="14"/>
        <v>3276725.5122615052</v>
      </c>
      <c r="AE27">
        <f t="shared" si="14"/>
        <v>3229833.6022764244</v>
      </c>
      <c r="AF27">
        <f t="shared" si="14"/>
        <v>2154269.0219070422</v>
      </c>
      <c r="AG27">
        <f t="shared" si="14"/>
        <v>2113731.4380118172</v>
      </c>
      <c r="AH27">
        <f t="shared" si="14"/>
        <v>1110528.0525637046</v>
      </c>
      <c r="AI27">
        <f t="shared" si="14"/>
        <v>1084050.4102233993</v>
      </c>
      <c r="AJ27">
        <f t="shared" si="14"/>
        <v>107232.56987569446</v>
      </c>
      <c r="AK27">
        <f t="shared" si="14"/>
        <v>95135.554920464027</v>
      </c>
      <c r="AL27">
        <f t="shared" si="14"/>
        <v>0</v>
      </c>
      <c r="AM27">
        <f t="shared" si="14"/>
        <v>2531.3447833807149</v>
      </c>
      <c r="AN27">
        <f t="shared" si="14"/>
        <v>0</v>
      </c>
      <c r="AO27">
        <f t="shared" si="14"/>
        <v>17452.069477508398</v>
      </c>
      <c r="AP27">
        <f t="shared" si="14"/>
        <v>0</v>
      </c>
      <c r="AQ27">
        <f t="shared" si="14"/>
        <v>32671.002384273772</v>
      </c>
      <c r="AR27">
        <f t="shared" si="14"/>
        <v>0</v>
      </c>
      <c r="AS27">
        <f t="shared" si="14"/>
        <v>48237.055946855544</v>
      </c>
      <c r="AT27">
        <f t="shared" si="14"/>
        <v>0</v>
      </c>
      <c r="AU27">
        <f t="shared" si="14"/>
        <v>64071.262975977472</v>
      </c>
      <c r="AV27">
        <f t="shared" si="14"/>
        <v>0</v>
      </c>
      <c r="AW27">
        <f t="shared" si="14"/>
        <v>80221.935235407524</v>
      </c>
      <c r="AX27">
        <f t="shared" si="14"/>
        <v>0</v>
      </c>
      <c r="AY27">
        <f t="shared" si="14"/>
        <v>96695.397654572589</v>
      </c>
      <c r="AZ27">
        <f t="shared" si="14"/>
        <v>0</v>
      </c>
      <c r="BA27">
        <f t="shared" si="14"/>
        <v>113544.59463499367</v>
      </c>
      <c r="BB27">
        <f t="shared" si="14"/>
        <v>0</v>
      </c>
      <c r="BC27">
        <f t="shared" si="14"/>
        <v>130684.04955141337</v>
      </c>
      <c r="BD27">
        <f t="shared" si="14"/>
        <v>0</v>
      </c>
      <c r="BE27">
        <f t="shared" si="14"/>
        <v>148166.05661064011</v>
      </c>
      <c r="BF27">
        <f t="shared" si="14"/>
        <v>0</v>
      </c>
      <c r="BG27">
        <f t="shared" si="14"/>
        <v>165997.46211969593</v>
      </c>
      <c r="BH27">
        <f t="shared" si="14"/>
        <v>0</v>
      </c>
      <c r="BI27">
        <f t="shared" si="14"/>
        <v>184235.57480147862</v>
      </c>
      <c r="BJ27">
        <f t="shared" si="14"/>
        <v>0</v>
      </c>
      <c r="BK27">
        <f t="shared" si="14"/>
        <v>202787.87200788138</v>
      </c>
      <c r="BL27">
        <f t="shared" si="14"/>
        <v>0</v>
      </c>
      <c r="BM27">
        <f t="shared" si="14"/>
        <v>221710.95867013544</v>
      </c>
      <c r="BN27">
        <f t="shared" si="14"/>
        <v>0</v>
      </c>
      <c r="BO27">
        <f t="shared" si="14"/>
        <v>241012.24545113856</v>
      </c>
      <c r="BP27">
        <f t="shared" si="14"/>
        <v>241012.24545113856</v>
      </c>
      <c r="BQ27">
        <f t="shared" ref="BQ27:BU27" si="15">BQ24 + BQ25 - BQ26</f>
        <v>241012.24545113856</v>
      </c>
      <c r="BR27">
        <f t="shared" si="15"/>
        <v>241012.24545113856</v>
      </c>
      <c r="BS27">
        <f t="shared" si="15"/>
        <v>241012.24545113856</v>
      </c>
      <c r="BT27">
        <f t="shared" si="15"/>
        <v>241012.24545113856</v>
      </c>
      <c r="BU27">
        <f t="shared" si="15"/>
        <v>241012.24545113856</v>
      </c>
    </row>
    <row r="28" spans="1:73">
      <c r="A28" t="s">
        <v>264</v>
      </c>
      <c r="B28" t="s">
        <v>184</v>
      </c>
      <c r="D28">
        <f>SUMIFS($D$25:$BU$25,$D$6:$BU$6, "&gt;="&amp;(D$6-(Inputs!$B$40*2-1)), $D$6:$BU$6,"&lt;="&amp;D$6)</f>
        <v>166463.3101001952</v>
      </c>
      <c r="E28">
        <f>SUMIFS($D$25:$BU$25,$D$6:$BU$6, "&gt;="&amp;(E$6-(Inputs!$B$40*2-1)), $D$6:$BU$6,"&lt;="&amp;E$6)</f>
        <v>296962.97349430644</v>
      </c>
      <c r="F28">
        <f>SUMIFS($D$25:$BU$25,$D$6:$BU$6, "&gt;="&amp;(F$6-(Inputs!$B$40*2-1)), $D$6:$BU$6,"&lt;="&amp;F$6)</f>
        <v>547426.40200183156</v>
      </c>
      <c r="G28">
        <f>SUMIFS($D$25:$BU$25,$D$6:$BU$6, "&gt;="&amp;(G$6-(Inputs!$B$40*2-1)), $D$6:$BU$6,"&lt;="&amp;G$6)</f>
        <v>884259.49304903857</v>
      </c>
      <c r="H28">
        <f>SUMIFS($D$25:$BU$25,$D$6:$BU$6, "&gt;="&amp;(H$6-(Inputs!$B$40*2-1)), $D$6:$BU$6,"&lt;="&amp;H$6)</f>
        <v>1098481.2751931814</v>
      </c>
      <c r="I28">
        <f>SUMIFS($D$25:$BU$25,$D$6:$BU$6, "&gt;="&amp;(I$6-(Inputs!$B$40*2-1)), $D$6:$BU$6,"&lt;="&amp;I$6)</f>
        <v>2140788.6056164815</v>
      </c>
      <c r="J28">
        <f>SUMIFS($D$25:$BU$25,$D$6:$BU$6, "&gt;="&amp;(J$6-(Inputs!$B$40*2-1)), $D$6:$BU$6,"&lt;="&amp;J$6)</f>
        <v>2344611.3023291281</v>
      </c>
      <c r="K28">
        <f>SUMIFS($D$25:$BU$25,$D$6:$BU$6, "&gt;="&amp;(K$6-(Inputs!$B$40*2-1)), $D$6:$BU$6,"&lt;="&amp;K$6)</f>
        <v>3376032.3738429947</v>
      </c>
      <c r="L28">
        <f>SUMIFS($D$25:$BU$25,$D$6:$BU$6, "&gt;="&amp;(L$6-(Inputs!$B$40*2-1)), $D$6:$BU$6,"&lt;="&amp;L$6)</f>
        <v>3568460.1318556746</v>
      </c>
      <c r="M28">
        <f>SUMIFS($D$25:$BU$25,$D$6:$BU$6, "&gt;="&amp;(M$6-(Inputs!$B$40*2-1)), $D$6:$BU$6,"&lt;="&amp;M$6)</f>
        <v>4587985.1822647369</v>
      </c>
      <c r="N28">
        <f>SUMIFS($D$25:$BU$25,$D$6:$BU$6, "&gt;="&amp;(N$6-(Inputs!$B$40*2-1)), $D$6:$BU$6,"&lt;="&amp;N$6)</f>
        <v>4601499.0612261882</v>
      </c>
      <c r="O28">
        <f>SUMIFS($D$25:$BU$25,$D$6:$BU$6, "&gt;="&amp;(O$6-(Inputs!$B$40*2-1)), $D$6:$BU$6,"&lt;="&amp;O$6)</f>
        <v>5477462.2695139935</v>
      </c>
      <c r="P28">
        <f>SUMIFS($D$25:$BU$25,$D$6:$BU$6, "&gt;="&amp;(P$6-(Inputs!$B$40*2-1)), $D$6:$BU$6,"&lt;="&amp;P$6)</f>
        <v>5393306.4951836187</v>
      </c>
      <c r="Q28">
        <f>SUMIFS($D$25:$BU$25,$D$6:$BU$6, "&gt;="&amp;(Q$6-(Inputs!$B$40*2-1)), $D$6:$BU$6,"&lt;="&amp;Q$6)</f>
        <v>6048631.220864838</v>
      </c>
      <c r="R28">
        <f>SUMIFS($D$25:$BU$25,$D$6:$BU$6, "&gt;="&amp;(R$6-(Inputs!$B$40*2-1)), $D$6:$BU$6,"&lt;="&amp;R$6)</f>
        <v>5985748.3614649214</v>
      </c>
      <c r="S28">
        <f>SUMIFS($D$25:$BU$25,$D$6:$BU$6, "&gt;="&amp;(S$6-(Inputs!$B$40*2-1)), $D$6:$BU$6,"&lt;="&amp;S$6)</f>
        <v>5919935.7248853752</v>
      </c>
      <c r="T28">
        <f>SUMIFS($D$25:$BU$25,$D$6:$BU$6, "&gt;="&amp;(T$6-(Inputs!$B$40*2-1)), $D$6:$BU$6,"&lt;="&amp;T$6)</f>
        <v>5851063.6397916125</v>
      </c>
      <c r="U28">
        <f>SUMIFS($D$25:$BU$25,$D$6:$BU$6, "&gt;="&amp;(U$6-(Inputs!$B$40*2-1)), $D$6:$BU$6,"&lt;="&amp;U$6)</f>
        <v>5779024.130450666</v>
      </c>
      <c r="V28">
        <f>SUMIFS($D$25:$BU$25,$D$6:$BU$6, "&gt;="&amp;(V$6-(Inputs!$B$40*2-1)), $D$6:$BU$6,"&lt;="&amp;V$6)</f>
        <v>5703642.949649726</v>
      </c>
      <c r="W28">
        <f>SUMIFS($D$25:$BU$25,$D$6:$BU$6, "&gt;="&amp;(W$6-(Inputs!$B$40*2-1)), $D$6:$BU$6,"&lt;="&amp;W$6)</f>
        <v>5624734.1796980128</v>
      </c>
      <c r="X28">
        <f>SUMIFS($D$25:$BU$25,$D$6:$BU$6, "&gt;="&amp;(X$6-(Inputs!$B$40*2-1)), $D$6:$BU$6,"&lt;="&amp;X$6)</f>
        <v>5542172.6781230699</v>
      </c>
      <c r="Y28">
        <f>SUMIFS($D$25:$BU$25,$D$6:$BU$6, "&gt;="&amp;(Y$6-(Inputs!$B$40*2-1)), $D$6:$BU$6,"&lt;="&amp;Y$6)</f>
        <v>5455789.7352625411</v>
      </c>
      <c r="Z28">
        <f>SUMIFS($D$25:$BU$25,$D$6:$BU$6, "&gt;="&amp;(Z$6-(Inputs!$B$40*2-1)), $D$6:$BU$6,"&lt;="&amp;Z$6)</f>
        <v>5365415.6876662923</v>
      </c>
      <c r="AA28">
        <f>SUMIFS($D$25:$BU$25,$D$6:$BU$6, "&gt;="&amp;(AA$6-(Inputs!$B$40*2-1)), $D$6:$BU$6,"&lt;="&amp;AA$6)</f>
        <v>5270866.5122070722</v>
      </c>
      <c r="AB28">
        <f>SUMIFS($D$25:$BU$25,$D$6:$BU$6, "&gt;="&amp;(AB$6-(Inputs!$B$40*2-1)), $D$6:$BU$6,"&lt;="&amp;AB$6)</f>
        <v>5119527.5894628465</v>
      </c>
      <c r="AC28">
        <f>SUMIFS($D$25:$BU$25,$D$6:$BU$6, "&gt;="&amp;(AC$6-(Inputs!$B$40*2-1)), $D$6:$BU$6,"&lt;="&amp;AC$6)</f>
        <v>4143032.8956190911</v>
      </c>
      <c r="AD28">
        <f>SUMIFS($D$25:$BU$25,$D$6:$BU$6, "&gt;="&amp;(AD$6-(Inputs!$B$40*2-1)), $D$6:$BU$6,"&lt;="&amp;AD$6)</f>
        <v>4008082.2840002072</v>
      </c>
      <c r="AE28">
        <f>SUMIFS($D$25:$BU$25,$D$6:$BU$6, "&gt;="&amp;(AE$6-(Inputs!$B$40*2-1)), $D$6:$BU$6,"&lt;="&amp;AE$6)</f>
        <v>3048700.7218272872</v>
      </c>
      <c r="AF28">
        <f>SUMIFS($D$25:$BU$25,$D$6:$BU$6, "&gt;="&amp;(AF$6-(Inputs!$B$40*2-1)), $D$6:$BU$6,"&lt;="&amp;AF$6)</f>
        <v>2931654.1446155473</v>
      </c>
      <c r="AG28">
        <f>SUMIFS($D$25:$BU$25,$D$6:$BU$6, "&gt;="&amp;(AG$6-(Inputs!$B$40*2-1)), $D$6:$BU$6,"&lt;="&amp;AG$6)</f>
        <v>1991037.8641581992</v>
      </c>
      <c r="AH28">
        <f>SUMIFS($D$25:$BU$25,$D$6:$BU$6, "&gt;="&amp;(AH$6-(Inputs!$B$40*2-1)), $D$6:$BU$6,"&lt;="&amp;AH$6)</f>
        <v>1893622.1766714947</v>
      </c>
      <c r="AI28">
        <f>SUMIFS($D$25:$BU$25,$D$6:$BU$6, "&gt;="&amp;(AI$6-(Inputs!$B$40*2-1)), $D$6:$BU$6,"&lt;="&amp;AI$6)</f>
        <v>973542.24785010668</v>
      </c>
      <c r="AJ28">
        <f>SUMIFS($D$25:$BU$25,$D$6:$BU$6, "&gt;="&amp;(AJ$6-(Inputs!$B$40*2-1)), $D$6:$BU$6,"&lt;="&amp;AJ$6)</f>
        <v>897608.64126920619</v>
      </c>
      <c r="AK28">
        <f>SUMIFS($D$25:$BU$25,$D$6:$BU$6, "&gt;="&amp;(AK$6-(Inputs!$B$40*2-1)), $D$6:$BU$6,"&lt;="&amp;AK$6)</f>
        <v>0</v>
      </c>
      <c r="AL28">
        <f>SUMIFS($D$25:$BU$25,$D$6:$BU$6, "&gt;="&amp;(AL$6-(Inputs!$B$40*2-1)), $D$6:$BU$6,"&lt;="&amp;AL$6)</f>
        <v>0</v>
      </c>
      <c r="AM28">
        <f>SUMIFS($D$25:$BU$25,$D$6:$BU$6, "&gt;="&amp;(AM$6-(Inputs!$B$40*2-1)), $D$6:$BU$6,"&lt;="&amp;AM$6)</f>
        <v>2531.3447833807149</v>
      </c>
      <c r="AN28">
        <f>SUMIFS($D$25:$BU$25,$D$6:$BU$6, "&gt;="&amp;(AN$6-(Inputs!$B$40*2-1)), $D$6:$BU$6,"&lt;="&amp;AN$6)</f>
        <v>2531.3447833807149</v>
      </c>
      <c r="AO28">
        <f>SUMIFS($D$25:$BU$25,$D$6:$BU$6, "&gt;="&amp;(AO$6-(Inputs!$B$40*2-1)), $D$6:$BU$6,"&lt;="&amp;AO$6)</f>
        <v>19983.414260889112</v>
      </c>
      <c r="AP28">
        <f>SUMIFS($D$25:$BU$25,$D$6:$BU$6, "&gt;="&amp;(AP$6-(Inputs!$B$40*2-1)), $D$6:$BU$6,"&lt;="&amp;AP$6)</f>
        <v>19983.414260889112</v>
      </c>
      <c r="AQ28">
        <f>SUMIFS($D$25:$BU$25,$D$6:$BU$6, "&gt;="&amp;(AQ$6-(Inputs!$B$40*2-1)), $D$6:$BU$6,"&lt;="&amp;AQ$6)</f>
        <v>52654.416645162884</v>
      </c>
      <c r="AR28">
        <f>SUMIFS($D$25:$BU$25,$D$6:$BU$6, "&gt;="&amp;(AR$6-(Inputs!$B$40*2-1)), $D$6:$BU$6,"&lt;="&amp;AR$6)</f>
        <v>52654.416645162884</v>
      </c>
      <c r="AS28">
        <f>SUMIFS($D$25:$BU$25,$D$6:$BU$6, "&gt;="&amp;(AS$6-(Inputs!$B$40*2-1)), $D$6:$BU$6,"&lt;="&amp;AS$6)</f>
        <v>100891.47259201843</v>
      </c>
      <c r="AT28">
        <f>SUMIFS($D$25:$BU$25,$D$6:$BU$6, "&gt;="&amp;(AT$6-(Inputs!$B$40*2-1)), $D$6:$BU$6,"&lt;="&amp;AT$6)</f>
        <v>100891.47259201843</v>
      </c>
      <c r="AU28">
        <f>SUMIFS($D$25:$BU$25,$D$6:$BU$6, "&gt;="&amp;(AU$6-(Inputs!$B$40*2-1)), $D$6:$BU$6,"&lt;="&amp;AU$6)</f>
        <v>164962.7355679959</v>
      </c>
      <c r="AV28">
        <f>SUMIFS($D$25:$BU$25,$D$6:$BU$6, "&gt;="&amp;(AV$6-(Inputs!$B$40*2-1)), $D$6:$BU$6,"&lt;="&amp;AV$6)</f>
        <v>164962.7355679959</v>
      </c>
      <c r="AW28">
        <f>SUMIFS($D$25:$BU$25,$D$6:$BU$6, "&gt;="&amp;(AW$6-(Inputs!$B$40*2-1)), $D$6:$BU$6,"&lt;="&amp;AW$6)</f>
        <v>242653.32602002271</v>
      </c>
      <c r="AX28">
        <f>SUMIFS($D$25:$BU$25,$D$6:$BU$6, "&gt;="&amp;(AX$6-(Inputs!$B$40*2-1)), $D$6:$BU$6,"&lt;="&amp;AX$6)</f>
        <v>242653.32602002271</v>
      </c>
      <c r="AY28">
        <f>SUMIFS($D$25:$BU$25,$D$6:$BU$6, "&gt;="&amp;(AY$6-(Inputs!$B$40*2-1)), $D$6:$BU$6,"&lt;="&amp;AY$6)</f>
        <v>321896.65419708693</v>
      </c>
      <c r="AZ28">
        <f>SUMIFS($D$25:$BU$25,$D$6:$BU$6, "&gt;="&amp;(AZ$6-(Inputs!$B$40*2-1)), $D$6:$BU$6,"&lt;="&amp;AZ$6)</f>
        <v>321896.65419708693</v>
      </c>
      <c r="BA28">
        <f>SUMIFS($D$25:$BU$25,$D$6:$BU$6, "&gt;="&amp;(BA$6-(Inputs!$B$40*2-1)), $D$6:$BU$6,"&lt;="&amp;BA$6)</f>
        <v>402770.24644780683</v>
      </c>
      <c r="BB28">
        <f>SUMIFS($D$25:$BU$25,$D$6:$BU$6, "&gt;="&amp;(BB$6-(Inputs!$B$40*2-1)), $D$6:$BU$6,"&lt;="&amp;BB$6)</f>
        <v>402770.24644780683</v>
      </c>
      <c r="BC28">
        <f>SUMIFS($D$25:$BU$25,$D$6:$BU$6, "&gt;="&amp;(BC$6-(Inputs!$B$40*2-1)), $D$6:$BU$6,"&lt;="&amp;BC$6)</f>
        <v>485217.24005236465</v>
      </c>
      <c r="BD28">
        <f>SUMIFS($D$25:$BU$25,$D$6:$BU$6, "&gt;="&amp;(BD$6-(Inputs!$B$40*2-1)), $D$6:$BU$6,"&lt;="&amp;BD$6)</f>
        <v>485217.24005236465</v>
      </c>
      <c r="BE28">
        <f>SUMIFS($D$25:$BU$25,$D$6:$BU$6, "&gt;="&amp;(BE$6-(Inputs!$B$40*2-1)), $D$6:$BU$6,"&lt;="&amp;BE$6)</f>
        <v>569312.03368702729</v>
      </c>
      <c r="BF28">
        <f>SUMIFS($D$25:$BU$25,$D$6:$BU$6, "&gt;="&amp;(BF$6-(Inputs!$B$40*2-1)), $D$6:$BU$6,"&lt;="&amp;BF$6)</f>
        <v>569312.03368702729</v>
      </c>
      <c r="BG28">
        <f>SUMIFS($D$25:$BU$25,$D$6:$BU$6, "&gt;="&amp;(BG$6-(Inputs!$B$40*2-1)), $D$6:$BU$6,"&lt;="&amp;BG$6)</f>
        <v>655087.5605713157</v>
      </c>
      <c r="BH28">
        <f>SUMIFS($D$25:$BU$25,$D$6:$BU$6, "&gt;="&amp;(BH$6-(Inputs!$B$40*2-1)), $D$6:$BU$6,"&lt;="&amp;BH$6)</f>
        <v>655087.5605713157</v>
      </c>
      <c r="BI28">
        <f>SUMIFS($D$25:$BU$25,$D$6:$BU$6, "&gt;="&amp;(BI$6-(Inputs!$B$40*2-1)), $D$6:$BU$6,"&lt;="&amp;BI$6)</f>
        <v>742627.73771822173</v>
      </c>
      <c r="BJ28">
        <f>SUMIFS($D$25:$BU$25,$D$6:$BU$6, "&gt;="&amp;(BJ$6-(Inputs!$B$40*2-1)), $D$6:$BU$6,"&lt;="&amp;BJ$6)</f>
        <v>742627.73771822173</v>
      </c>
      <c r="BK28">
        <f>SUMIFS($D$25:$BU$25,$D$6:$BU$6, "&gt;="&amp;(BK$6-(Inputs!$B$40*2-1)), $D$6:$BU$6,"&lt;="&amp;BK$6)</f>
        <v>831871.01509110944</v>
      </c>
      <c r="BL28">
        <f>SUMIFS($D$25:$BU$25,$D$6:$BU$6, "&gt;="&amp;(BL$6-(Inputs!$B$40*2-1)), $D$6:$BU$6,"&lt;="&amp;BL$6)</f>
        <v>831871.01509110944</v>
      </c>
      <c r="BM28">
        <f>SUMIFS($D$25:$BU$25,$D$6:$BU$6, "&gt;="&amp;(BM$6-(Inputs!$B$40*2-1)), $D$6:$BU$6,"&lt;="&amp;BM$6)</f>
        <v>922897.92420983152</v>
      </c>
      <c r="BN28">
        <f>SUMIFS($D$25:$BU$25,$D$6:$BU$6, "&gt;="&amp;(BN$6-(Inputs!$B$40*2-1)), $D$6:$BU$6,"&lt;="&amp;BN$6)</f>
        <v>922897.92420983152</v>
      </c>
      <c r="BO28">
        <f>SUMIFS($D$25:$BU$25,$D$6:$BU$6, "&gt;="&amp;(BO$6-(Inputs!$B$40*2-1)), $D$6:$BU$6,"&lt;="&amp;BO$6)</f>
        <v>1015744.11305033</v>
      </c>
      <c r="BP28">
        <f>SUMIFS($D$25:$BU$25,$D$6:$BU$6, "&gt;="&amp;(BP$6-(Inputs!$B$40*2-1)), $D$6:$BU$6,"&lt;="&amp;BP$6)</f>
        <v>1015744.11305033</v>
      </c>
      <c r="BQ28">
        <f>SUMIFS($D$25:$BU$25,$D$6:$BU$6, "&gt;="&amp;(BQ$6-(Inputs!$B$40*2-1)), $D$6:$BU$6,"&lt;="&amp;BQ$6)</f>
        <v>849746.650930634</v>
      </c>
      <c r="BR28">
        <f>SUMIFS($D$25:$BU$25,$D$6:$BU$6, "&gt;="&amp;(BR$6-(Inputs!$B$40*2-1)), $D$6:$BU$6,"&lt;="&amp;BR$6)</f>
        <v>849746.650930634</v>
      </c>
      <c r="BS28">
        <f>SUMIFS($D$25:$BU$25,$D$6:$BU$6, "&gt;="&amp;(BS$6-(Inputs!$B$40*2-1)), $D$6:$BU$6,"&lt;="&amp;BS$6)</f>
        <v>665511.07612915535</v>
      </c>
      <c r="BT28">
        <f>SUMIFS($D$25:$BU$25,$D$6:$BU$6, "&gt;="&amp;(BT$6-(Inputs!$B$40*2-1)), $D$6:$BU$6,"&lt;="&amp;BT$6)</f>
        <v>665511.07612915535</v>
      </c>
      <c r="BU28">
        <f>SUMIFS($D$25:$BU$25,$D$6:$BU$6, "&gt;="&amp;(BU$6-(Inputs!$B$40*2-1)), $D$6:$BU$6,"&lt;="&amp;BU$6)</f>
        <v>462723.204121274</v>
      </c>
    </row>
    <row r="29" spans="1:73">
      <c r="A29" t="s">
        <v>203</v>
      </c>
      <c r="B29" t="s">
        <v>184</v>
      </c>
      <c r="D29">
        <f>MIN(D27,D28)</f>
        <v>166463.3101001952</v>
      </c>
      <c r="E29">
        <f t="shared" ref="E29:BP29" si="16">MIN(E27,E28)</f>
        <v>296962.97349430644</v>
      </c>
      <c r="F29">
        <f t="shared" si="16"/>
        <v>547426.40200183156</v>
      </c>
      <c r="G29">
        <f t="shared" si="16"/>
        <v>884259.49304903857</v>
      </c>
      <c r="H29">
        <f t="shared" si="16"/>
        <v>1098481.2751931814</v>
      </c>
      <c r="I29">
        <f t="shared" si="16"/>
        <v>2140788.6056164815</v>
      </c>
      <c r="J29">
        <f t="shared" si="16"/>
        <v>2344611.3023291281</v>
      </c>
      <c r="K29">
        <f t="shared" si="16"/>
        <v>3376032.3738429947</v>
      </c>
      <c r="L29">
        <f t="shared" si="16"/>
        <v>3568460.1318556746</v>
      </c>
      <c r="M29">
        <f t="shared" si="16"/>
        <v>4587985.1822647369</v>
      </c>
      <c r="N29">
        <f t="shared" si="16"/>
        <v>4601499.0612261882</v>
      </c>
      <c r="O29">
        <f t="shared" si="16"/>
        <v>5477462.2695139935</v>
      </c>
      <c r="P29">
        <f t="shared" si="16"/>
        <v>5393306.4951836187</v>
      </c>
      <c r="Q29">
        <f t="shared" si="16"/>
        <v>6048631.220864838</v>
      </c>
      <c r="R29">
        <f t="shared" si="16"/>
        <v>5985748.3614649214</v>
      </c>
      <c r="S29">
        <f t="shared" si="16"/>
        <v>5919935.7248853752</v>
      </c>
      <c r="T29">
        <f t="shared" si="16"/>
        <v>5851063.6397916125</v>
      </c>
      <c r="U29">
        <f t="shared" si="16"/>
        <v>5779024.130450666</v>
      </c>
      <c r="V29">
        <f t="shared" si="16"/>
        <v>5703642.949649726</v>
      </c>
      <c r="W29">
        <f t="shared" si="16"/>
        <v>5624734.1796980128</v>
      </c>
      <c r="X29">
        <f t="shared" si="16"/>
        <v>5542172.6781230699</v>
      </c>
      <c r="Y29">
        <f t="shared" si="16"/>
        <v>5455789.7352625411</v>
      </c>
      <c r="Z29">
        <f t="shared" si="16"/>
        <v>5365415.6876662923</v>
      </c>
      <c r="AA29">
        <f t="shared" si="16"/>
        <v>5270866.5122070722</v>
      </c>
      <c r="AB29">
        <f t="shared" si="16"/>
        <v>4430234.867382017</v>
      </c>
      <c r="AC29">
        <f t="shared" si="16"/>
        <v>4143032.8956190911</v>
      </c>
      <c r="AD29">
        <f t="shared" si="16"/>
        <v>3276725.5122615052</v>
      </c>
      <c r="AE29">
        <f t="shared" si="16"/>
        <v>3048700.7218272872</v>
      </c>
      <c r="AF29">
        <f t="shared" si="16"/>
        <v>2154269.0219070422</v>
      </c>
      <c r="AG29">
        <f t="shared" si="16"/>
        <v>1991037.8641581992</v>
      </c>
      <c r="AH29">
        <f t="shared" si="16"/>
        <v>1110528.0525637046</v>
      </c>
      <c r="AI29">
        <f t="shared" si="16"/>
        <v>973542.24785010668</v>
      </c>
      <c r="AJ29">
        <f t="shared" si="16"/>
        <v>107232.56987569446</v>
      </c>
      <c r="AK29">
        <f t="shared" si="16"/>
        <v>0</v>
      </c>
      <c r="AL29">
        <f t="shared" si="16"/>
        <v>0</v>
      </c>
      <c r="AM29">
        <f t="shared" si="16"/>
        <v>2531.3447833807149</v>
      </c>
      <c r="AN29">
        <f t="shared" si="16"/>
        <v>0</v>
      </c>
      <c r="AO29">
        <f t="shared" si="16"/>
        <v>17452.069477508398</v>
      </c>
      <c r="AP29">
        <f t="shared" si="16"/>
        <v>0</v>
      </c>
      <c r="AQ29">
        <f t="shared" si="16"/>
        <v>32671.002384273772</v>
      </c>
      <c r="AR29">
        <f t="shared" si="16"/>
        <v>0</v>
      </c>
      <c r="AS29">
        <f t="shared" si="16"/>
        <v>48237.055946855544</v>
      </c>
      <c r="AT29">
        <f t="shared" si="16"/>
        <v>0</v>
      </c>
      <c r="AU29">
        <f t="shared" si="16"/>
        <v>64071.262975977472</v>
      </c>
      <c r="AV29">
        <f t="shared" si="16"/>
        <v>0</v>
      </c>
      <c r="AW29">
        <f t="shared" si="16"/>
        <v>80221.935235407524</v>
      </c>
      <c r="AX29">
        <f t="shared" si="16"/>
        <v>0</v>
      </c>
      <c r="AY29">
        <f t="shared" si="16"/>
        <v>96695.397654572589</v>
      </c>
      <c r="AZ29">
        <f t="shared" si="16"/>
        <v>0</v>
      </c>
      <c r="BA29">
        <f t="shared" si="16"/>
        <v>113544.59463499367</v>
      </c>
      <c r="BB29">
        <f t="shared" si="16"/>
        <v>0</v>
      </c>
      <c r="BC29">
        <f t="shared" si="16"/>
        <v>130684.04955141337</v>
      </c>
      <c r="BD29">
        <f t="shared" si="16"/>
        <v>0</v>
      </c>
      <c r="BE29">
        <f t="shared" si="16"/>
        <v>148166.05661064011</v>
      </c>
      <c r="BF29">
        <f t="shared" si="16"/>
        <v>0</v>
      </c>
      <c r="BG29">
        <f t="shared" si="16"/>
        <v>165997.46211969593</v>
      </c>
      <c r="BH29">
        <f t="shared" si="16"/>
        <v>0</v>
      </c>
      <c r="BI29">
        <f t="shared" si="16"/>
        <v>184235.57480147862</v>
      </c>
      <c r="BJ29">
        <f t="shared" si="16"/>
        <v>0</v>
      </c>
      <c r="BK29">
        <f t="shared" si="16"/>
        <v>202787.87200788138</v>
      </c>
      <c r="BL29">
        <f t="shared" si="16"/>
        <v>0</v>
      </c>
      <c r="BM29">
        <f t="shared" si="16"/>
        <v>221710.95867013544</v>
      </c>
      <c r="BN29">
        <f t="shared" si="16"/>
        <v>0</v>
      </c>
      <c r="BO29">
        <f t="shared" si="16"/>
        <v>241012.24545113856</v>
      </c>
      <c r="BP29">
        <f t="shared" si="16"/>
        <v>241012.24545113856</v>
      </c>
      <c r="BQ29">
        <f t="shared" ref="BQ29:BU29" si="17">MIN(BQ27,BQ28)</f>
        <v>241012.24545113856</v>
      </c>
      <c r="BR29">
        <f t="shared" si="17"/>
        <v>241012.24545113856</v>
      </c>
      <c r="BS29">
        <f t="shared" si="17"/>
        <v>241012.24545113856</v>
      </c>
      <c r="BT29">
        <f t="shared" si="17"/>
        <v>241012.24545113856</v>
      </c>
      <c r="BU29">
        <f t="shared" si="17"/>
        <v>241012.24545113856</v>
      </c>
    </row>
    <row r="30" spans="1:73">
      <c r="A30" t="s">
        <v>265</v>
      </c>
      <c r="B30" t="s">
        <v>184</v>
      </c>
      <c r="C30">
        <f>SUM(D30:BU30)</f>
        <v>7709562.240220461</v>
      </c>
      <c r="D30">
        <f xml:space="preserve"> D27 - D29</f>
        <v>0</v>
      </c>
      <c r="E30">
        <f t="shared" ref="E30:BP30" si="18" xml:space="preserve"> E27 - E29</f>
        <v>0</v>
      </c>
      <c r="F30">
        <f t="shared" si="18"/>
        <v>0</v>
      </c>
      <c r="G30">
        <f t="shared" si="18"/>
        <v>0</v>
      </c>
      <c r="H30">
        <f t="shared" si="18"/>
        <v>0</v>
      </c>
      <c r="I30">
        <f t="shared" si="18"/>
        <v>0</v>
      </c>
      <c r="J30">
        <f t="shared" si="18"/>
        <v>0</v>
      </c>
      <c r="K30">
        <f t="shared" si="18"/>
        <v>0</v>
      </c>
      <c r="L30">
        <f t="shared" si="18"/>
        <v>0</v>
      </c>
      <c r="M30">
        <f t="shared" si="18"/>
        <v>0</v>
      </c>
      <c r="N30">
        <f t="shared" si="18"/>
        <v>166463.31010019593</v>
      </c>
      <c r="O30">
        <f t="shared" si="18"/>
        <v>130499.66339411028</v>
      </c>
      <c r="P30">
        <f t="shared" si="18"/>
        <v>250463.42850752547</v>
      </c>
      <c r="Q30">
        <f t="shared" si="18"/>
        <v>336833.09104720689</v>
      </c>
      <c r="R30">
        <f t="shared" si="18"/>
        <v>214221.78214414231</v>
      </c>
      <c r="S30">
        <f t="shared" si="18"/>
        <v>1042307.3304233011</v>
      </c>
      <c r="T30">
        <f t="shared" si="18"/>
        <v>203822.69671264663</v>
      </c>
      <c r="U30">
        <f t="shared" si="18"/>
        <v>1031421.071513867</v>
      </c>
      <c r="V30">
        <f t="shared" si="18"/>
        <v>192427.75801268034</v>
      </c>
      <c r="W30">
        <f t="shared" si="18"/>
        <v>1019525.0504090618</v>
      </c>
      <c r="X30">
        <f t="shared" si="18"/>
        <v>179977.18906164728</v>
      </c>
      <c r="Y30">
        <f t="shared" si="18"/>
        <v>1006462.8716819165</v>
      </c>
      <c r="Z30">
        <f t="shared" si="18"/>
        <v>166307.65417714976</v>
      </c>
      <c r="AA30">
        <f t="shared" si="18"/>
        <v>992157.81672842614</v>
      </c>
      <c r="AB30">
        <f t="shared" si="18"/>
        <v>0</v>
      </c>
      <c r="AC30">
        <f t="shared" si="18"/>
        <v>267201.35471007274</v>
      </c>
      <c r="AD30">
        <f t="shared" si="18"/>
        <v>0</v>
      </c>
      <c r="AE30">
        <f t="shared" si="18"/>
        <v>181132.88044913718</v>
      </c>
      <c r="AF30">
        <f t="shared" si="18"/>
        <v>0</v>
      </c>
      <c r="AG30">
        <f t="shared" si="18"/>
        <v>122693.573853618</v>
      </c>
      <c r="AH30">
        <f t="shared" si="18"/>
        <v>0</v>
      </c>
      <c r="AI30">
        <f t="shared" si="18"/>
        <v>110508.16237329261</v>
      </c>
      <c r="AJ30">
        <f t="shared" si="18"/>
        <v>0</v>
      </c>
      <c r="AK30">
        <f t="shared" si="18"/>
        <v>95135.554920464027</v>
      </c>
      <c r="AL30">
        <f t="shared" si="18"/>
        <v>0</v>
      </c>
      <c r="AM30">
        <f t="shared" si="18"/>
        <v>0</v>
      </c>
      <c r="AN30">
        <f t="shared" si="18"/>
        <v>0</v>
      </c>
      <c r="AO30">
        <f t="shared" si="18"/>
        <v>0</v>
      </c>
      <c r="AP30">
        <f t="shared" si="18"/>
        <v>0</v>
      </c>
      <c r="AQ30">
        <f t="shared" si="18"/>
        <v>0</v>
      </c>
      <c r="AR30">
        <f t="shared" si="18"/>
        <v>0</v>
      </c>
      <c r="AS30">
        <f t="shared" si="18"/>
        <v>0</v>
      </c>
      <c r="AT30">
        <f t="shared" si="18"/>
        <v>0</v>
      </c>
      <c r="AU30">
        <f t="shared" si="18"/>
        <v>0</v>
      </c>
      <c r="AV30">
        <f t="shared" si="18"/>
        <v>0</v>
      </c>
      <c r="AW30">
        <f t="shared" si="18"/>
        <v>0</v>
      </c>
      <c r="AX30">
        <f t="shared" si="18"/>
        <v>0</v>
      </c>
      <c r="AY30">
        <f t="shared" si="18"/>
        <v>0</v>
      </c>
      <c r="AZ30">
        <f t="shared" si="18"/>
        <v>0</v>
      </c>
      <c r="BA30">
        <f t="shared" si="18"/>
        <v>0</v>
      </c>
      <c r="BB30">
        <f t="shared" si="18"/>
        <v>0</v>
      </c>
      <c r="BC30">
        <f t="shared" si="18"/>
        <v>0</v>
      </c>
      <c r="BD30">
        <f t="shared" si="18"/>
        <v>0</v>
      </c>
      <c r="BE30">
        <f t="shared" si="18"/>
        <v>0</v>
      </c>
      <c r="BF30">
        <f t="shared" si="18"/>
        <v>0</v>
      </c>
      <c r="BG30">
        <f t="shared" si="18"/>
        <v>0</v>
      </c>
      <c r="BH30">
        <f t="shared" si="18"/>
        <v>0</v>
      </c>
      <c r="BI30">
        <f t="shared" si="18"/>
        <v>0</v>
      </c>
      <c r="BJ30">
        <f t="shared" si="18"/>
        <v>0</v>
      </c>
      <c r="BK30">
        <f t="shared" si="18"/>
        <v>0</v>
      </c>
      <c r="BL30">
        <f t="shared" si="18"/>
        <v>0</v>
      </c>
      <c r="BM30">
        <f t="shared" si="18"/>
        <v>0</v>
      </c>
      <c r="BN30">
        <f t="shared" si="18"/>
        <v>0</v>
      </c>
      <c r="BO30">
        <f t="shared" si="18"/>
        <v>0</v>
      </c>
      <c r="BP30">
        <f t="shared" si="18"/>
        <v>0</v>
      </c>
      <c r="BQ30">
        <f t="shared" ref="BQ30:BU30" si="19" xml:space="preserve"> BQ27 - BQ29</f>
        <v>0</v>
      </c>
      <c r="BR30">
        <f t="shared" si="19"/>
        <v>0</v>
      </c>
      <c r="BS30">
        <f t="shared" si="19"/>
        <v>0</v>
      </c>
      <c r="BT30">
        <f t="shared" si="19"/>
        <v>0</v>
      </c>
      <c r="BU30">
        <f t="shared" si="19"/>
        <v>0</v>
      </c>
    </row>
    <row r="31" spans="1:73">
      <c r="A31" t="s">
        <v>266</v>
      </c>
      <c r="B31" t="s">
        <v>184</v>
      </c>
      <c r="D31">
        <f xml:space="preserve"> MAX(0,D22) - D26</f>
        <v>0</v>
      </c>
      <c r="E31">
        <f t="shared" ref="E31:BP31" si="20" xml:space="preserve"> MAX(0,E22) - E26</f>
        <v>0</v>
      </c>
      <c r="F31">
        <f t="shared" si="20"/>
        <v>0</v>
      </c>
      <c r="G31">
        <f t="shared" si="20"/>
        <v>0</v>
      </c>
      <c r="H31">
        <f t="shared" si="20"/>
        <v>0</v>
      </c>
      <c r="I31">
        <f t="shared" si="20"/>
        <v>0</v>
      </c>
      <c r="J31">
        <f t="shared" si="20"/>
        <v>0</v>
      </c>
      <c r="K31">
        <f t="shared" si="20"/>
        <v>0</v>
      </c>
      <c r="L31">
        <f t="shared" si="20"/>
        <v>0</v>
      </c>
      <c r="M31">
        <f t="shared" si="20"/>
        <v>0</v>
      </c>
      <c r="N31">
        <f t="shared" si="20"/>
        <v>0</v>
      </c>
      <c r="O31">
        <f t="shared" si="20"/>
        <v>0</v>
      </c>
      <c r="P31">
        <f t="shared" si="20"/>
        <v>0</v>
      </c>
      <c r="Q31">
        <f t="shared" si="20"/>
        <v>0</v>
      </c>
      <c r="R31">
        <f t="shared" si="20"/>
        <v>0</v>
      </c>
      <c r="S31">
        <f t="shared" si="20"/>
        <v>0</v>
      </c>
      <c r="T31">
        <f t="shared" si="20"/>
        <v>0</v>
      </c>
      <c r="U31">
        <f t="shared" si="20"/>
        <v>0</v>
      </c>
      <c r="V31">
        <f t="shared" si="20"/>
        <v>0</v>
      </c>
      <c r="W31">
        <f t="shared" si="20"/>
        <v>0</v>
      </c>
      <c r="X31">
        <f t="shared" si="20"/>
        <v>0</v>
      </c>
      <c r="Y31">
        <f t="shared" si="20"/>
        <v>0</v>
      </c>
      <c r="Z31">
        <f t="shared" si="20"/>
        <v>0</v>
      </c>
      <c r="AA31">
        <f t="shared" si="20"/>
        <v>0</v>
      </c>
      <c r="AB31">
        <f t="shared" si="20"/>
        <v>0</v>
      </c>
      <c r="AC31">
        <f t="shared" si="20"/>
        <v>0</v>
      </c>
      <c r="AD31">
        <f t="shared" si="20"/>
        <v>0</v>
      </c>
      <c r="AE31">
        <f t="shared" si="20"/>
        <v>0</v>
      </c>
      <c r="AF31">
        <f t="shared" si="20"/>
        <v>0</v>
      </c>
      <c r="AG31">
        <f t="shared" si="20"/>
        <v>0</v>
      </c>
      <c r="AH31">
        <f t="shared" si="20"/>
        <v>0</v>
      </c>
      <c r="AI31">
        <f t="shared" si="20"/>
        <v>0</v>
      </c>
      <c r="AJ31">
        <f t="shared" si="20"/>
        <v>0</v>
      </c>
      <c r="AK31">
        <f t="shared" si="20"/>
        <v>0</v>
      </c>
      <c r="AL31">
        <f t="shared" si="20"/>
        <v>851785.6609569143</v>
      </c>
      <c r="AM31">
        <f t="shared" si="20"/>
        <v>0</v>
      </c>
      <c r="AN31">
        <f t="shared" si="20"/>
        <v>834480.0966563673</v>
      </c>
      <c r="AO31">
        <f t="shared" si="20"/>
        <v>0</v>
      </c>
      <c r="AP31">
        <f t="shared" si="20"/>
        <v>804489.87231051887</v>
      </c>
      <c r="AQ31">
        <f t="shared" si="20"/>
        <v>0</v>
      </c>
      <c r="AR31">
        <f t="shared" si="20"/>
        <v>773900.25809707912</v>
      </c>
      <c r="AS31">
        <f t="shared" si="20"/>
        <v>0</v>
      </c>
      <c r="AT31">
        <f t="shared" si="20"/>
        <v>742612.94142237038</v>
      </c>
      <c r="AU31">
        <f t="shared" si="20"/>
        <v>0</v>
      </c>
      <c r="AV31">
        <f t="shared" si="20"/>
        <v>710786.64404896798</v>
      </c>
      <c r="AW31">
        <f t="shared" si="20"/>
        <v>0</v>
      </c>
      <c r="AX31">
        <f t="shared" si="20"/>
        <v>678324.26073140663</v>
      </c>
      <c r="AY31">
        <f t="shared" si="20"/>
        <v>0</v>
      </c>
      <c r="AZ31">
        <f t="shared" si="20"/>
        <v>645213.07854478632</v>
      </c>
      <c r="BA31">
        <f t="shared" si="20"/>
        <v>0</v>
      </c>
      <c r="BB31">
        <f t="shared" si="20"/>
        <v>611346.68077597732</v>
      </c>
      <c r="BC31">
        <f t="shared" si="20"/>
        <v>0</v>
      </c>
      <c r="BD31">
        <f t="shared" si="20"/>
        <v>576896.87296528299</v>
      </c>
      <c r="BE31">
        <f t="shared" si="20"/>
        <v>0</v>
      </c>
      <c r="BF31">
        <f t="shared" si="20"/>
        <v>541758.54527210724</v>
      </c>
      <c r="BG31">
        <f t="shared" si="20"/>
        <v>0</v>
      </c>
      <c r="BH31">
        <f t="shared" si="20"/>
        <v>505917.93681769026</v>
      </c>
      <c r="BI31">
        <f t="shared" si="20"/>
        <v>0</v>
      </c>
      <c r="BJ31">
        <f t="shared" si="20"/>
        <v>469259.85872937902</v>
      </c>
      <c r="BK31">
        <f t="shared" si="20"/>
        <v>0</v>
      </c>
      <c r="BL31">
        <f t="shared" si="20"/>
        <v>431970.27884926437</v>
      </c>
      <c r="BM31">
        <f t="shared" si="20"/>
        <v>0</v>
      </c>
      <c r="BN31">
        <f t="shared" si="20"/>
        <v>393935.42290555232</v>
      </c>
      <c r="BO31">
        <f t="shared" si="20"/>
        <v>0</v>
      </c>
      <c r="BP31">
        <f t="shared" si="20"/>
        <v>0</v>
      </c>
      <c r="BQ31">
        <f t="shared" ref="BQ31:BT31" si="21" xml:space="preserve"> MAX(0,BQ22) - BQ26</f>
        <v>0</v>
      </c>
      <c r="BR31">
        <f t="shared" si="21"/>
        <v>0</v>
      </c>
      <c r="BS31">
        <f t="shared" si="21"/>
        <v>0</v>
      </c>
      <c r="BT31">
        <f t="shared" si="21"/>
        <v>0</v>
      </c>
      <c r="BU31">
        <f t="shared" ref="BU31" si="22" xml:space="preserve"> MAX(0,BU22) - BU26</f>
        <v>0</v>
      </c>
    </row>
    <row r="32" spans="1:73">
      <c r="A32" t="s">
        <v>267</v>
      </c>
      <c r="B32" t="s">
        <v>184</v>
      </c>
      <c r="C32">
        <f>SUM(D32:BU32)</f>
        <v>3350437.4431792819</v>
      </c>
      <c r="D32">
        <f xml:space="preserve"> D31 * Inputs!$B$35</f>
        <v>0</v>
      </c>
      <c r="E32">
        <f xml:space="preserve"> E31 * Inputs!$B$35</f>
        <v>0</v>
      </c>
      <c r="F32">
        <f xml:space="preserve"> F31 * Inputs!$B$35</f>
        <v>0</v>
      </c>
      <c r="G32">
        <f xml:space="preserve"> G31 * Inputs!$B$35</f>
        <v>0</v>
      </c>
      <c r="H32">
        <f xml:space="preserve"> H31 * Inputs!$B$35</f>
        <v>0</v>
      </c>
      <c r="I32">
        <f xml:space="preserve"> I31 * Inputs!$B$35</f>
        <v>0</v>
      </c>
      <c r="J32">
        <f xml:space="preserve"> J31 * Inputs!$B$35</f>
        <v>0</v>
      </c>
      <c r="K32">
        <f xml:space="preserve"> K31 * Inputs!$B$35</f>
        <v>0</v>
      </c>
      <c r="L32">
        <f xml:space="preserve"> L31 * Inputs!$B$35</f>
        <v>0</v>
      </c>
      <c r="M32">
        <f xml:space="preserve"> M31 * Inputs!$B$35</f>
        <v>0</v>
      </c>
      <c r="N32">
        <f xml:space="preserve"> N31 * Inputs!$B$35</f>
        <v>0</v>
      </c>
      <c r="O32">
        <f xml:space="preserve"> O31 * Inputs!$B$35</f>
        <v>0</v>
      </c>
      <c r="P32">
        <f xml:space="preserve"> P31 * Inputs!$B$35</f>
        <v>0</v>
      </c>
      <c r="Q32">
        <f xml:space="preserve"> Q31 * Inputs!$B$35</f>
        <v>0</v>
      </c>
      <c r="R32">
        <f xml:space="preserve"> R31 * Inputs!$B$35</f>
        <v>0</v>
      </c>
      <c r="S32">
        <f xml:space="preserve"> S31 * Inputs!$B$35</f>
        <v>0</v>
      </c>
      <c r="T32">
        <f xml:space="preserve"> T31 * Inputs!$B$35</f>
        <v>0</v>
      </c>
      <c r="U32">
        <f xml:space="preserve"> U31 * Inputs!$B$35</f>
        <v>0</v>
      </c>
      <c r="V32">
        <f xml:space="preserve"> V31 * Inputs!$B$35</f>
        <v>0</v>
      </c>
      <c r="W32">
        <f xml:space="preserve"> W31 * Inputs!$B$35</f>
        <v>0</v>
      </c>
      <c r="X32">
        <f xml:space="preserve"> X31 * Inputs!$B$35</f>
        <v>0</v>
      </c>
      <c r="Y32">
        <f xml:space="preserve"> Y31 * Inputs!$B$35</f>
        <v>0</v>
      </c>
      <c r="Z32">
        <f xml:space="preserve"> Z31 * Inputs!$B$35</f>
        <v>0</v>
      </c>
      <c r="AA32">
        <f xml:space="preserve"> AA31 * Inputs!$B$35</f>
        <v>0</v>
      </c>
      <c r="AB32">
        <f xml:space="preserve"> AB31 * Inputs!$B$35</f>
        <v>0</v>
      </c>
      <c r="AC32">
        <f xml:space="preserve"> AC31 * Inputs!$B$35</f>
        <v>0</v>
      </c>
      <c r="AD32">
        <f xml:space="preserve"> AD31 * Inputs!$B$35</f>
        <v>0</v>
      </c>
      <c r="AE32">
        <f xml:space="preserve"> AE31 * Inputs!$B$35</f>
        <v>0</v>
      </c>
      <c r="AF32">
        <f xml:space="preserve"> AF31 * Inputs!$B$35</f>
        <v>0</v>
      </c>
      <c r="AG32">
        <f xml:space="preserve"> AG31 * Inputs!$B$35</f>
        <v>0</v>
      </c>
      <c r="AH32">
        <f xml:space="preserve"> AH31 * Inputs!$B$35</f>
        <v>0</v>
      </c>
      <c r="AI32">
        <f xml:space="preserve"> AI31 * Inputs!$B$35</f>
        <v>0</v>
      </c>
      <c r="AJ32">
        <f xml:space="preserve"> AJ31 * Inputs!$B$35</f>
        <v>0</v>
      </c>
      <c r="AK32">
        <f xml:space="preserve"> AK31 * Inputs!$B$35</f>
        <v>0</v>
      </c>
      <c r="AL32">
        <f xml:space="preserve"> AL31 * Inputs!$B$35</f>
        <v>298124.98133491998</v>
      </c>
      <c r="AM32">
        <f xml:space="preserve"> AM31 * Inputs!$B$35</f>
        <v>0</v>
      </c>
      <c r="AN32">
        <f xml:space="preserve"> AN31 * Inputs!$B$35</f>
        <v>292068.03382972855</v>
      </c>
      <c r="AO32">
        <f xml:space="preserve"> AO31 * Inputs!$B$35</f>
        <v>0</v>
      </c>
      <c r="AP32">
        <f xml:space="preserve"> AP31 * Inputs!$B$35</f>
        <v>281571.45530868159</v>
      </c>
      <c r="AQ32">
        <f xml:space="preserve"> AQ31 * Inputs!$B$35</f>
        <v>0</v>
      </c>
      <c r="AR32">
        <f xml:space="preserve"> AR31 * Inputs!$B$35</f>
        <v>270865.09033397766</v>
      </c>
      <c r="AS32">
        <f xml:space="preserve"> AS31 * Inputs!$B$35</f>
        <v>0</v>
      </c>
      <c r="AT32">
        <f xml:space="preserve"> AT31 * Inputs!$B$35</f>
        <v>259914.52949782962</v>
      </c>
      <c r="AU32">
        <f xml:space="preserve"> AU31 * Inputs!$B$35</f>
        <v>0</v>
      </c>
      <c r="AV32">
        <f xml:space="preserve"> AV31 * Inputs!$B$35</f>
        <v>248775.32541713878</v>
      </c>
      <c r="AW32">
        <f xml:space="preserve"> AW31 * Inputs!$B$35</f>
        <v>0</v>
      </c>
      <c r="AX32">
        <f xml:space="preserve"> AX31 * Inputs!$B$35</f>
        <v>237413.4912559923</v>
      </c>
      <c r="AY32">
        <f xml:space="preserve"> AY31 * Inputs!$B$35</f>
        <v>0</v>
      </c>
      <c r="AZ32">
        <f xml:space="preserve"> AZ31 * Inputs!$B$35</f>
        <v>225824.5774906752</v>
      </c>
      <c r="BA32">
        <f xml:space="preserve"> BA31 * Inputs!$B$35</f>
        <v>0</v>
      </c>
      <c r="BB32">
        <f xml:space="preserve"> BB31 * Inputs!$B$35</f>
        <v>213971.33827159205</v>
      </c>
      <c r="BC32">
        <f xml:space="preserve"> BC31 * Inputs!$B$35</f>
        <v>0</v>
      </c>
      <c r="BD32">
        <f xml:space="preserve"> BD31 * Inputs!$B$35</f>
        <v>201913.90553784903</v>
      </c>
      <c r="BE32">
        <f xml:space="preserve"> BE31 * Inputs!$B$35</f>
        <v>0</v>
      </c>
      <c r="BF32">
        <f xml:space="preserve"> BF31 * Inputs!$B$35</f>
        <v>189615.49084523751</v>
      </c>
      <c r="BG32">
        <f xml:space="preserve"> BG31 * Inputs!$B$35</f>
        <v>0</v>
      </c>
      <c r="BH32">
        <f xml:space="preserve"> BH31 * Inputs!$B$35</f>
        <v>177071.27788619159</v>
      </c>
      <c r="BI32">
        <f xml:space="preserve"> BI31 * Inputs!$B$35</f>
        <v>0</v>
      </c>
      <c r="BJ32">
        <f xml:space="preserve"> BJ31 * Inputs!$B$35</f>
        <v>164240.95055528264</v>
      </c>
      <c r="BK32">
        <f xml:space="preserve"> BK31 * Inputs!$B$35</f>
        <v>0</v>
      </c>
      <c r="BL32">
        <f xml:space="preserve"> BL31 * Inputs!$B$35</f>
        <v>151189.59759724251</v>
      </c>
      <c r="BM32">
        <f xml:space="preserve"> BM31 * Inputs!$B$35</f>
        <v>0</v>
      </c>
      <c r="BN32">
        <f xml:space="preserve"> BN31 * Inputs!$B$35</f>
        <v>137877.39801694331</v>
      </c>
      <c r="BO32">
        <f xml:space="preserve"> BO31 * Inputs!$B$35</f>
        <v>0</v>
      </c>
      <c r="BP32">
        <f xml:space="preserve"> BP31 * Inputs!$B$35</f>
        <v>0</v>
      </c>
      <c r="BQ32">
        <f xml:space="preserve"> BQ31 * Inputs!$B$35</f>
        <v>0</v>
      </c>
      <c r="BR32">
        <f xml:space="preserve"> BR31 * Inputs!$B$35</f>
        <v>0</v>
      </c>
      <c r="BS32">
        <f xml:space="preserve"> BS31 * Inputs!$B$35</f>
        <v>0</v>
      </c>
      <c r="BT32">
        <f xml:space="preserve"> BT31 * Inputs!$B$35</f>
        <v>0</v>
      </c>
      <c r="BU32">
        <f xml:space="preserve"> BU31 * Inputs!$B$35</f>
        <v>0</v>
      </c>
    </row>
    <row r="33" spans="1:73">
      <c r="A33" t="s">
        <v>261</v>
      </c>
      <c r="B33" t="s">
        <v>184</v>
      </c>
      <c r="C33">
        <f>SUM(D33:BU33)</f>
        <v>32632556.585838038</v>
      </c>
      <c r="D33">
        <f t="shared" ref="D33:AI33" si="23" xml:space="preserve"> D8 - D32</f>
        <v>0</v>
      </c>
      <c r="E33">
        <f t="shared" si="23"/>
        <v>0</v>
      </c>
      <c r="F33">
        <f t="shared" si="23"/>
        <v>0</v>
      </c>
      <c r="G33">
        <f t="shared" si="23"/>
        <v>0</v>
      </c>
      <c r="H33">
        <f t="shared" si="23"/>
        <v>1220374.4089345317</v>
      </c>
      <c r="I33">
        <f t="shared" si="23"/>
        <v>367941.26282097551</v>
      </c>
      <c r="J33">
        <f t="shared" si="23"/>
        <v>1209397.0949984677</v>
      </c>
      <c r="K33">
        <f t="shared" si="23"/>
        <v>356855.09485584439</v>
      </c>
      <c r="L33">
        <f t="shared" si="23"/>
        <v>1198200.3865466854</v>
      </c>
      <c r="M33">
        <f t="shared" si="23"/>
        <v>345516.06830213021</v>
      </c>
      <c r="N33">
        <f t="shared" si="23"/>
        <v>1186748.2982463562</v>
      </c>
      <c r="O33">
        <f t="shared" si="23"/>
        <v>333981.70647828188</v>
      </c>
      <c r="P33">
        <f t="shared" si="23"/>
        <v>1175098.9269825253</v>
      </c>
      <c r="Q33">
        <f t="shared" si="23"/>
        <v>322216.81688222941</v>
      </c>
      <c r="R33">
        <f t="shared" si="23"/>
        <v>1163216.7293477135</v>
      </c>
      <c r="S33">
        <f t="shared" si="23"/>
        <v>310216.79214560974</v>
      </c>
      <c r="T33">
        <f t="shared" si="23"/>
        <v>1151097.0520333601</v>
      </c>
      <c r="U33">
        <f t="shared" si="23"/>
        <v>297943.06514077552</v>
      </c>
      <c r="V33">
        <f t="shared" si="23"/>
        <v>1138700.9433579245</v>
      </c>
      <c r="W33">
        <f t="shared" si="23"/>
        <v>285457.90095756587</v>
      </c>
      <c r="X33">
        <f t="shared" si="23"/>
        <v>1126091.2892581739</v>
      </c>
      <c r="Y33">
        <f t="shared" si="23"/>
        <v>272723.20609994943</v>
      </c>
      <c r="Z33">
        <f t="shared" si="23"/>
        <v>1113229.6164067774</v>
      </c>
      <c r="AA33">
        <f t="shared" si="23"/>
        <v>259733.99340423674</v>
      </c>
      <c r="AB33">
        <f t="shared" si="23"/>
        <v>1100110.887912899</v>
      </c>
      <c r="AC33">
        <f t="shared" si="23"/>
        <v>246448.51657114364</v>
      </c>
      <c r="AD33">
        <f t="shared" si="23"/>
        <v>1086692.9412237522</v>
      </c>
      <c r="AE33">
        <f t="shared" si="23"/>
        <v>232934.17333635734</v>
      </c>
      <c r="AF33">
        <f t="shared" si="23"/>
        <v>1073043.8460997068</v>
      </c>
      <c r="AG33">
        <f t="shared" si="23"/>
        <v>219149.7300746867</v>
      </c>
      <c r="AH33">
        <f t="shared" si="23"/>
        <v>1059121.9577739565</v>
      </c>
      <c r="AI33">
        <f t="shared" si="23"/>
        <v>205089.788519767</v>
      </c>
      <c r="AJ33">
        <f t="shared" ref="AJ33:BO33" si="24" xml:space="preserve"> AJ8 - AJ32</f>
        <v>1044921.824153874</v>
      </c>
      <c r="AK33">
        <f t="shared" si="24"/>
        <v>190709.16113469214</v>
      </c>
      <c r="AL33">
        <f t="shared" si="24"/>
        <v>732272.82580145611</v>
      </c>
      <c r="AM33">
        <f t="shared" si="24"/>
        <v>176080.80139608099</v>
      </c>
      <c r="AN33">
        <f t="shared" si="24"/>
        <v>723555.55378948129</v>
      </c>
      <c r="AO33">
        <f t="shared" si="24"/>
        <v>161160.07670195331</v>
      </c>
      <c r="AP33">
        <f t="shared" si="24"/>
        <v>718982.63265880744</v>
      </c>
      <c r="AQ33">
        <f t="shared" si="24"/>
        <v>145941.14379518793</v>
      </c>
      <c r="AR33">
        <f t="shared" si="24"/>
        <v>714318.31632683706</v>
      </c>
      <c r="AS33">
        <f t="shared" si="24"/>
        <v>130375.09023260616</v>
      </c>
      <c r="AT33">
        <f t="shared" si="24"/>
        <v>709547.61405085807</v>
      </c>
      <c r="AU33">
        <f t="shared" si="24"/>
        <v>114540.88320348423</v>
      </c>
      <c r="AV33">
        <f t="shared" si="24"/>
        <v>704694.72778726846</v>
      </c>
      <c r="AW33">
        <f t="shared" si="24"/>
        <v>98390.210944054183</v>
      </c>
      <c r="AX33">
        <f t="shared" si="24"/>
        <v>699744.85089028359</v>
      </c>
      <c r="AY33">
        <f t="shared" si="24"/>
        <v>81916.748524889117</v>
      </c>
      <c r="AZ33">
        <f t="shared" si="24"/>
        <v>694696.04488814552</v>
      </c>
      <c r="BA33">
        <f t="shared" si="24"/>
        <v>65067.551544468035</v>
      </c>
      <c r="BB33">
        <f t="shared" si="24"/>
        <v>689532.08331884071</v>
      </c>
      <c r="BC33">
        <f t="shared" si="24"/>
        <v>47928.096628048341</v>
      </c>
      <c r="BD33">
        <f t="shared" si="24"/>
        <v>684279.16315830906</v>
      </c>
      <c r="BE33">
        <f t="shared" si="24"/>
        <v>30446.089568821597</v>
      </c>
      <c r="BF33">
        <f t="shared" si="24"/>
        <v>678921.2572169716</v>
      </c>
      <c r="BG33">
        <f t="shared" si="24"/>
        <v>12614.684059765772</v>
      </c>
      <c r="BH33">
        <f t="shared" si="24"/>
        <v>673456.26723065635</v>
      </c>
      <c r="BI33">
        <f t="shared" si="24"/>
        <v>-5623.4286220169161</v>
      </c>
      <c r="BJ33">
        <f t="shared" si="24"/>
        <v>667866.62915503676</v>
      </c>
      <c r="BK33">
        <f t="shared" si="24"/>
        <v>-24175.725828419672</v>
      </c>
      <c r="BL33">
        <f t="shared" si="24"/>
        <v>662180.69943936495</v>
      </c>
      <c r="BM33">
        <f t="shared" si="24"/>
        <v>-43098.812490673736</v>
      </c>
      <c r="BN33">
        <f t="shared" si="24"/>
        <v>656381.12973820628</v>
      </c>
      <c r="BO33">
        <f t="shared" si="24"/>
        <v>-62400.099271676852</v>
      </c>
      <c r="BP33">
        <f t="shared" ref="BP33:BU33" si="25" xml:space="preserve"> BP8 - BP32</f>
        <v>0</v>
      </c>
      <c r="BQ33">
        <f t="shared" si="25"/>
        <v>0</v>
      </c>
      <c r="BR33">
        <f t="shared" si="25"/>
        <v>0</v>
      </c>
      <c r="BS33">
        <f t="shared" si="25"/>
        <v>0</v>
      </c>
      <c r="BT33">
        <f t="shared" si="25"/>
        <v>0</v>
      </c>
      <c r="BU33">
        <f t="shared" si="25"/>
        <v>0</v>
      </c>
    </row>
    <row r="34" spans="1:73" ht="15.75">
      <c r="A34" s="70" t="s">
        <v>206</v>
      </c>
      <c r="B34" s="70"/>
      <c r="C34" s="70"/>
    </row>
    <row r="35" spans="1:73">
      <c r="A35" s="59" t="s">
        <v>268</v>
      </c>
      <c r="B35" s="59" t="s">
        <v>165</v>
      </c>
      <c r="C35" s="59">
        <f>IF(MIN(D32:BU32)&gt;=0,0,1)</f>
        <v>0</v>
      </c>
      <c r="D35" s="37" t="s">
        <v>167</v>
      </c>
    </row>
    <row r="36" spans="1:73" ht="30">
      <c r="A36" s="61" t="s">
        <v>269</v>
      </c>
      <c r="B36" s="59" t="s">
        <v>165</v>
      </c>
      <c r="C36" s="59">
        <f>ROUND(C25-C26-C30-BU29,2)</f>
        <v>0</v>
      </c>
      <c r="D36" s="37" t="s">
        <v>167</v>
      </c>
    </row>
  </sheetData>
  <mergeCells count="4">
    <mergeCell ref="A4:C4"/>
    <mergeCell ref="A16:C16"/>
    <mergeCell ref="A18:C18"/>
    <mergeCell ref="A34:C34"/>
  </mergeCells>
  <pageMargins left="0.75" right="0.75" top="1" bottom="1" header="0.5" footer="0.5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2"/>
  <sheetViews>
    <sheetView zoomScale="85" zoomScaleNormal="85" workbookViewId="0">
      <pane xSplit="3" topLeftCell="D1" activePane="topRight" state="frozen"/>
      <selection pane="topRight" activeCell="A18" sqref="A18"/>
    </sheetView>
  </sheetViews>
  <sheetFormatPr baseColWidth="10" defaultColWidth="9.140625" defaultRowHeight="15"/>
  <cols>
    <col min="1" max="1" width="51.5703125" bestFit="1" customWidth="1"/>
    <col min="2" max="2" width="6" bestFit="1" customWidth="1"/>
    <col min="3" max="3" width="12" bestFit="1" customWidth="1"/>
    <col min="4" max="7" width="12.7109375" bestFit="1" customWidth="1"/>
    <col min="8" max="8" width="12" bestFit="1" customWidth="1"/>
    <col min="9" max="69" width="12.7109375" bestFit="1" customWidth="1"/>
    <col min="70" max="73" width="12" bestFit="1" customWidth="1"/>
  </cols>
  <sheetData>
    <row r="1" spans="1:73" ht="18.75">
      <c r="A1" s="1" t="s">
        <v>56</v>
      </c>
    </row>
    <row r="2" spans="1:73">
      <c r="A2" t="s">
        <v>57</v>
      </c>
    </row>
    <row r="4" spans="1:73" ht="15.75">
      <c r="A4" s="70" t="s">
        <v>284</v>
      </c>
      <c r="B4" s="70"/>
      <c r="C4" s="70"/>
    </row>
    <row r="5" spans="1:73">
      <c r="A5" t="s">
        <v>272</v>
      </c>
      <c r="B5" t="s">
        <v>13</v>
      </c>
      <c r="C5" t="s">
        <v>273</v>
      </c>
    </row>
    <row r="6" spans="1:73">
      <c r="A6" t="str">
        <f>Timeline!A15</f>
        <v>Period counter</v>
      </c>
      <c r="B6" t="str">
        <f>Timeline!B15</f>
        <v>#</v>
      </c>
      <c r="C6" t="str">
        <f>Timeline!C15</f>
        <v>Sum of flags</v>
      </c>
      <c r="D6">
        <f>Timeline!D15</f>
        <v>1</v>
      </c>
      <c r="E6">
        <f>Timeline!E15</f>
        <v>2</v>
      </c>
      <c r="F6">
        <f>Timeline!F15</f>
        <v>3</v>
      </c>
      <c r="G6">
        <f>Timeline!G15</f>
        <v>4</v>
      </c>
      <c r="H6">
        <f>Timeline!H15</f>
        <v>5</v>
      </c>
      <c r="I6">
        <f>Timeline!I15</f>
        <v>6</v>
      </c>
      <c r="J6">
        <f>Timeline!J15</f>
        <v>7</v>
      </c>
      <c r="K6">
        <f>Timeline!K15</f>
        <v>8</v>
      </c>
      <c r="L6">
        <f>Timeline!L15</f>
        <v>9</v>
      </c>
      <c r="M6">
        <f>Timeline!M15</f>
        <v>10</v>
      </c>
      <c r="N6">
        <f>Timeline!N15</f>
        <v>11</v>
      </c>
      <c r="O6">
        <f>Timeline!O15</f>
        <v>12</v>
      </c>
      <c r="P6">
        <f>Timeline!P15</f>
        <v>13</v>
      </c>
      <c r="Q6">
        <f>Timeline!Q15</f>
        <v>14</v>
      </c>
      <c r="R6">
        <f>Timeline!R15</f>
        <v>15</v>
      </c>
      <c r="S6">
        <f>Timeline!S15</f>
        <v>16</v>
      </c>
      <c r="T6">
        <f>Timeline!T15</f>
        <v>17</v>
      </c>
      <c r="U6">
        <f>Timeline!U15</f>
        <v>18</v>
      </c>
      <c r="V6">
        <f>Timeline!V15</f>
        <v>19</v>
      </c>
      <c r="W6">
        <f>Timeline!W15</f>
        <v>20</v>
      </c>
      <c r="X6">
        <f>Timeline!X15</f>
        <v>21</v>
      </c>
      <c r="Y6">
        <f>Timeline!Y15</f>
        <v>22</v>
      </c>
      <c r="Z6">
        <f>Timeline!Z15</f>
        <v>23</v>
      </c>
      <c r="AA6">
        <f>Timeline!AA15</f>
        <v>24</v>
      </c>
      <c r="AB6">
        <f>Timeline!AB15</f>
        <v>25</v>
      </c>
      <c r="AC6">
        <f>Timeline!AC15</f>
        <v>26</v>
      </c>
      <c r="AD6">
        <f>Timeline!AD15</f>
        <v>27</v>
      </c>
      <c r="AE6">
        <f>Timeline!AE15</f>
        <v>28</v>
      </c>
      <c r="AF6">
        <f>Timeline!AF15</f>
        <v>29</v>
      </c>
      <c r="AG6">
        <f>Timeline!AG15</f>
        <v>30</v>
      </c>
      <c r="AH6">
        <f>Timeline!AH15</f>
        <v>31</v>
      </c>
      <c r="AI6">
        <f>Timeline!AI15</f>
        <v>32</v>
      </c>
      <c r="AJ6">
        <f>Timeline!AJ15</f>
        <v>33</v>
      </c>
      <c r="AK6">
        <f>Timeline!AK15</f>
        <v>34</v>
      </c>
      <c r="AL6">
        <f>Timeline!AL15</f>
        <v>35</v>
      </c>
      <c r="AM6">
        <f>Timeline!AM15</f>
        <v>36</v>
      </c>
      <c r="AN6">
        <f>Timeline!AN15</f>
        <v>37</v>
      </c>
      <c r="AO6">
        <f>Timeline!AO15</f>
        <v>38</v>
      </c>
      <c r="AP6">
        <f>Timeline!AP15</f>
        <v>39</v>
      </c>
      <c r="AQ6">
        <f>Timeline!AQ15</f>
        <v>40</v>
      </c>
      <c r="AR6">
        <f>Timeline!AR15</f>
        <v>41</v>
      </c>
      <c r="AS6">
        <f>Timeline!AS15</f>
        <v>42</v>
      </c>
      <c r="AT6">
        <f>Timeline!AT15</f>
        <v>43</v>
      </c>
      <c r="AU6">
        <f>Timeline!AU15</f>
        <v>44</v>
      </c>
      <c r="AV6">
        <f>Timeline!AV15</f>
        <v>45</v>
      </c>
      <c r="AW6">
        <f>Timeline!AW15</f>
        <v>46</v>
      </c>
      <c r="AX6">
        <f>Timeline!AX15</f>
        <v>47</v>
      </c>
      <c r="AY6">
        <f>Timeline!AY15</f>
        <v>48</v>
      </c>
      <c r="AZ6">
        <f>Timeline!AZ15</f>
        <v>49</v>
      </c>
      <c r="BA6">
        <f>Timeline!BA15</f>
        <v>50</v>
      </c>
      <c r="BB6">
        <f>Timeline!BB15</f>
        <v>51</v>
      </c>
      <c r="BC6">
        <f>Timeline!BC15</f>
        <v>52</v>
      </c>
      <c r="BD6">
        <f>Timeline!BD15</f>
        <v>53</v>
      </c>
      <c r="BE6">
        <f>Timeline!BE15</f>
        <v>54</v>
      </c>
      <c r="BF6">
        <f>Timeline!BF15</f>
        <v>55</v>
      </c>
      <c r="BG6">
        <f>Timeline!BG15</f>
        <v>56</v>
      </c>
      <c r="BH6">
        <f>Timeline!BH15</f>
        <v>57</v>
      </c>
      <c r="BI6">
        <f>Timeline!BI15</f>
        <v>58</v>
      </c>
      <c r="BJ6">
        <f>Timeline!BJ15</f>
        <v>59</v>
      </c>
      <c r="BK6">
        <f>Timeline!BK15</f>
        <v>60</v>
      </c>
      <c r="BL6">
        <f>Timeline!BL15</f>
        <v>61</v>
      </c>
      <c r="BM6">
        <f>Timeline!BM15</f>
        <v>62</v>
      </c>
      <c r="BN6">
        <f>Timeline!BN15</f>
        <v>63</v>
      </c>
      <c r="BO6">
        <f>Timeline!BO15</f>
        <v>64</v>
      </c>
      <c r="BP6">
        <f>Timeline!BP15</f>
        <v>65</v>
      </c>
      <c r="BQ6">
        <f>Timeline!BQ15</f>
        <v>66</v>
      </c>
      <c r="BR6">
        <f>Timeline!BR15</f>
        <v>67</v>
      </c>
      <c r="BS6">
        <f>Timeline!BS15</f>
        <v>68</v>
      </c>
      <c r="BT6">
        <f>Timeline!BT15</f>
        <v>69</v>
      </c>
      <c r="BU6">
        <f>Timeline!BU15</f>
        <v>70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">
        <v>274</v>
      </c>
      <c r="B9" t="s">
        <v>173</v>
      </c>
      <c r="C9" t="s">
        <v>131</v>
      </c>
      <c r="D9">
        <f>IF(D7=1,SUM($D$7:D7),0)</f>
        <v>0</v>
      </c>
      <c r="E9">
        <f>IF(E7=1,SUM($D$7:E7),0)</f>
        <v>0</v>
      </c>
      <c r="F9">
        <f>IF(F7=1,SUM($D$7:F7),0)</f>
        <v>0</v>
      </c>
      <c r="G9">
        <f>IF(G7=1,SUM($D$7:G7),0)</f>
        <v>0</v>
      </c>
      <c r="H9">
        <f>IF(H7=1,SUM($D$7:H7),0)</f>
        <v>1</v>
      </c>
      <c r="I9">
        <f>IF(I7=1,SUM($D$7:I7),0)</f>
        <v>2</v>
      </c>
      <c r="J9">
        <f>IF(J7=1,SUM($D$7:J7),0)</f>
        <v>3</v>
      </c>
      <c r="K9">
        <f>IF(K7=1,SUM($D$7:K7),0)</f>
        <v>4</v>
      </c>
      <c r="L9">
        <f>IF(L7=1,SUM($D$7:L7),0)</f>
        <v>5</v>
      </c>
      <c r="M9">
        <f>IF(M7=1,SUM($D$7:M7),0)</f>
        <v>6</v>
      </c>
      <c r="N9">
        <f>IF(N7=1,SUM($D$7:N7),0)</f>
        <v>7</v>
      </c>
      <c r="O9">
        <f>IF(O7=1,SUM($D$7:O7),0)</f>
        <v>8</v>
      </c>
      <c r="P9">
        <f>IF(P7=1,SUM($D$7:P7),0)</f>
        <v>9</v>
      </c>
      <c r="Q9">
        <f>IF(Q7=1,SUM($D$7:Q7),0)</f>
        <v>10</v>
      </c>
      <c r="R9">
        <f>IF(R7=1,SUM($D$7:R7),0)</f>
        <v>11</v>
      </c>
      <c r="S9">
        <f>IF(S7=1,SUM($D$7:S7),0)</f>
        <v>12</v>
      </c>
      <c r="T9">
        <f>IF(T7=1,SUM($D$7:T7),0)</f>
        <v>13</v>
      </c>
      <c r="U9">
        <f>IF(U7=1,SUM($D$7:U7),0)</f>
        <v>14</v>
      </c>
      <c r="V9">
        <f>IF(V7=1,SUM($D$7:V7),0)</f>
        <v>15</v>
      </c>
      <c r="W9">
        <f>IF(W7=1,SUM($D$7:W7),0)</f>
        <v>16</v>
      </c>
      <c r="X9">
        <f>IF(X7=1,SUM($D$7:X7),0)</f>
        <v>17</v>
      </c>
      <c r="Y9">
        <f>IF(Y7=1,SUM($D$7:Y7),0)</f>
        <v>18</v>
      </c>
      <c r="Z9">
        <f>IF(Z7=1,SUM($D$7:Z7),0)</f>
        <v>19</v>
      </c>
      <c r="AA9">
        <f>IF(AA7=1,SUM($D$7:AA7),0)</f>
        <v>20</v>
      </c>
      <c r="AB9">
        <f>IF(AB7=1,SUM($D$7:AB7),0)</f>
        <v>21</v>
      </c>
      <c r="AC9">
        <f>IF(AC7=1,SUM($D$7:AC7),0)</f>
        <v>22</v>
      </c>
      <c r="AD9">
        <f>IF(AD7=1,SUM($D$7:AD7),0)</f>
        <v>23</v>
      </c>
      <c r="AE9">
        <f>IF(AE7=1,SUM($D$7:AE7),0)</f>
        <v>24</v>
      </c>
      <c r="AF9">
        <f>IF(AF7=1,SUM($D$7:AF7),0)</f>
        <v>0</v>
      </c>
      <c r="AG9">
        <f>IF(AG7=1,SUM($D$7:AG7),0)</f>
        <v>0</v>
      </c>
      <c r="AH9">
        <f>IF(AH7=1,SUM($D$7:AH7),0)</f>
        <v>0</v>
      </c>
      <c r="AI9">
        <f>IF(AI7=1,SUM($D$7:AI7),0)</f>
        <v>0</v>
      </c>
      <c r="AJ9">
        <f>IF(AJ7=1,SUM($D$7:AJ7),0)</f>
        <v>0</v>
      </c>
      <c r="AK9">
        <f>IF(AK7=1,SUM($D$7:AK7),0)</f>
        <v>0</v>
      </c>
      <c r="AL9">
        <f>IF(AL7=1,SUM($D$7:AL7),0)</f>
        <v>0</v>
      </c>
      <c r="AM9">
        <f>IF(AM7=1,SUM($D$7:AM7),0)</f>
        <v>0</v>
      </c>
      <c r="AN9">
        <f>IF(AN7=1,SUM($D$7:AN7),0)</f>
        <v>0</v>
      </c>
      <c r="AO9">
        <f>IF(AO7=1,SUM($D$7:AO7),0)</f>
        <v>0</v>
      </c>
      <c r="AP9">
        <f>IF(AP7=1,SUM($D$7:AP7),0)</f>
        <v>0</v>
      </c>
      <c r="AQ9">
        <f>IF(AQ7=1,SUM($D$7:AQ7),0)</f>
        <v>0</v>
      </c>
      <c r="AR9">
        <f>IF(AR7=1,SUM($D$7:AR7),0)</f>
        <v>0</v>
      </c>
      <c r="AS9">
        <f>IF(AS7=1,SUM($D$7:AS7),0)</f>
        <v>0</v>
      </c>
      <c r="AT9">
        <f>IF(AT7=1,SUM($D$7:AT7),0)</f>
        <v>0</v>
      </c>
      <c r="AU9">
        <f>IF(AU7=1,SUM($D$7:AU7),0)</f>
        <v>0</v>
      </c>
      <c r="AV9">
        <f>IF(AV7=1,SUM($D$7:AV7),0)</f>
        <v>0</v>
      </c>
      <c r="AW9">
        <f>IF(AW7=1,SUM($D$7:AW7),0)</f>
        <v>0</v>
      </c>
      <c r="AX9">
        <f>IF(AX7=1,SUM($D$7:AX7),0)</f>
        <v>0</v>
      </c>
      <c r="AY9">
        <f>IF(AY7=1,SUM($D$7:AY7),0)</f>
        <v>0</v>
      </c>
      <c r="AZ9">
        <f>IF(AZ7=1,SUM($D$7:AZ7),0)</f>
        <v>0</v>
      </c>
      <c r="BA9">
        <f>IF(BA7=1,SUM($D$7:BA7),0)</f>
        <v>0</v>
      </c>
      <c r="BB9">
        <f>IF(BB7=1,SUM($D$7:BB7),0)</f>
        <v>0</v>
      </c>
      <c r="BC9">
        <f>IF(BC7=1,SUM($D$7:BC7),0)</f>
        <v>0</v>
      </c>
      <c r="BD9">
        <f>IF(BD7=1,SUM($D$7:BD7),0)</f>
        <v>0</v>
      </c>
      <c r="BE9">
        <f>IF(BE7=1,SUM($D$7:BE7),0)</f>
        <v>0</v>
      </c>
      <c r="BF9">
        <f>IF(BF7=1,SUM($D$7:BF7),0)</f>
        <v>0</v>
      </c>
      <c r="BG9">
        <f>IF(BG7=1,SUM($D$7:BG7),0)</f>
        <v>0</v>
      </c>
      <c r="BH9">
        <f>IF(BH7=1,SUM($D$7:BH7),0)</f>
        <v>0</v>
      </c>
      <c r="BI9">
        <f>IF(BI7=1,SUM($D$7:BI7),0)</f>
        <v>0</v>
      </c>
      <c r="BJ9">
        <f>IF(BJ7=1,SUM($D$7:BJ7),0)</f>
        <v>0</v>
      </c>
      <c r="BK9">
        <f>IF(BK7=1,SUM($D$7:BK7),0)</f>
        <v>0</v>
      </c>
      <c r="BL9">
        <f>IF(BL7=1,SUM($D$7:BL7),0)</f>
        <v>0</v>
      </c>
      <c r="BM9">
        <f>IF(BM7=1,SUM($D$7:BM7),0)</f>
        <v>0</v>
      </c>
      <c r="BN9">
        <f>IF(BN7=1,SUM($D$7:BN7),0)</f>
        <v>0</v>
      </c>
      <c r="BO9">
        <f>IF(BO7=1,SUM($D$7:BO7),0)</f>
        <v>0</v>
      </c>
      <c r="BP9">
        <f>IF(BP7=1,SUM($D$7:BP7),0)</f>
        <v>0</v>
      </c>
      <c r="BQ9">
        <f>IF(BQ7=1,SUM($D$7:BQ7),0)</f>
        <v>0</v>
      </c>
      <c r="BR9">
        <f>IF(BR7=1,SUM($D$7:BR7),0)</f>
        <v>0</v>
      </c>
      <c r="BS9">
        <f>IF(BS7=1,SUM($D$7:BS7),0)</f>
        <v>0</v>
      </c>
      <c r="BT9">
        <f>IF(BT7=1,SUM($D$7:BT7),0)</f>
        <v>0</v>
      </c>
      <c r="BU9">
        <f>IF(BU7=1,SUM($D$7:BU7),0)</f>
        <v>0</v>
      </c>
    </row>
    <row r="10" spans="1:73">
      <c r="A10" t="s">
        <v>275</v>
      </c>
      <c r="B10" t="s">
        <v>184</v>
      </c>
      <c r="C10">
        <f>SUM(D10:BU10)</f>
        <v>12963649.757217973</v>
      </c>
      <c r="D10">
        <f>D8/Inputs!$B$46 * D7</f>
        <v>0</v>
      </c>
      <c r="E10">
        <f>E8/Inputs!$B$46 * E7</f>
        <v>0</v>
      </c>
      <c r="F10">
        <f>F8/Inputs!$B$46 * F7</f>
        <v>0</v>
      </c>
      <c r="G10">
        <f>G8/Inputs!$B$46 * G7</f>
        <v>0</v>
      </c>
      <c r="H10">
        <f>H8/Inputs!$B$46 * H7</f>
        <v>903981.04365520866</v>
      </c>
      <c r="I10">
        <f>I8/Inputs!$B$46 * I7</f>
        <v>272549.08357109292</v>
      </c>
      <c r="J10">
        <f>J8/Inputs!$B$46 * J7</f>
        <v>895849.6999988649</v>
      </c>
      <c r="K10">
        <f>K8/Inputs!$B$46 * K7</f>
        <v>264337.10730062547</v>
      </c>
      <c r="L10">
        <f>L8/Inputs!$B$46 * L7</f>
        <v>887555.84188643354</v>
      </c>
      <c r="M10">
        <f>M8/Inputs!$B$46 * M7</f>
        <v>255937.8283719483</v>
      </c>
      <c r="N10">
        <f>N8/Inputs!$B$46 * N7</f>
        <v>879072.81351581938</v>
      </c>
      <c r="O10">
        <f>O8/Inputs!$B$46 * O7</f>
        <v>247393.85665057914</v>
      </c>
      <c r="P10">
        <f>P8/Inputs!$B$46 * P7</f>
        <v>870443.64961668535</v>
      </c>
      <c r="Q10">
        <f>Q8/Inputs!$B$46 * Q7</f>
        <v>238679.12361646621</v>
      </c>
      <c r="R10">
        <f>R8/Inputs!$B$46 * R7</f>
        <v>861642.02173904702</v>
      </c>
      <c r="S10">
        <f>S8/Inputs!$B$46 * S7</f>
        <v>229790.21640415533</v>
      </c>
      <c r="T10">
        <f>T8/Inputs!$B$46 * T7</f>
        <v>852664.48298767407</v>
      </c>
      <c r="U10">
        <f>U8/Inputs!$B$46 * U7</f>
        <v>220698.5667709448</v>
      </c>
      <c r="V10">
        <f>V8/Inputs!$B$46 * V7</f>
        <v>843482.18026512919</v>
      </c>
      <c r="W10">
        <f>W8/Inputs!$B$46 * W7</f>
        <v>211450.29700560434</v>
      </c>
      <c r="X10">
        <f>X8/Inputs!$B$46 * X7</f>
        <v>834141.69574679539</v>
      </c>
      <c r="Y10">
        <f>Y8/Inputs!$B$46 * Y7</f>
        <v>202017.18970366623</v>
      </c>
      <c r="Z10">
        <f>Z8/Inputs!$B$46 * Z7</f>
        <v>824614.53067168687</v>
      </c>
      <c r="AA10">
        <f>AA8/Inputs!$B$46 * AA7</f>
        <v>192395.55066980497</v>
      </c>
      <c r="AB10">
        <f>AB8/Inputs!$B$46 * AB7</f>
        <v>814896.95400955481</v>
      </c>
      <c r="AC10">
        <f>AC8/Inputs!$B$46 * AC7</f>
        <v>182554.45671936564</v>
      </c>
      <c r="AD10">
        <f>AD8/Inputs!$B$46 * AD7</f>
        <v>804957.73423981643</v>
      </c>
      <c r="AE10">
        <f>AE8/Inputs!$B$46 * AE7</f>
        <v>172543.83210100542</v>
      </c>
      <c r="AF10">
        <f>AF8/Inputs!$B$46 * AF7</f>
        <v>0</v>
      </c>
      <c r="AG10">
        <f>AG8/Inputs!$B$46 * AG7</f>
        <v>0</v>
      </c>
      <c r="AH10">
        <f>AH8/Inputs!$B$46 * AH7</f>
        <v>0</v>
      </c>
      <c r="AI10">
        <f>AI8/Inputs!$B$46 * AI7</f>
        <v>0</v>
      </c>
      <c r="AJ10">
        <f>AJ8/Inputs!$B$46 * AJ7</f>
        <v>0</v>
      </c>
      <c r="AK10">
        <f>AK8/Inputs!$B$46 * AK7</f>
        <v>0</v>
      </c>
      <c r="AL10">
        <f>AL8/Inputs!$B$46 * AL7</f>
        <v>0</v>
      </c>
      <c r="AM10">
        <f>AM8/Inputs!$B$46 * AM7</f>
        <v>0</v>
      </c>
      <c r="AN10">
        <f>AN8/Inputs!$B$46 * AN7</f>
        <v>0</v>
      </c>
      <c r="AO10">
        <f>AO8/Inputs!$B$46 * AO7</f>
        <v>0</v>
      </c>
      <c r="AP10">
        <f>AP8/Inputs!$B$46 * AP7</f>
        <v>0</v>
      </c>
      <c r="AQ10">
        <f>AQ8/Inputs!$B$46 * AQ7</f>
        <v>0</v>
      </c>
      <c r="AR10">
        <f>AR8/Inputs!$B$46 * AR7</f>
        <v>0</v>
      </c>
      <c r="AS10">
        <f>AS8/Inputs!$B$46 * AS7</f>
        <v>0</v>
      </c>
      <c r="AT10">
        <f>AT8/Inputs!$B$46 * AT7</f>
        <v>0</v>
      </c>
      <c r="AU10">
        <f>AU8/Inputs!$B$46 * AU7</f>
        <v>0</v>
      </c>
      <c r="AV10">
        <f>AV8/Inputs!$B$46 * AV7</f>
        <v>0</v>
      </c>
      <c r="AW10">
        <f>AW8/Inputs!$B$46 * AW7</f>
        <v>0</v>
      </c>
      <c r="AX10">
        <f>AX8/Inputs!$B$46 * AX7</f>
        <v>0</v>
      </c>
      <c r="AY10">
        <f>AY8/Inputs!$B$46 * AY7</f>
        <v>0</v>
      </c>
      <c r="AZ10">
        <f>AZ8/Inputs!$B$46 * AZ7</f>
        <v>0</v>
      </c>
      <c r="BA10">
        <f>BA8/Inputs!$B$46 * BA7</f>
        <v>0</v>
      </c>
      <c r="BB10">
        <f>BB8/Inputs!$B$46 * BB7</f>
        <v>0</v>
      </c>
      <c r="BC10">
        <f>BC8/Inputs!$B$46 * BC7</f>
        <v>0</v>
      </c>
      <c r="BD10">
        <f>BD8/Inputs!$B$46 * BD7</f>
        <v>0</v>
      </c>
      <c r="BE10">
        <f>BE8/Inputs!$B$46 * BE7</f>
        <v>0</v>
      </c>
      <c r="BF10">
        <f>BF8/Inputs!$B$46 * BF7</f>
        <v>0</v>
      </c>
      <c r="BG10">
        <f>BG8/Inputs!$B$46 * BG7</f>
        <v>0</v>
      </c>
      <c r="BH10">
        <f>BH8/Inputs!$B$46 * BH7</f>
        <v>0</v>
      </c>
      <c r="BI10">
        <f>BI8/Inputs!$B$46 * BI7</f>
        <v>0</v>
      </c>
      <c r="BJ10">
        <f>BJ8/Inputs!$B$46 * BJ7</f>
        <v>0</v>
      </c>
      <c r="BK10">
        <f>BK8/Inputs!$B$46 * BK7</f>
        <v>0</v>
      </c>
      <c r="BL10">
        <f>BL8/Inputs!$B$46 * BL7</f>
        <v>0</v>
      </c>
      <c r="BM10">
        <f>BM8/Inputs!$B$46 * BM7</f>
        <v>0</v>
      </c>
      <c r="BN10">
        <f>BN8/Inputs!$B$46 * BN7</f>
        <v>0</v>
      </c>
      <c r="BO10">
        <f>BO8/Inputs!$B$46 * BO7</f>
        <v>0</v>
      </c>
      <c r="BP10">
        <f>BP8/Inputs!$B$46 * BP7</f>
        <v>0</v>
      </c>
      <c r="BQ10">
        <f>BQ8/Inputs!$B$46 * BQ7</f>
        <v>0</v>
      </c>
      <c r="BR10">
        <f>BR8/Inputs!$B$46 * BR7</f>
        <v>0</v>
      </c>
      <c r="BS10">
        <f>BS8/Inputs!$B$46 * BS7</f>
        <v>0</v>
      </c>
      <c r="BT10">
        <f>BT8/Inputs!$B$46 * BT7</f>
        <v>0</v>
      </c>
      <c r="BU10">
        <f>BU8/Inputs!$B$46 * BU7</f>
        <v>0</v>
      </c>
    </row>
    <row r="11" spans="1:73">
      <c r="A11" t="s">
        <v>276</v>
      </c>
      <c r="B11" t="s">
        <v>39</v>
      </c>
      <c r="D11">
        <f>1/(1+Inputs!$B$44)^D9 * D7</f>
        <v>0</v>
      </c>
      <c r="E11">
        <f>1/(1+Inputs!$B$44)^E9 * E7</f>
        <v>0</v>
      </c>
      <c r="F11">
        <f>1/(1+Inputs!$B$44)^F9 * F7</f>
        <v>0</v>
      </c>
      <c r="G11">
        <f>1/(1+Inputs!$B$44)^G9 * G7</f>
        <v>0</v>
      </c>
      <c r="H11">
        <f>1/(1+Inputs!$B$44)^H9 * H7</f>
        <v>0.95693779904306231</v>
      </c>
      <c r="I11">
        <f>1/(1+Inputs!$B$44)^I9 * I7</f>
        <v>0.91572995123738021</v>
      </c>
      <c r="J11">
        <f>1/(1+Inputs!$B$44)^J9 * J7</f>
        <v>0.87629660405490928</v>
      </c>
      <c r="K11">
        <f>1/(1+Inputs!$B$44)^K9 * K7</f>
        <v>0.83856134359321488</v>
      </c>
      <c r="L11">
        <f>1/(1+Inputs!$B$44)^L9 * L7</f>
        <v>0.80245104650068411</v>
      </c>
      <c r="M11">
        <f>1/(1+Inputs!$B$44)^M9 * M7</f>
        <v>0.76789573827816682</v>
      </c>
      <c r="N11">
        <f>1/(1+Inputs!$B$44)^N9 * N7</f>
        <v>0.73482845768245619</v>
      </c>
      <c r="O11">
        <f>1/(1+Inputs!$B$44)^O9 * O7</f>
        <v>0.70318512696885782</v>
      </c>
      <c r="P11">
        <f>1/(1+Inputs!$B$44)^P9 * P7</f>
        <v>0.67290442772139514</v>
      </c>
      <c r="Q11">
        <f>1/(1+Inputs!$B$44)^Q9 * Q7</f>
        <v>0.64392768203004325</v>
      </c>
      <c r="R11">
        <f>1/(1+Inputs!$B$44)^R9 * R7</f>
        <v>0.61619873878473042</v>
      </c>
      <c r="S11">
        <f>1/(1+Inputs!$B$44)^S9 * S7</f>
        <v>0.58966386486577083</v>
      </c>
      <c r="T11">
        <f>1/(1+Inputs!$B$44)^T9 * T7</f>
        <v>0.56427164101987637</v>
      </c>
      <c r="U11">
        <f>1/(1+Inputs!$B$44)^U9 * U7</f>
        <v>0.53997286221997753</v>
      </c>
      <c r="V11">
        <f>1/(1+Inputs!$B$44)^V9 * V7</f>
        <v>0.51672044231576797</v>
      </c>
      <c r="W11">
        <f>1/(1+Inputs!$B$44)^W9 * W7</f>
        <v>0.49446932279020878</v>
      </c>
      <c r="X11">
        <f>1/(1+Inputs!$B$44)^X9 * X7</f>
        <v>0.47317638544517582</v>
      </c>
      <c r="Y11">
        <f>1/(1+Inputs!$B$44)^Y9 * Y7</f>
        <v>0.45280036884705832</v>
      </c>
      <c r="Z11">
        <f>1/(1+Inputs!$B$44)^Z9 * Z7</f>
        <v>0.43330178837039074</v>
      </c>
      <c r="AA11">
        <f>1/(1+Inputs!$B$44)^AA9 * AA7</f>
        <v>0.41464285968458453</v>
      </c>
      <c r="AB11">
        <f>1/(1+Inputs!$B$44)^AB9 * AB7</f>
        <v>0.39678742553548757</v>
      </c>
      <c r="AC11">
        <f>1/(1+Inputs!$B$44)^AC9 * AC7</f>
        <v>0.37970088567989252</v>
      </c>
      <c r="AD11">
        <f>1/(1+Inputs!$B$44)^AD9 * AD7</f>
        <v>0.36335012983721771</v>
      </c>
      <c r="AE11">
        <f>1/(1+Inputs!$B$44)^AE9 * AE7</f>
        <v>0.34770347352843806</v>
      </c>
      <c r="AF11">
        <f>1/(1+Inputs!$B$44)^AF9 * AF7</f>
        <v>0</v>
      </c>
      <c r="AG11">
        <f>1/(1+Inputs!$B$44)^AG9 * AG7</f>
        <v>0</v>
      </c>
      <c r="AH11">
        <f>1/(1+Inputs!$B$44)^AH9 * AH7</f>
        <v>0</v>
      </c>
      <c r="AI11">
        <f>1/(1+Inputs!$B$44)^AI9 * AI7</f>
        <v>0</v>
      </c>
      <c r="AJ11">
        <f>1/(1+Inputs!$B$44)^AJ9 * AJ7</f>
        <v>0</v>
      </c>
      <c r="AK11">
        <f>1/(1+Inputs!$B$44)^AK9 * AK7</f>
        <v>0</v>
      </c>
      <c r="AL11">
        <f>1/(1+Inputs!$B$44)^AL9 * AL7</f>
        <v>0</v>
      </c>
      <c r="AM11">
        <f>1/(1+Inputs!$B$44)^AM9 * AM7</f>
        <v>0</v>
      </c>
      <c r="AN11">
        <f>1/(1+Inputs!$B$44)^AN9 * AN7</f>
        <v>0</v>
      </c>
      <c r="AO11">
        <f>1/(1+Inputs!$B$44)^AO9 * AO7</f>
        <v>0</v>
      </c>
      <c r="AP11">
        <f>1/(1+Inputs!$B$44)^AP9 * AP7</f>
        <v>0</v>
      </c>
      <c r="AQ11">
        <f>1/(1+Inputs!$B$44)^AQ9 * AQ7</f>
        <v>0</v>
      </c>
      <c r="AR11">
        <f>1/(1+Inputs!$B$44)^AR9 * AR7</f>
        <v>0</v>
      </c>
      <c r="AS11">
        <f>1/(1+Inputs!$B$44)^AS9 * AS7</f>
        <v>0</v>
      </c>
      <c r="AT11">
        <f>1/(1+Inputs!$B$44)^AT9 * AT7</f>
        <v>0</v>
      </c>
      <c r="AU11">
        <f>1/(1+Inputs!$B$44)^AU9 * AU7</f>
        <v>0</v>
      </c>
      <c r="AV11">
        <f>1/(1+Inputs!$B$44)^AV9 * AV7</f>
        <v>0</v>
      </c>
      <c r="AW11">
        <f>1/(1+Inputs!$B$44)^AW9 * AW7</f>
        <v>0</v>
      </c>
      <c r="AX11">
        <f>1/(1+Inputs!$B$44)^AX9 * AX7</f>
        <v>0</v>
      </c>
      <c r="AY11">
        <f>1/(1+Inputs!$B$44)^AY9 * AY7</f>
        <v>0</v>
      </c>
      <c r="AZ11">
        <f>1/(1+Inputs!$B$44)^AZ9 * AZ7</f>
        <v>0</v>
      </c>
      <c r="BA11">
        <f>1/(1+Inputs!$B$44)^BA9 * BA7</f>
        <v>0</v>
      </c>
      <c r="BB11">
        <f>1/(1+Inputs!$B$44)^BB9 * BB7</f>
        <v>0</v>
      </c>
      <c r="BC11">
        <f>1/(1+Inputs!$B$44)^BC9 * BC7</f>
        <v>0</v>
      </c>
      <c r="BD11">
        <f>1/(1+Inputs!$B$44)^BD9 * BD7</f>
        <v>0</v>
      </c>
      <c r="BE11">
        <f>1/(1+Inputs!$B$44)^BE9 * BE7</f>
        <v>0</v>
      </c>
      <c r="BF11">
        <f>1/(1+Inputs!$B$44)^BF9 * BF7</f>
        <v>0</v>
      </c>
      <c r="BG11">
        <f>1/(1+Inputs!$B$44)^BG9 * BG7</f>
        <v>0</v>
      </c>
      <c r="BH11">
        <f>1/(1+Inputs!$B$44)^BH9 * BH7</f>
        <v>0</v>
      </c>
      <c r="BI11">
        <f>1/(1+Inputs!$B$44)^BI9 * BI7</f>
        <v>0</v>
      </c>
      <c r="BJ11">
        <f>1/(1+Inputs!$B$44)^BJ9 * BJ7</f>
        <v>0</v>
      </c>
      <c r="BK11">
        <f>1/(1+Inputs!$B$44)^BK9 * BK7</f>
        <v>0</v>
      </c>
      <c r="BL11">
        <f>1/(1+Inputs!$B$44)^BL9 * BL7</f>
        <v>0</v>
      </c>
      <c r="BM11">
        <f>1/(1+Inputs!$B$44)^BM9 * BM7</f>
        <v>0</v>
      </c>
      <c r="BN11">
        <f>1/(1+Inputs!$B$44)^BN9 * BN7</f>
        <v>0</v>
      </c>
      <c r="BO11">
        <f>1/(1+Inputs!$B$44)^BO9 * BO7</f>
        <v>0</v>
      </c>
      <c r="BP11">
        <f>1/(1+Inputs!$B$44)^BP9 * BP7</f>
        <v>0</v>
      </c>
      <c r="BQ11">
        <f>1/(1+Inputs!$B$44)^BQ9 * BQ7</f>
        <v>0</v>
      </c>
      <c r="BR11">
        <f>1/(1+Inputs!$B$44)^BR9 * BR7</f>
        <v>0</v>
      </c>
      <c r="BS11">
        <f>1/(1+Inputs!$B$44)^BS9 * BS7</f>
        <v>0</v>
      </c>
      <c r="BT11">
        <f>1/(1+Inputs!$B$44)^BT9 * BT7</f>
        <v>0</v>
      </c>
      <c r="BU11">
        <f>1/(1+Inputs!$B$44)^BU9 * BU7</f>
        <v>0</v>
      </c>
    </row>
    <row r="12" spans="1:73">
      <c r="A12" t="s">
        <v>277</v>
      </c>
      <c r="B12" t="s">
        <v>184</v>
      </c>
      <c r="C12">
        <f>SUM(D12:BU12)</f>
        <v>8064962.5333756506</v>
      </c>
      <c r="D12">
        <f>D11*D10</f>
        <v>0</v>
      </c>
      <c r="E12">
        <f t="shared" ref="E12:BP12" si="0">E11*E10</f>
        <v>0</v>
      </c>
      <c r="F12">
        <f t="shared" si="0"/>
        <v>0</v>
      </c>
      <c r="G12">
        <f t="shared" si="0"/>
        <v>0</v>
      </c>
      <c r="H12">
        <f t="shared" si="0"/>
        <v>865053.63029206579</v>
      </c>
      <c r="I12">
        <f t="shared" si="0"/>
        <v>249581.35900834959</v>
      </c>
      <c r="J12">
        <f t="shared" si="0"/>
        <v>785030.04985261452</v>
      </c>
      <c r="K12">
        <f t="shared" si="0"/>
        <v>221662.8798595563</v>
      </c>
      <c r="L12">
        <f t="shared" si="0"/>
        <v>712220.1141495643</v>
      </c>
      <c r="M12">
        <f t="shared" si="0"/>
        <v>196533.56767098798</v>
      </c>
      <c r="N12">
        <f t="shared" si="0"/>
        <v>645967.71974640701</v>
      </c>
      <c r="O12">
        <f t="shared" si="0"/>
        <v>173963.6805001529</v>
      </c>
      <c r="P12">
        <f t="shared" si="0"/>
        <v>585725.38590903825</v>
      </c>
      <c r="Q12">
        <f t="shared" si="0"/>
        <v>153692.09481931324</v>
      </c>
      <c r="R12">
        <f t="shared" si="0"/>
        <v>530942.72707952606</v>
      </c>
      <c r="S12">
        <f t="shared" si="0"/>
        <v>135498.98711321608</v>
      </c>
      <c r="T12">
        <f t="shared" si="0"/>
        <v>481134.38705481932</v>
      </c>
      <c r="U12">
        <f t="shared" si="0"/>
        <v>119171.23678715389</v>
      </c>
      <c r="V12">
        <f t="shared" si="0"/>
        <v>435844.48527206591</v>
      </c>
      <c r="W12">
        <f t="shared" si="0"/>
        <v>104555.68516414969</v>
      </c>
      <c r="X12">
        <f t="shared" si="0"/>
        <v>394696.15254257823</v>
      </c>
      <c r="Y12">
        <f t="shared" si="0"/>
        <v>91473.458011266222</v>
      </c>
      <c r="Z12">
        <f t="shared" si="0"/>
        <v>357306.95085625234</v>
      </c>
      <c r="AA12">
        <f t="shared" si="0"/>
        <v>79775.441320318321</v>
      </c>
      <c r="AB12">
        <f t="shared" si="0"/>
        <v>323340.86445816187</v>
      </c>
      <c r="AC12">
        <f t="shared" si="0"/>
        <v>69316.088901154741</v>
      </c>
      <c r="AD12">
        <f t="shared" si="0"/>
        <v>292481.49724950991</v>
      </c>
      <c r="AE12">
        <f t="shared" si="0"/>
        <v>59994.089757427202</v>
      </c>
      <c r="AF12">
        <f t="shared" si="0"/>
        <v>0</v>
      </c>
      <c r="AG12">
        <f t="shared" si="0"/>
        <v>0</v>
      </c>
      <c r="AH12">
        <f t="shared" si="0"/>
        <v>0</v>
      </c>
      <c r="AI12">
        <f t="shared" si="0"/>
        <v>0</v>
      </c>
      <c r="AJ12">
        <f t="shared" si="0"/>
        <v>0</v>
      </c>
      <c r="AK12">
        <f t="shared" si="0"/>
        <v>0</v>
      </c>
      <c r="AL12">
        <f t="shared" si="0"/>
        <v>0</v>
      </c>
      <c r="AM12">
        <f t="shared" si="0"/>
        <v>0</v>
      </c>
      <c r="AN12">
        <f t="shared" si="0"/>
        <v>0</v>
      </c>
      <c r="AO12">
        <f t="shared" si="0"/>
        <v>0</v>
      </c>
      <c r="AP12">
        <f t="shared" si="0"/>
        <v>0</v>
      </c>
      <c r="AQ12">
        <f t="shared" si="0"/>
        <v>0</v>
      </c>
      <c r="AR12">
        <f t="shared" si="0"/>
        <v>0</v>
      </c>
      <c r="AS12">
        <f t="shared" si="0"/>
        <v>0</v>
      </c>
      <c r="AT12">
        <f t="shared" si="0"/>
        <v>0</v>
      </c>
      <c r="AU12">
        <f t="shared" si="0"/>
        <v>0</v>
      </c>
      <c r="AV12">
        <f t="shared" si="0"/>
        <v>0</v>
      </c>
      <c r="AW12">
        <f t="shared" si="0"/>
        <v>0</v>
      </c>
      <c r="AX12">
        <f t="shared" si="0"/>
        <v>0</v>
      </c>
      <c r="AY12">
        <f t="shared" si="0"/>
        <v>0</v>
      </c>
      <c r="AZ12">
        <f t="shared" si="0"/>
        <v>0</v>
      </c>
      <c r="BA12">
        <f t="shared" si="0"/>
        <v>0</v>
      </c>
      <c r="BB12">
        <f t="shared" si="0"/>
        <v>0</v>
      </c>
      <c r="BC12">
        <f t="shared" si="0"/>
        <v>0</v>
      </c>
      <c r="BD12">
        <f t="shared" si="0"/>
        <v>0</v>
      </c>
      <c r="BE12">
        <f t="shared" si="0"/>
        <v>0</v>
      </c>
      <c r="BF12">
        <f t="shared" si="0"/>
        <v>0</v>
      </c>
      <c r="BG12">
        <f t="shared" si="0"/>
        <v>0</v>
      </c>
      <c r="BH12">
        <f t="shared" si="0"/>
        <v>0</v>
      </c>
      <c r="BI12">
        <f t="shared" si="0"/>
        <v>0</v>
      </c>
      <c r="BJ12">
        <f t="shared" si="0"/>
        <v>0</v>
      </c>
      <c r="BK12">
        <f t="shared" si="0"/>
        <v>0</v>
      </c>
      <c r="BL12">
        <f t="shared" si="0"/>
        <v>0</v>
      </c>
      <c r="BM12">
        <f t="shared" si="0"/>
        <v>0</v>
      </c>
      <c r="BN12">
        <f t="shared" si="0"/>
        <v>0</v>
      </c>
      <c r="BO12">
        <f t="shared" si="0"/>
        <v>0</v>
      </c>
      <c r="BP12">
        <f t="shared" si="0"/>
        <v>0</v>
      </c>
      <c r="BQ12">
        <f t="shared" ref="BQ12:BU12" si="1">BQ11*BQ10</f>
        <v>0</v>
      </c>
      <c r="BR12">
        <f t="shared" si="1"/>
        <v>0</v>
      </c>
      <c r="BS12">
        <f t="shared" si="1"/>
        <v>0</v>
      </c>
      <c r="BT12">
        <f t="shared" si="1"/>
        <v>0</v>
      </c>
      <c r="BU12">
        <f t="shared" si="1"/>
        <v>0</v>
      </c>
    </row>
    <row r="13" spans="1:73">
      <c r="A13" t="s">
        <v>278</v>
      </c>
      <c r="B13" t="s">
        <v>184</v>
      </c>
      <c r="C13">
        <f>SUM(D12:BU12)</f>
        <v>8064962.5333756506</v>
      </c>
    </row>
    <row r="14" spans="1:73">
      <c r="A14" t="s">
        <v>279</v>
      </c>
      <c r="B14" t="s">
        <v>184</v>
      </c>
      <c r="C14">
        <f>Inputs!$B$49 * Construction!$C$53</f>
        <v>26036467.654788174</v>
      </c>
    </row>
    <row r="15" spans="1:73">
      <c r="A15" t="s">
        <v>280</v>
      </c>
      <c r="B15" t="s">
        <v>184</v>
      </c>
      <c r="C15" s="65">
        <f>MIN(C13,C14)</f>
        <v>8064962.5333756506</v>
      </c>
    </row>
    <row r="16" spans="1:73">
      <c r="A16" t="s">
        <v>281</v>
      </c>
      <c r="B16" t="s">
        <v>131</v>
      </c>
      <c r="C16" t="str">
        <f>IF(C15=C13,"DSCR","Gearing")</f>
        <v>DSCR</v>
      </c>
    </row>
    <row r="17" spans="1:73">
      <c r="A17" t="s">
        <v>282</v>
      </c>
      <c r="B17" t="s">
        <v>39</v>
      </c>
      <c r="C17" s="65">
        <f>C15/C13</f>
        <v>1</v>
      </c>
    </row>
    <row r="18" spans="1:73">
      <c r="A18" t="s">
        <v>283</v>
      </c>
      <c r="B18" t="s">
        <v>184</v>
      </c>
      <c r="C18">
        <f>SUM(D18:BU18)</f>
        <v>12963649.757217973</v>
      </c>
      <c r="D18">
        <f>D10*$C$17</f>
        <v>0</v>
      </c>
      <c r="E18">
        <f t="shared" ref="E18:BP18" si="2">E10*$C$17</f>
        <v>0</v>
      </c>
      <c r="F18">
        <f t="shared" si="2"/>
        <v>0</v>
      </c>
      <c r="G18">
        <f t="shared" si="2"/>
        <v>0</v>
      </c>
      <c r="H18">
        <f t="shared" si="2"/>
        <v>903981.04365520866</v>
      </c>
      <c r="I18">
        <f t="shared" si="2"/>
        <v>272549.08357109292</v>
      </c>
      <c r="J18">
        <f t="shared" si="2"/>
        <v>895849.6999988649</v>
      </c>
      <c r="K18">
        <f t="shared" si="2"/>
        <v>264337.10730062547</v>
      </c>
      <c r="L18">
        <f t="shared" si="2"/>
        <v>887555.84188643354</v>
      </c>
      <c r="M18">
        <f t="shared" si="2"/>
        <v>255937.8283719483</v>
      </c>
      <c r="N18">
        <f t="shared" si="2"/>
        <v>879072.81351581938</v>
      </c>
      <c r="O18">
        <f t="shared" si="2"/>
        <v>247393.85665057914</v>
      </c>
      <c r="P18">
        <f t="shared" si="2"/>
        <v>870443.64961668535</v>
      </c>
      <c r="Q18">
        <f t="shared" si="2"/>
        <v>238679.12361646621</v>
      </c>
      <c r="R18">
        <f t="shared" si="2"/>
        <v>861642.02173904702</v>
      </c>
      <c r="S18">
        <f t="shared" si="2"/>
        <v>229790.21640415533</v>
      </c>
      <c r="T18">
        <f t="shared" si="2"/>
        <v>852664.48298767407</v>
      </c>
      <c r="U18">
        <f t="shared" si="2"/>
        <v>220698.5667709448</v>
      </c>
      <c r="V18">
        <f t="shared" si="2"/>
        <v>843482.18026512919</v>
      </c>
      <c r="W18">
        <f t="shared" si="2"/>
        <v>211450.29700560434</v>
      </c>
      <c r="X18">
        <f t="shared" si="2"/>
        <v>834141.69574679539</v>
      </c>
      <c r="Y18">
        <f t="shared" si="2"/>
        <v>202017.18970366623</v>
      </c>
      <c r="Z18">
        <f t="shared" si="2"/>
        <v>824614.53067168687</v>
      </c>
      <c r="AA18">
        <f t="shared" si="2"/>
        <v>192395.55066980497</v>
      </c>
      <c r="AB18">
        <f t="shared" si="2"/>
        <v>814896.95400955481</v>
      </c>
      <c r="AC18">
        <f t="shared" si="2"/>
        <v>182554.45671936564</v>
      </c>
      <c r="AD18">
        <f t="shared" si="2"/>
        <v>804957.73423981643</v>
      </c>
      <c r="AE18">
        <f t="shared" si="2"/>
        <v>172543.83210100542</v>
      </c>
      <c r="AF18">
        <f t="shared" si="2"/>
        <v>0</v>
      </c>
      <c r="AG18">
        <f t="shared" si="2"/>
        <v>0</v>
      </c>
      <c r="AH18">
        <f t="shared" si="2"/>
        <v>0</v>
      </c>
      <c r="AI18">
        <f t="shared" si="2"/>
        <v>0</v>
      </c>
      <c r="AJ18">
        <f t="shared" si="2"/>
        <v>0</v>
      </c>
      <c r="AK18">
        <f t="shared" si="2"/>
        <v>0</v>
      </c>
      <c r="AL18">
        <f t="shared" si="2"/>
        <v>0</v>
      </c>
      <c r="AM18">
        <f t="shared" si="2"/>
        <v>0</v>
      </c>
      <c r="AN18">
        <f t="shared" si="2"/>
        <v>0</v>
      </c>
      <c r="AO18">
        <f t="shared" si="2"/>
        <v>0</v>
      </c>
      <c r="AP18">
        <f t="shared" si="2"/>
        <v>0</v>
      </c>
      <c r="AQ18">
        <f t="shared" si="2"/>
        <v>0</v>
      </c>
      <c r="AR18">
        <f t="shared" si="2"/>
        <v>0</v>
      </c>
      <c r="AS18">
        <f t="shared" si="2"/>
        <v>0</v>
      </c>
      <c r="AT18">
        <f t="shared" si="2"/>
        <v>0</v>
      </c>
      <c r="AU18">
        <f t="shared" si="2"/>
        <v>0</v>
      </c>
      <c r="AV18">
        <f t="shared" si="2"/>
        <v>0</v>
      </c>
      <c r="AW18">
        <f t="shared" si="2"/>
        <v>0</v>
      </c>
      <c r="AX18">
        <f t="shared" si="2"/>
        <v>0</v>
      </c>
      <c r="AY18">
        <f t="shared" si="2"/>
        <v>0</v>
      </c>
      <c r="AZ18">
        <f t="shared" si="2"/>
        <v>0</v>
      </c>
      <c r="BA18">
        <f t="shared" si="2"/>
        <v>0</v>
      </c>
      <c r="BB18">
        <f t="shared" si="2"/>
        <v>0</v>
      </c>
      <c r="BC18">
        <f t="shared" si="2"/>
        <v>0</v>
      </c>
      <c r="BD18">
        <f t="shared" si="2"/>
        <v>0</v>
      </c>
      <c r="BE18">
        <f t="shared" si="2"/>
        <v>0</v>
      </c>
      <c r="BF18">
        <f t="shared" si="2"/>
        <v>0</v>
      </c>
      <c r="BG18">
        <f t="shared" si="2"/>
        <v>0</v>
      </c>
      <c r="BH18">
        <f t="shared" si="2"/>
        <v>0</v>
      </c>
      <c r="BI18">
        <f t="shared" si="2"/>
        <v>0</v>
      </c>
      <c r="BJ18">
        <f t="shared" si="2"/>
        <v>0</v>
      </c>
      <c r="BK18">
        <f t="shared" si="2"/>
        <v>0</v>
      </c>
      <c r="BL18">
        <f t="shared" si="2"/>
        <v>0</v>
      </c>
      <c r="BM18">
        <f t="shared" si="2"/>
        <v>0</v>
      </c>
      <c r="BN18">
        <f t="shared" si="2"/>
        <v>0</v>
      </c>
      <c r="BO18">
        <f t="shared" si="2"/>
        <v>0</v>
      </c>
      <c r="BP18">
        <f t="shared" si="2"/>
        <v>0</v>
      </c>
      <c r="BQ18">
        <f t="shared" ref="BQ18:BU18" si="3">BQ10*$C$17</f>
        <v>0</v>
      </c>
      <c r="BR18">
        <f t="shared" si="3"/>
        <v>0</v>
      </c>
      <c r="BS18">
        <f t="shared" si="3"/>
        <v>0</v>
      </c>
      <c r="BT18">
        <f t="shared" si="3"/>
        <v>0</v>
      </c>
      <c r="BU18">
        <f t="shared" si="3"/>
        <v>0</v>
      </c>
    </row>
    <row r="19" spans="1:73" ht="15.75">
      <c r="A19" s="70" t="s">
        <v>285</v>
      </c>
      <c r="B19" s="70"/>
      <c r="C19" s="70"/>
    </row>
    <row r="20" spans="1:73">
      <c r="A20" t="s">
        <v>286</v>
      </c>
      <c r="B20" t="s">
        <v>184</v>
      </c>
      <c r="C20" s="66">
        <v>8064962.5333756506</v>
      </c>
    </row>
    <row r="21" spans="1:73">
      <c r="A21" t="s">
        <v>287</v>
      </c>
      <c r="B21" t="s">
        <v>39</v>
      </c>
      <c r="C21" s="66">
        <v>1</v>
      </c>
    </row>
    <row r="22" spans="1:73">
      <c r="A22" t="s">
        <v>288</v>
      </c>
    </row>
    <row r="23" spans="1:73">
      <c r="A23" t="s">
        <v>201</v>
      </c>
      <c r="B23" t="s">
        <v>184</v>
      </c>
      <c r="D23">
        <v>0</v>
      </c>
      <c r="E23">
        <f>IF(E9=1,$C$20,D27)</f>
        <v>0</v>
      </c>
      <c r="F23">
        <f t="shared" ref="F23:BQ23" si="4">IF(F9=1,$C$20,E27)</f>
        <v>0</v>
      </c>
      <c r="G23">
        <f t="shared" si="4"/>
        <v>0</v>
      </c>
      <c r="H23">
        <f t="shared" si="4"/>
        <v>8064962.5333756506</v>
      </c>
      <c r="I23">
        <f t="shared" si="4"/>
        <v>7523904.8037223462</v>
      </c>
      <c r="J23">
        <f t="shared" si="4"/>
        <v>7589931.4363187589</v>
      </c>
      <c r="K23">
        <f t="shared" si="4"/>
        <v>7035628.6509542381</v>
      </c>
      <c r="L23">
        <f t="shared" si="4"/>
        <v>7087894.8329465538</v>
      </c>
      <c r="M23">
        <f t="shared" si="4"/>
        <v>6519294.2585427156</v>
      </c>
      <c r="N23">
        <f t="shared" si="4"/>
        <v>6556724.6718051899</v>
      </c>
      <c r="O23">
        <f t="shared" si="4"/>
        <v>5972704.4685206041</v>
      </c>
      <c r="P23">
        <f t="shared" si="4"/>
        <v>5994082.3129534516</v>
      </c>
      <c r="Q23">
        <f t="shared" si="4"/>
        <v>5393372.3674196713</v>
      </c>
      <c r="R23">
        <f t="shared" si="4"/>
        <v>5397395.0003370903</v>
      </c>
      <c r="S23">
        <f t="shared" si="4"/>
        <v>4778635.7536132121</v>
      </c>
      <c r="T23">
        <f t="shared" si="4"/>
        <v>4763884.1461216509</v>
      </c>
      <c r="U23">
        <f t="shared" si="4"/>
        <v>4125594.4497094513</v>
      </c>
      <c r="V23">
        <f t="shared" si="4"/>
        <v>4090547.6331754318</v>
      </c>
      <c r="W23">
        <f t="shared" si="4"/>
        <v>3431140.0964031969</v>
      </c>
      <c r="X23">
        <f t="shared" si="4"/>
        <v>3374091.1037357366</v>
      </c>
      <c r="Y23">
        <f t="shared" si="4"/>
        <v>2691783.5076570492</v>
      </c>
      <c r="Z23">
        <f t="shared" si="4"/>
        <v>2610896.5757979504</v>
      </c>
      <c r="AA23">
        <f t="shared" si="4"/>
        <v>1903772.3910371712</v>
      </c>
      <c r="AB23">
        <f t="shared" si="4"/>
        <v>1797046.5979640391</v>
      </c>
      <c r="AC23">
        <f t="shared" si="4"/>
        <v>1063016.7408628659</v>
      </c>
      <c r="AD23">
        <f t="shared" si="4"/>
        <v>928298.0374823293</v>
      </c>
      <c r="AE23">
        <f t="shared" si="4"/>
        <v>165113.71492921771</v>
      </c>
      <c r="AF23">
        <f t="shared" si="4"/>
        <v>2.7066562324762344E-8</v>
      </c>
      <c r="AG23">
        <f t="shared" si="4"/>
        <v>2.7066562324762344E-8</v>
      </c>
      <c r="AH23">
        <f t="shared" si="4"/>
        <v>2.7066562324762344E-8</v>
      </c>
      <c r="AI23">
        <f t="shared" si="4"/>
        <v>2.7066562324762344E-8</v>
      </c>
      <c r="AJ23">
        <f t="shared" si="4"/>
        <v>2.7066562324762344E-8</v>
      </c>
      <c r="AK23">
        <f t="shared" si="4"/>
        <v>2.7066562324762344E-8</v>
      </c>
      <c r="AL23">
        <f t="shared" si="4"/>
        <v>2.7066562324762344E-8</v>
      </c>
      <c r="AM23">
        <f t="shared" si="4"/>
        <v>2.7066562324762344E-8</v>
      </c>
      <c r="AN23">
        <f t="shared" si="4"/>
        <v>2.7066562324762344E-8</v>
      </c>
      <c r="AO23">
        <f t="shared" si="4"/>
        <v>2.7066562324762344E-8</v>
      </c>
      <c r="AP23">
        <f t="shared" si="4"/>
        <v>2.7066562324762344E-8</v>
      </c>
      <c r="AQ23">
        <f t="shared" si="4"/>
        <v>2.7066562324762344E-8</v>
      </c>
      <c r="AR23">
        <f t="shared" si="4"/>
        <v>2.7066562324762344E-8</v>
      </c>
      <c r="AS23">
        <f t="shared" si="4"/>
        <v>2.7066562324762344E-8</v>
      </c>
      <c r="AT23">
        <f t="shared" si="4"/>
        <v>2.7066562324762344E-8</v>
      </c>
      <c r="AU23">
        <f t="shared" si="4"/>
        <v>2.7066562324762344E-8</v>
      </c>
      <c r="AV23">
        <f t="shared" si="4"/>
        <v>2.7066562324762344E-8</v>
      </c>
      <c r="AW23">
        <f t="shared" si="4"/>
        <v>2.7066562324762344E-8</v>
      </c>
      <c r="AX23">
        <f t="shared" si="4"/>
        <v>2.7066562324762344E-8</v>
      </c>
      <c r="AY23">
        <f t="shared" si="4"/>
        <v>2.7066562324762344E-8</v>
      </c>
      <c r="AZ23">
        <f t="shared" si="4"/>
        <v>2.7066562324762344E-8</v>
      </c>
      <c r="BA23">
        <f t="shared" si="4"/>
        <v>2.7066562324762344E-8</v>
      </c>
      <c r="BB23">
        <f t="shared" si="4"/>
        <v>2.7066562324762344E-8</v>
      </c>
      <c r="BC23">
        <f t="shared" si="4"/>
        <v>2.7066562324762344E-8</v>
      </c>
      <c r="BD23">
        <f t="shared" si="4"/>
        <v>2.7066562324762344E-8</v>
      </c>
      <c r="BE23">
        <f t="shared" si="4"/>
        <v>2.7066562324762344E-8</v>
      </c>
      <c r="BF23">
        <f t="shared" si="4"/>
        <v>2.7066562324762344E-8</v>
      </c>
      <c r="BG23">
        <f t="shared" si="4"/>
        <v>2.7066562324762344E-8</v>
      </c>
      <c r="BH23">
        <f t="shared" si="4"/>
        <v>2.7066562324762344E-8</v>
      </c>
      <c r="BI23">
        <f t="shared" si="4"/>
        <v>2.7066562324762344E-8</v>
      </c>
      <c r="BJ23">
        <f t="shared" si="4"/>
        <v>2.7066562324762344E-8</v>
      </c>
      <c r="BK23">
        <f t="shared" si="4"/>
        <v>2.7066562324762344E-8</v>
      </c>
      <c r="BL23">
        <f t="shared" si="4"/>
        <v>2.7066562324762344E-8</v>
      </c>
      <c r="BM23">
        <f t="shared" si="4"/>
        <v>2.7066562324762344E-8</v>
      </c>
      <c r="BN23">
        <f t="shared" si="4"/>
        <v>2.7066562324762344E-8</v>
      </c>
      <c r="BO23">
        <f t="shared" si="4"/>
        <v>2.7066562324762344E-8</v>
      </c>
      <c r="BP23">
        <f t="shared" si="4"/>
        <v>2.7066562324762344E-8</v>
      </c>
      <c r="BQ23">
        <f t="shared" si="4"/>
        <v>2.7066562324762344E-8</v>
      </c>
      <c r="BR23">
        <f t="shared" ref="BR23:BU23" si="5">IF(BR9=1,$C$20,BQ27)</f>
        <v>2.7066562324762344E-8</v>
      </c>
      <c r="BS23">
        <f t="shared" si="5"/>
        <v>2.7066562324762344E-8</v>
      </c>
      <c r="BT23">
        <f t="shared" si="5"/>
        <v>2.7066562324762344E-8</v>
      </c>
      <c r="BU23">
        <f t="shared" si="5"/>
        <v>2.7066562324762344E-8</v>
      </c>
    </row>
    <row r="24" spans="1:73">
      <c r="A24" t="s">
        <v>289</v>
      </c>
      <c r="B24" t="s">
        <v>184</v>
      </c>
      <c r="C24">
        <f>SUM(D24:BU24)</f>
        <v>4898687.2238423498</v>
      </c>
      <c r="D24">
        <f>D23*Inputs!$B$44*D7</f>
        <v>0</v>
      </c>
      <c r="E24">
        <f>E23*Inputs!$B$44*E7</f>
        <v>0</v>
      </c>
      <c r="F24">
        <f>F23*Inputs!$B$44*F7</f>
        <v>0</v>
      </c>
      <c r="G24">
        <f>G23*Inputs!$B$44*G7</f>
        <v>0</v>
      </c>
      <c r="H24">
        <f>H23*Inputs!$B$44*H7</f>
        <v>362923.31400190428</v>
      </c>
      <c r="I24">
        <f>I23*Inputs!$B$44*I7</f>
        <v>338575.71616750554</v>
      </c>
      <c r="J24">
        <f>J23*Inputs!$B$44*J7</f>
        <v>341546.91463434411</v>
      </c>
      <c r="K24">
        <f>K23*Inputs!$B$44*K7</f>
        <v>316603.2892929407</v>
      </c>
      <c r="L24">
        <f>L23*Inputs!$B$44*L7</f>
        <v>318955.26748259494</v>
      </c>
      <c r="M24">
        <f>M23*Inputs!$B$44*M7</f>
        <v>293368.24163442221</v>
      </c>
      <c r="N24">
        <f>N23*Inputs!$B$44*N7</f>
        <v>295052.61023123353</v>
      </c>
      <c r="O24">
        <f>O23*Inputs!$B$44*O7</f>
        <v>268771.70108342718</v>
      </c>
      <c r="P24">
        <f>P23*Inputs!$B$44*P7</f>
        <v>269733.70408290531</v>
      </c>
      <c r="Q24">
        <f>Q23*Inputs!$B$44*Q7</f>
        <v>242701.7565338852</v>
      </c>
      <c r="R24">
        <f>R23*Inputs!$B$44*R7</f>
        <v>242882.77501516906</v>
      </c>
      <c r="S24">
        <f>S23*Inputs!$B$44*S7</f>
        <v>215038.60891259453</v>
      </c>
      <c r="T24">
        <f>T23*Inputs!$B$44*T7</f>
        <v>214374.78657547428</v>
      </c>
      <c r="U24">
        <f>U23*Inputs!$B$44*U7</f>
        <v>185651.75023692529</v>
      </c>
      <c r="V24">
        <f>V23*Inputs!$B$44*V7</f>
        <v>184074.64349289442</v>
      </c>
      <c r="W24">
        <f>W23*Inputs!$B$44*W7</f>
        <v>154401.30433814385</v>
      </c>
      <c r="X24">
        <f>X23*Inputs!$B$44*X7</f>
        <v>151834.09966810813</v>
      </c>
      <c r="Y24">
        <f>Y23*Inputs!$B$44*Y7</f>
        <v>121130.25784456721</v>
      </c>
      <c r="Z24">
        <f>Z23*Inputs!$B$44*Z7</f>
        <v>117490.34591090777</v>
      </c>
      <c r="AA24">
        <f>AA23*Inputs!$B$44*AA7</f>
        <v>85669.757596672702</v>
      </c>
      <c r="AB24">
        <f>AB23*Inputs!$B$44*AB7</f>
        <v>80867.096908381762</v>
      </c>
      <c r="AC24">
        <f>AC23*Inputs!$B$44*AC7</f>
        <v>47835.753338828967</v>
      </c>
      <c r="AD24">
        <f>AD23*Inputs!$B$44*AD7</f>
        <v>41773.411686704814</v>
      </c>
      <c r="AE24">
        <f>AE23*Inputs!$B$44*AE7</f>
        <v>7430.1171718147962</v>
      </c>
      <c r="AF24">
        <f>AF23*Inputs!$B$44*AF7</f>
        <v>0</v>
      </c>
      <c r="AG24">
        <f>AG23*Inputs!$B$44*AG7</f>
        <v>0</v>
      </c>
      <c r="AH24">
        <f>AH23*Inputs!$B$44*AH7</f>
        <v>0</v>
      </c>
      <c r="AI24">
        <f>AI23*Inputs!$B$44*AI7</f>
        <v>0</v>
      </c>
      <c r="AJ24">
        <f>AJ23*Inputs!$B$44*AJ7</f>
        <v>0</v>
      </c>
      <c r="AK24">
        <f>AK23*Inputs!$B$44*AK7</f>
        <v>0</v>
      </c>
      <c r="AL24">
        <f>AL23*Inputs!$B$44*AL7</f>
        <v>0</v>
      </c>
      <c r="AM24">
        <f>AM23*Inputs!$B$44*AM7</f>
        <v>0</v>
      </c>
      <c r="AN24">
        <f>AN23*Inputs!$B$44*AN7</f>
        <v>0</v>
      </c>
      <c r="AO24">
        <f>AO23*Inputs!$B$44*AO7</f>
        <v>0</v>
      </c>
      <c r="AP24">
        <f>AP23*Inputs!$B$44*AP7</f>
        <v>0</v>
      </c>
      <c r="AQ24">
        <f>AQ23*Inputs!$B$44*AQ7</f>
        <v>0</v>
      </c>
      <c r="AR24">
        <f>AR23*Inputs!$B$44*AR7</f>
        <v>0</v>
      </c>
      <c r="AS24">
        <f>AS23*Inputs!$B$44*AS7</f>
        <v>0</v>
      </c>
      <c r="AT24">
        <f>AT23*Inputs!$B$44*AT7</f>
        <v>0</v>
      </c>
      <c r="AU24">
        <f>AU23*Inputs!$B$44*AU7</f>
        <v>0</v>
      </c>
      <c r="AV24">
        <f>AV23*Inputs!$B$44*AV7</f>
        <v>0</v>
      </c>
      <c r="AW24">
        <f>AW23*Inputs!$B$44*AW7</f>
        <v>0</v>
      </c>
      <c r="AX24">
        <f>AX23*Inputs!$B$44*AX7</f>
        <v>0</v>
      </c>
      <c r="AY24">
        <f>AY23*Inputs!$B$44*AY7</f>
        <v>0</v>
      </c>
      <c r="AZ24">
        <f>AZ23*Inputs!$B$44*AZ7</f>
        <v>0</v>
      </c>
      <c r="BA24">
        <f>BA23*Inputs!$B$44*BA7</f>
        <v>0</v>
      </c>
      <c r="BB24">
        <f>BB23*Inputs!$B$44*BB7</f>
        <v>0</v>
      </c>
      <c r="BC24">
        <f>BC23*Inputs!$B$44*BC7</f>
        <v>0</v>
      </c>
      <c r="BD24">
        <f>BD23*Inputs!$B$44*BD7</f>
        <v>0</v>
      </c>
      <c r="BE24">
        <f>BE23*Inputs!$B$44*BE7</f>
        <v>0</v>
      </c>
      <c r="BF24">
        <f>BF23*Inputs!$B$44*BF7</f>
        <v>0</v>
      </c>
      <c r="BG24">
        <f>BG23*Inputs!$B$44*BG7</f>
        <v>0</v>
      </c>
      <c r="BH24">
        <f>BH23*Inputs!$B$44*BH7</f>
        <v>0</v>
      </c>
      <c r="BI24">
        <f>BI23*Inputs!$B$44*BI7</f>
        <v>0</v>
      </c>
      <c r="BJ24">
        <f>BJ23*Inputs!$B$44*BJ7</f>
        <v>0</v>
      </c>
      <c r="BK24">
        <f>BK23*Inputs!$B$44*BK7</f>
        <v>0</v>
      </c>
      <c r="BL24">
        <f>BL23*Inputs!$B$44*BL7</f>
        <v>0</v>
      </c>
      <c r="BM24">
        <f>BM23*Inputs!$B$44*BM7</f>
        <v>0</v>
      </c>
      <c r="BN24">
        <f>BN23*Inputs!$B$44*BN7</f>
        <v>0</v>
      </c>
      <c r="BO24">
        <f>BO23*Inputs!$B$44*BO7</f>
        <v>0</v>
      </c>
      <c r="BP24">
        <f>BP23*Inputs!$B$44*BP7</f>
        <v>0</v>
      </c>
      <c r="BQ24">
        <f>BQ23*Inputs!$B$44*BQ7</f>
        <v>0</v>
      </c>
      <c r="BR24">
        <f>BR23*Inputs!$B$44*BR7</f>
        <v>0</v>
      </c>
      <c r="BS24">
        <f>BS23*Inputs!$B$44*BS7</f>
        <v>0</v>
      </c>
      <c r="BT24">
        <f>BT23*Inputs!$B$44*BT7</f>
        <v>0</v>
      </c>
      <c r="BU24">
        <f>BU23*Inputs!$B$44*BU7</f>
        <v>0</v>
      </c>
    </row>
    <row r="25" spans="1:73">
      <c r="A25" t="s">
        <v>290</v>
      </c>
      <c r="B25" t="s">
        <v>184</v>
      </c>
      <c r="C25">
        <f>SUM(D25:BU25)</f>
        <v>12963649.757217973</v>
      </c>
      <c r="D25">
        <f>IF(Inputs!$B$7=1,D10*$C$21,D28)</f>
        <v>0</v>
      </c>
      <c r="E25">
        <f>IF(Inputs!$B$7=1,E10*$C$21,E28)</f>
        <v>0</v>
      </c>
      <c r="F25">
        <f>IF(Inputs!$B$7=1,F10*$C$21,F28)</f>
        <v>0</v>
      </c>
      <c r="G25">
        <f>IF(Inputs!$B$7=1,G10*$C$21,G28)</f>
        <v>0</v>
      </c>
      <c r="H25">
        <f>IF(Inputs!$B$7=1,H10*$C$21,H28)</f>
        <v>903981.04365520866</v>
      </c>
      <c r="I25">
        <f>IF(Inputs!$B$7=1,I10*$C$21,I28)</f>
        <v>272549.08357109292</v>
      </c>
      <c r="J25">
        <f>IF(Inputs!$B$7=1,J10*$C$21,J28)</f>
        <v>895849.6999988649</v>
      </c>
      <c r="K25">
        <f>IF(Inputs!$B$7=1,K10*$C$21,K28)</f>
        <v>264337.10730062547</v>
      </c>
      <c r="L25">
        <f>IF(Inputs!$B$7=1,L10*$C$21,L28)</f>
        <v>887555.84188643354</v>
      </c>
      <c r="M25">
        <f>IF(Inputs!$B$7=1,M10*$C$21,M28)</f>
        <v>255937.8283719483</v>
      </c>
      <c r="N25">
        <f>IF(Inputs!$B$7=1,N10*$C$21,N28)</f>
        <v>879072.81351581938</v>
      </c>
      <c r="O25">
        <f>IF(Inputs!$B$7=1,O10*$C$21,O28)</f>
        <v>247393.85665057914</v>
      </c>
      <c r="P25">
        <f>IF(Inputs!$B$7=1,P10*$C$21,P28)</f>
        <v>870443.64961668535</v>
      </c>
      <c r="Q25">
        <f>IF(Inputs!$B$7=1,Q10*$C$21,Q28)</f>
        <v>238679.12361646621</v>
      </c>
      <c r="R25">
        <f>IF(Inputs!$B$7=1,R10*$C$21,R28)</f>
        <v>861642.02173904702</v>
      </c>
      <c r="S25">
        <f>IF(Inputs!$B$7=1,S10*$C$21,S28)</f>
        <v>229790.21640415533</v>
      </c>
      <c r="T25">
        <f>IF(Inputs!$B$7=1,T10*$C$21,T28)</f>
        <v>852664.48298767407</v>
      </c>
      <c r="U25">
        <f>IF(Inputs!$B$7=1,U10*$C$21,U28)</f>
        <v>220698.5667709448</v>
      </c>
      <c r="V25">
        <f>IF(Inputs!$B$7=1,V10*$C$21,V28)</f>
        <v>843482.18026512919</v>
      </c>
      <c r="W25">
        <f>IF(Inputs!$B$7=1,W10*$C$21,W28)</f>
        <v>211450.29700560434</v>
      </c>
      <c r="X25">
        <f>IF(Inputs!$B$7=1,X10*$C$21,X28)</f>
        <v>834141.69574679539</v>
      </c>
      <c r="Y25">
        <f>IF(Inputs!$B$7=1,Y10*$C$21,Y28)</f>
        <v>202017.18970366623</v>
      </c>
      <c r="Z25">
        <f>IF(Inputs!$B$7=1,Z10*$C$21,Z28)</f>
        <v>824614.53067168687</v>
      </c>
      <c r="AA25">
        <f>IF(Inputs!$B$7=1,AA10*$C$21,AA28)</f>
        <v>192395.55066980497</v>
      </c>
      <c r="AB25">
        <f>IF(Inputs!$B$7=1,AB10*$C$21,AB28)</f>
        <v>814896.95400955481</v>
      </c>
      <c r="AC25">
        <f>IF(Inputs!$B$7=1,AC10*$C$21,AC28)</f>
        <v>182554.45671936564</v>
      </c>
      <c r="AD25">
        <f>IF(Inputs!$B$7=1,AD10*$C$21,AD28)</f>
        <v>804957.73423981643</v>
      </c>
      <c r="AE25">
        <f>IF(Inputs!$B$7=1,AE10*$C$21,AE28)</f>
        <v>172543.83210100542</v>
      </c>
      <c r="AF25">
        <f>IF(Inputs!$B$7=1,AF10*$C$21,AF28)</f>
        <v>0</v>
      </c>
      <c r="AG25">
        <f>IF(Inputs!$B$7=1,AG10*$C$21,AG28)</f>
        <v>0</v>
      </c>
      <c r="AH25">
        <f>IF(Inputs!$B$7=1,AH10*$C$21,AH28)</f>
        <v>0</v>
      </c>
      <c r="AI25">
        <f>IF(Inputs!$B$7=1,AI10*$C$21,AI28)</f>
        <v>0</v>
      </c>
      <c r="AJ25">
        <f>IF(Inputs!$B$7=1,AJ10*$C$21,AJ28)</f>
        <v>0</v>
      </c>
      <c r="AK25">
        <f>IF(Inputs!$B$7=1,AK10*$C$21,AK28)</f>
        <v>0</v>
      </c>
      <c r="AL25">
        <f>IF(Inputs!$B$7=1,AL10*$C$21,AL28)</f>
        <v>0</v>
      </c>
      <c r="AM25">
        <f>IF(Inputs!$B$7=1,AM10*$C$21,AM28)</f>
        <v>0</v>
      </c>
      <c r="AN25">
        <f>IF(Inputs!$B$7=1,AN10*$C$21,AN28)</f>
        <v>0</v>
      </c>
      <c r="AO25">
        <f>IF(Inputs!$B$7=1,AO10*$C$21,AO28)</f>
        <v>0</v>
      </c>
      <c r="AP25">
        <f>IF(Inputs!$B$7=1,AP10*$C$21,AP28)</f>
        <v>0</v>
      </c>
      <c r="AQ25">
        <f>IF(Inputs!$B$7=1,AQ10*$C$21,AQ28)</f>
        <v>0</v>
      </c>
      <c r="AR25">
        <f>IF(Inputs!$B$7=1,AR10*$C$21,AR28)</f>
        <v>0</v>
      </c>
      <c r="AS25">
        <f>IF(Inputs!$B$7=1,AS10*$C$21,AS28)</f>
        <v>0</v>
      </c>
      <c r="AT25">
        <f>IF(Inputs!$B$7=1,AT10*$C$21,AT28)</f>
        <v>0</v>
      </c>
      <c r="AU25">
        <f>IF(Inputs!$B$7=1,AU10*$C$21,AU28)</f>
        <v>0</v>
      </c>
      <c r="AV25">
        <f>IF(Inputs!$B$7=1,AV10*$C$21,AV28)</f>
        <v>0</v>
      </c>
      <c r="AW25">
        <f>IF(Inputs!$B$7=1,AW10*$C$21,AW28)</f>
        <v>0</v>
      </c>
      <c r="AX25">
        <f>IF(Inputs!$B$7=1,AX10*$C$21,AX28)</f>
        <v>0</v>
      </c>
      <c r="AY25">
        <f>IF(Inputs!$B$7=1,AY10*$C$21,AY28)</f>
        <v>0</v>
      </c>
      <c r="AZ25">
        <f>IF(Inputs!$B$7=1,AZ10*$C$21,AZ28)</f>
        <v>0</v>
      </c>
      <c r="BA25">
        <f>IF(Inputs!$B$7=1,BA10*$C$21,BA28)</f>
        <v>0</v>
      </c>
      <c r="BB25">
        <f>IF(Inputs!$B$7=1,BB10*$C$21,BB28)</f>
        <v>0</v>
      </c>
      <c r="BC25">
        <f>IF(Inputs!$B$7=1,BC10*$C$21,BC28)</f>
        <v>0</v>
      </c>
      <c r="BD25">
        <f>IF(Inputs!$B$7=1,BD10*$C$21,BD28)</f>
        <v>0</v>
      </c>
      <c r="BE25">
        <f>IF(Inputs!$B$7=1,BE10*$C$21,BE28)</f>
        <v>0</v>
      </c>
      <c r="BF25">
        <f>IF(Inputs!$B$7=1,BF10*$C$21,BF28)</f>
        <v>0</v>
      </c>
      <c r="BG25">
        <f>IF(Inputs!$B$7=1,BG10*$C$21,BG28)</f>
        <v>0</v>
      </c>
      <c r="BH25">
        <f>IF(Inputs!$B$7=1,BH10*$C$21,BH28)</f>
        <v>0</v>
      </c>
      <c r="BI25">
        <f>IF(Inputs!$B$7=1,BI10*$C$21,BI28)</f>
        <v>0</v>
      </c>
      <c r="BJ25">
        <f>IF(Inputs!$B$7=1,BJ10*$C$21,BJ28)</f>
        <v>0</v>
      </c>
      <c r="BK25">
        <f>IF(Inputs!$B$7=1,BK10*$C$21,BK28)</f>
        <v>0</v>
      </c>
      <c r="BL25">
        <f>IF(Inputs!$B$7=1,BL10*$C$21,BL28)</f>
        <v>0</v>
      </c>
      <c r="BM25">
        <f>IF(Inputs!$B$7=1,BM10*$C$21,BM28)</f>
        <v>0</v>
      </c>
      <c r="BN25">
        <f>IF(Inputs!$B$7=1,BN10*$C$21,BN28)</f>
        <v>0</v>
      </c>
      <c r="BO25">
        <f>IF(Inputs!$B$7=1,BO10*$C$21,BO28)</f>
        <v>0</v>
      </c>
      <c r="BP25">
        <f>IF(Inputs!$B$7=1,BP10*$C$21,BP28)</f>
        <v>0</v>
      </c>
      <c r="BQ25">
        <f>IF(Inputs!$B$7=1,BQ10*$C$21,BQ28)</f>
        <v>0</v>
      </c>
      <c r="BR25">
        <f>IF(Inputs!$B$7=1,BR10*$C$21,BR28)</f>
        <v>0</v>
      </c>
      <c r="BS25">
        <f>IF(Inputs!$B$7=1,BS10*$C$21,BS28)</f>
        <v>0</v>
      </c>
      <c r="BT25">
        <f>IF(Inputs!$B$7=1,BT10*$C$21,BT28)</f>
        <v>0</v>
      </c>
      <c r="BU25">
        <f>IF(Inputs!$B$7=1,BU10*$C$21,BU28)</f>
        <v>0</v>
      </c>
    </row>
    <row r="26" spans="1:73">
      <c r="A26" t="s">
        <v>291</v>
      </c>
      <c r="B26" t="s">
        <v>184</v>
      </c>
      <c r="C26">
        <f>SUM(D26:BU26)</f>
        <v>8064962.5333756236</v>
      </c>
      <c r="D26">
        <f>D25-D24</f>
        <v>0</v>
      </c>
      <c r="E26">
        <f t="shared" ref="E26:BP26" si="6">E25-E24</f>
        <v>0</v>
      </c>
      <c r="F26">
        <f t="shared" si="6"/>
        <v>0</v>
      </c>
      <c r="G26">
        <f t="shared" si="6"/>
        <v>0</v>
      </c>
      <c r="H26">
        <f t="shared" si="6"/>
        <v>541057.72965330444</v>
      </c>
      <c r="I26">
        <f t="shared" si="6"/>
        <v>-66026.632596412615</v>
      </c>
      <c r="J26">
        <f t="shared" si="6"/>
        <v>554302.78536452074</v>
      </c>
      <c r="K26">
        <f t="shared" si="6"/>
        <v>-52266.181992315222</v>
      </c>
      <c r="L26">
        <f t="shared" si="6"/>
        <v>568600.5744038386</v>
      </c>
      <c r="M26">
        <f t="shared" si="6"/>
        <v>-37430.413262473914</v>
      </c>
      <c r="N26">
        <f t="shared" si="6"/>
        <v>584020.20328458585</v>
      </c>
      <c r="O26">
        <f t="shared" si="6"/>
        <v>-21377.84443284804</v>
      </c>
      <c r="P26">
        <f t="shared" si="6"/>
        <v>600709.94553378003</v>
      </c>
      <c r="Q26">
        <f t="shared" si="6"/>
        <v>-4022.6329174189887</v>
      </c>
      <c r="R26">
        <f t="shared" si="6"/>
        <v>618759.24672387796</v>
      </c>
      <c r="S26">
        <f t="shared" si="6"/>
        <v>14751.607491560804</v>
      </c>
      <c r="T26">
        <f t="shared" si="6"/>
        <v>638289.69641219976</v>
      </c>
      <c r="U26">
        <f t="shared" si="6"/>
        <v>35046.816534019512</v>
      </c>
      <c r="V26">
        <f t="shared" si="6"/>
        <v>659407.53677223483</v>
      </c>
      <c r="W26">
        <f t="shared" si="6"/>
        <v>57048.992667460494</v>
      </c>
      <c r="X26">
        <f t="shared" si="6"/>
        <v>682307.59607868723</v>
      </c>
      <c r="Y26">
        <f t="shared" si="6"/>
        <v>80886.931859099015</v>
      </c>
      <c r="Z26">
        <f t="shared" si="6"/>
        <v>707124.18476077914</v>
      </c>
      <c r="AA26">
        <f t="shared" si="6"/>
        <v>106725.79307313227</v>
      </c>
      <c r="AB26">
        <f t="shared" si="6"/>
        <v>734029.85710117302</v>
      </c>
      <c r="AC26">
        <f t="shared" si="6"/>
        <v>134718.70338053667</v>
      </c>
      <c r="AD26">
        <f t="shared" si="6"/>
        <v>763184.32255311159</v>
      </c>
      <c r="AE26">
        <f t="shared" si="6"/>
        <v>165113.71492919064</v>
      </c>
      <c r="AF26">
        <f t="shared" si="6"/>
        <v>0</v>
      </c>
      <c r="AG26">
        <f t="shared" si="6"/>
        <v>0</v>
      </c>
      <c r="AH26">
        <f t="shared" si="6"/>
        <v>0</v>
      </c>
      <c r="AI26">
        <f t="shared" si="6"/>
        <v>0</v>
      </c>
      <c r="AJ26">
        <f t="shared" si="6"/>
        <v>0</v>
      </c>
      <c r="AK26">
        <f t="shared" si="6"/>
        <v>0</v>
      </c>
      <c r="AL26">
        <f t="shared" si="6"/>
        <v>0</v>
      </c>
      <c r="AM26">
        <f t="shared" si="6"/>
        <v>0</v>
      </c>
      <c r="AN26">
        <f t="shared" si="6"/>
        <v>0</v>
      </c>
      <c r="AO26">
        <f t="shared" si="6"/>
        <v>0</v>
      </c>
      <c r="AP26">
        <f t="shared" si="6"/>
        <v>0</v>
      </c>
      <c r="AQ26">
        <f t="shared" si="6"/>
        <v>0</v>
      </c>
      <c r="AR26">
        <f t="shared" si="6"/>
        <v>0</v>
      </c>
      <c r="AS26">
        <f t="shared" si="6"/>
        <v>0</v>
      </c>
      <c r="AT26">
        <f t="shared" si="6"/>
        <v>0</v>
      </c>
      <c r="AU26">
        <f t="shared" si="6"/>
        <v>0</v>
      </c>
      <c r="AV26">
        <f t="shared" si="6"/>
        <v>0</v>
      </c>
      <c r="AW26">
        <f t="shared" si="6"/>
        <v>0</v>
      </c>
      <c r="AX26">
        <f t="shared" si="6"/>
        <v>0</v>
      </c>
      <c r="AY26">
        <f t="shared" si="6"/>
        <v>0</v>
      </c>
      <c r="AZ26">
        <f t="shared" si="6"/>
        <v>0</v>
      </c>
      <c r="BA26">
        <f t="shared" si="6"/>
        <v>0</v>
      </c>
      <c r="BB26">
        <f t="shared" si="6"/>
        <v>0</v>
      </c>
      <c r="BC26">
        <f t="shared" si="6"/>
        <v>0</v>
      </c>
      <c r="BD26">
        <f t="shared" si="6"/>
        <v>0</v>
      </c>
      <c r="BE26">
        <f t="shared" si="6"/>
        <v>0</v>
      </c>
      <c r="BF26">
        <f t="shared" si="6"/>
        <v>0</v>
      </c>
      <c r="BG26">
        <f t="shared" si="6"/>
        <v>0</v>
      </c>
      <c r="BH26">
        <f t="shared" si="6"/>
        <v>0</v>
      </c>
      <c r="BI26">
        <f t="shared" si="6"/>
        <v>0</v>
      </c>
      <c r="BJ26">
        <f t="shared" si="6"/>
        <v>0</v>
      </c>
      <c r="BK26">
        <f t="shared" si="6"/>
        <v>0</v>
      </c>
      <c r="BL26">
        <f t="shared" si="6"/>
        <v>0</v>
      </c>
      <c r="BM26">
        <f t="shared" si="6"/>
        <v>0</v>
      </c>
      <c r="BN26">
        <f t="shared" si="6"/>
        <v>0</v>
      </c>
      <c r="BO26">
        <f t="shared" si="6"/>
        <v>0</v>
      </c>
      <c r="BP26">
        <f t="shared" si="6"/>
        <v>0</v>
      </c>
      <c r="BQ26">
        <f t="shared" ref="BQ26:BU26" si="7">BQ25-BQ24</f>
        <v>0</v>
      </c>
      <c r="BR26">
        <f t="shared" si="7"/>
        <v>0</v>
      </c>
      <c r="BS26">
        <f t="shared" si="7"/>
        <v>0</v>
      </c>
      <c r="BT26">
        <f t="shared" si="7"/>
        <v>0</v>
      </c>
      <c r="BU26">
        <f t="shared" si="7"/>
        <v>0</v>
      </c>
    </row>
    <row r="27" spans="1:73">
      <c r="A27" t="s">
        <v>203</v>
      </c>
      <c r="B27" t="s">
        <v>184</v>
      </c>
      <c r="D27">
        <f>D23-D26</f>
        <v>0</v>
      </c>
      <c r="E27">
        <f t="shared" ref="E27:BP27" si="8">E23-E26</f>
        <v>0</v>
      </c>
      <c r="F27">
        <f t="shared" si="8"/>
        <v>0</v>
      </c>
      <c r="G27">
        <f t="shared" si="8"/>
        <v>0</v>
      </c>
      <c r="H27">
        <f t="shared" si="8"/>
        <v>7523904.8037223462</v>
      </c>
      <c r="I27">
        <f t="shared" si="8"/>
        <v>7589931.4363187589</v>
      </c>
      <c r="J27">
        <f t="shared" si="8"/>
        <v>7035628.6509542381</v>
      </c>
      <c r="K27">
        <f t="shared" si="8"/>
        <v>7087894.8329465538</v>
      </c>
      <c r="L27">
        <f t="shared" si="8"/>
        <v>6519294.2585427156</v>
      </c>
      <c r="M27">
        <f t="shared" si="8"/>
        <v>6556724.6718051899</v>
      </c>
      <c r="N27">
        <f t="shared" si="8"/>
        <v>5972704.4685206041</v>
      </c>
      <c r="O27">
        <f t="shared" si="8"/>
        <v>5994082.3129534516</v>
      </c>
      <c r="P27">
        <f t="shared" si="8"/>
        <v>5393372.3674196713</v>
      </c>
      <c r="Q27">
        <f t="shared" si="8"/>
        <v>5397395.0003370903</v>
      </c>
      <c r="R27">
        <f t="shared" si="8"/>
        <v>4778635.7536132121</v>
      </c>
      <c r="S27">
        <f t="shared" si="8"/>
        <v>4763884.1461216509</v>
      </c>
      <c r="T27">
        <f t="shared" si="8"/>
        <v>4125594.4497094513</v>
      </c>
      <c r="U27">
        <f t="shared" si="8"/>
        <v>4090547.6331754318</v>
      </c>
      <c r="V27">
        <f t="shared" si="8"/>
        <v>3431140.0964031969</v>
      </c>
      <c r="W27">
        <f t="shared" si="8"/>
        <v>3374091.1037357366</v>
      </c>
      <c r="X27">
        <f t="shared" si="8"/>
        <v>2691783.5076570492</v>
      </c>
      <c r="Y27">
        <f t="shared" si="8"/>
        <v>2610896.5757979504</v>
      </c>
      <c r="Z27">
        <f t="shared" si="8"/>
        <v>1903772.3910371712</v>
      </c>
      <c r="AA27">
        <f t="shared" si="8"/>
        <v>1797046.5979640391</v>
      </c>
      <c r="AB27">
        <f t="shared" si="8"/>
        <v>1063016.7408628659</v>
      </c>
      <c r="AC27">
        <f t="shared" si="8"/>
        <v>928298.0374823293</v>
      </c>
      <c r="AD27">
        <f t="shared" si="8"/>
        <v>165113.71492921771</v>
      </c>
      <c r="AE27">
        <f t="shared" si="8"/>
        <v>2.7066562324762344E-8</v>
      </c>
      <c r="AF27">
        <f t="shared" si="8"/>
        <v>2.7066562324762344E-8</v>
      </c>
      <c r="AG27">
        <f t="shared" si="8"/>
        <v>2.7066562324762344E-8</v>
      </c>
      <c r="AH27">
        <f t="shared" si="8"/>
        <v>2.7066562324762344E-8</v>
      </c>
      <c r="AI27">
        <f t="shared" si="8"/>
        <v>2.7066562324762344E-8</v>
      </c>
      <c r="AJ27">
        <f t="shared" si="8"/>
        <v>2.7066562324762344E-8</v>
      </c>
      <c r="AK27">
        <f t="shared" si="8"/>
        <v>2.7066562324762344E-8</v>
      </c>
      <c r="AL27">
        <f t="shared" si="8"/>
        <v>2.7066562324762344E-8</v>
      </c>
      <c r="AM27">
        <f t="shared" si="8"/>
        <v>2.7066562324762344E-8</v>
      </c>
      <c r="AN27">
        <f t="shared" si="8"/>
        <v>2.7066562324762344E-8</v>
      </c>
      <c r="AO27">
        <f t="shared" si="8"/>
        <v>2.7066562324762344E-8</v>
      </c>
      <c r="AP27">
        <f t="shared" si="8"/>
        <v>2.7066562324762344E-8</v>
      </c>
      <c r="AQ27">
        <f t="shared" si="8"/>
        <v>2.7066562324762344E-8</v>
      </c>
      <c r="AR27">
        <f t="shared" si="8"/>
        <v>2.7066562324762344E-8</v>
      </c>
      <c r="AS27">
        <f t="shared" si="8"/>
        <v>2.7066562324762344E-8</v>
      </c>
      <c r="AT27">
        <f t="shared" si="8"/>
        <v>2.7066562324762344E-8</v>
      </c>
      <c r="AU27">
        <f t="shared" si="8"/>
        <v>2.7066562324762344E-8</v>
      </c>
      <c r="AV27">
        <f t="shared" si="8"/>
        <v>2.7066562324762344E-8</v>
      </c>
      <c r="AW27">
        <f t="shared" si="8"/>
        <v>2.7066562324762344E-8</v>
      </c>
      <c r="AX27">
        <f t="shared" si="8"/>
        <v>2.7066562324762344E-8</v>
      </c>
      <c r="AY27">
        <f t="shared" si="8"/>
        <v>2.7066562324762344E-8</v>
      </c>
      <c r="AZ27">
        <f t="shared" si="8"/>
        <v>2.7066562324762344E-8</v>
      </c>
      <c r="BA27">
        <f t="shared" si="8"/>
        <v>2.7066562324762344E-8</v>
      </c>
      <c r="BB27">
        <f t="shared" si="8"/>
        <v>2.7066562324762344E-8</v>
      </c>
      <c r="BC27">
        <f t="shared" si="8"/>
        <v>2.7066562324762344E-8</v>
      </c>
      <c r="BD27">
        <f t="shared" si="8"/>
        <v>2.7066562324762344E-8</v>
      </c>
      <c r="BE27">
        <f t="shared" si="8"/>
        <v>2.7066562324762344E-8</v>
      </c>
      <c r="BF27">
        <f t="shared" si="8"/>
        <v>2.7066562324762344E-8</v>
      </c>
      <c r="BG27">
        <f t="shared" si="8"/>
        <v>2.7066562324762344E-8</v>
      </c>
      <c r="BH27">
        <f t="shared" si="8"/>
        <v>2.7066562324762344E-8</v>
      </c>
      <c r="BI27">
        <f t="shared" si="8"/>
        <v>2.7066562324762344E-8</v>
      </c>
      <c r="BJ27">
        <f t="shared" si="8"/>
        <v>2.7066562324762344E-8</v>
      </c>
      <c r="BK27">
        <f t="shared" si="8"/>
        <v>2.7066562324762344E-8</v>
      </c>
      <c r="BL27">
        <f t="shared" si="8"/>
        <v>2.7066562324762344E-8</v>
      </c>
      <c r="BM27">
        <f t="shared" si="8"/>
        <v>2.7066562324762344E-8</v>
      </c>
      <c r="BN27">
        <f t="shared" si="8"/>
        <v>2.7066562324762344E-8</v>
      </c>
      <c r="BO27">
        <f t="shared" si="8"/>
        <v>2.7066562324762344E-8</v>
      </c>
      <c r="BP27">
        <f t="shared" si="8"/>
        <v>2.7066562324762344E-8</v>
      </c>
      <c r="BQ27">
        <f t="shared" ref="BQ27:BU27" si="9">BQ23-BQ26</f>
        <v>2.7066562324762344E-8</v>
      </c>
      <c r="BR27">
        <f t="shared" si="9"/>
        <v>2.7066562324762344E-8</v>
      </c>
      <c r="BS27">
        <f t="shared" si="9"/>
        <v>2.7066562324762344E-8</v>
      </c>
      <c r="BT27">
        <f t="shared" si="9"/>
        <v>2.7066562324762344E-8</v>
      </c>
      <c r="BU27">
        <f t="shared" si="9"/>
        <v>2.7066562324762344E-8</v>
      </c>
    </row>
    <row r="28" spans="1:73">
      <c r="A28" t="s">
        <v>346</v>
      </c>
      <c r="C28">
        <v>12963649.757217973</v>
      </c>
      <c r="D28">
        <v>0</v>
      </c>
      <c r="E28">
        <v>0</v>
      </c>
      <c r="F28">
        <v>0</v>
      </c>
      <c r="G28">
        <v>0</v>
      </c>
      <c r="H28">
        <v>903981.04365520866</v>
      </c>
      <c r="I28">
        <v>272549.08357109292</v>
      </c>
      <c r="J28">
        <v>895849.6999988649</v>
      </c>
      <c r="K28">
        <v>264337.10730062547</v>
      </c>
      <c r="L28">
        <v>887555.84188643354</v>
      </c>
      <c r="M28">
        <v>255937.8283719483</v>
      </c>
      <c r="N28">
        <v>879072.81351581938</v>
      </c>
      <c r="O28">
        <v>247393.85665057914</v>
      </c>
      <c r="P28">
        <v>870443.64961668535</v>
      </c>
      <c r="Q28">
        <v>238679.12361646621</v>
      </c>
      <c r="R28">
        <v>861642.02173904702</v>
      </c>
      <c r="S28">
        <v>229790.21640415533</v>
      </c>
      <c r="T28">
        <v>852664.48298767407</v>
      </c>
      <c r="U28">
        <v>220698.5667709448</v>
      </c>
      <c r="V28">
        <v>843482.18026512919</v>
      </c>
      <c r="W28">
        <v>211450.29700560434</v>
      </c>
      <c r="X28">
        <v>834141.69574679539</v>
      </c>
      <c r="Y28">
        <v>202017.18970366623</v>
      </c>
      <c r="Z28">
        <v>824614.53067168687</v>
      </c>
      <c r="AA28">
        <v>192395.55066980497</v>
      </c>
      <c r="AB28">
        <v>814896.95400955481</v>
      </c>
      <c r="AC28">
        <v>182554.45671936564</v>
      </c>
      <c r="AD28">
        <v>804957.73423981643</v>
      </c>
      <c r="AE28">
        <v>172543.83210100542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ht="15.75">
      <c r="A29" s="70" t="s">
        <v>206</v>
      </c>
      <c r="B29" s="70"/>
      <c r="C29" s="70"/>
    </row>
    <row r="30" spans="1:73">
      <c r="A30" s="59" t="s">
        <v>293</v>
      </c>
      <c r="B30" s="59" t="s">
        <v>165</v>
      </c>
      <c r="C30" s="59">
        <f>IF(Inputs!$B$7=2,0,IF(ABS(C15-C20)&lt;0.0001,0,1))</f>
        <v>0</v>
      </c>
      <c r="D30" s="37" t="s">
        <v>167</v>
      </c>
    </row>
    <row r="31" spans="1:73">
      <c r="A31" s="59" t="s">
        <v>294</v>
      </c>
      <c r="B31" s="59" t="s">
        <v>165</v>
      </c>
      <c r="C31" s="59">
        <f>IF(Inputs!$B$7=2,0,IF(ABS(C17-C21)&lt;0.0001,0,1))</f>
        <v>0</v>
      </c>
      <c r="D31" s="37" t="s">
        <v>167</v>
      </c>
    </row>
    <row r="32" spans="1:73">
      <c r="A32" s="59" t="s">
        <v>295</v>
      </c>
      <c r="B32" s="59" t="s">
        <v>165</v>
      </c>
      <c r="C32" s="59">
        <f>IF(ABS(BU27)&lt;0.0001,0,1)</f>
        <v>0</v>
      </c>
      <c r="D32" s="37" t="s">
        <v>167</v>
      </c>
    </row>
  </sheetData>
  <mergeCells count="3">
    <mergeCell ref="A4:C4"/>
    <mergeCell ref="A19:C19"/>
    <mergeCell ref="A29:C29"/>
  </mergeCells>
  <pageMargins left="0.75" right="0.75" top="1" bottom="1" header="0.5" footer="0.5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37"/>
  <sheetViews>
    <sheetView topLeftCell="A3" zoomScale="85" zoomScaleNormal="85" workbookViewId="0">
      <pane xSplit="3" topLeftCell="D1" activePane="topRight" state="frozen"/>
      <selection pane="topRight" activeCell="G25" sqref="G25"/>
    </sheetView>
  </sheetViews>
  <sheetFormatPr baseColWidth="10" defaultColWidth="9.140625" defaultRowHeight="15"/>
  <cols>
    <col min="1" max="1" width="53.5703125" customWidth="1"/>
    <col min="3" max="3" width="11" bestFit="1" customWidth="1"/>
    <col min="4" max="4" width="14.7109375" bestFit="1" customWidth="1"/>
  </cols>
  <sheetData>
    <row r="1" spans="1:73" ht="18.75">
      <c r="A1" s="1" t="s">
        <v>58</v>
      </c>
    </row>
    <row r="2" spans="1:73">
      <c r="A2" t="s">
        <v>59</v>
      </c>
    </row>
    <row r="4" spans="1:73" ht="15.75">
      <c r="A4" s="70" t="s">
        <v>309</v>
      </c>
      <c r="B4" s="70"/>
      <c r="C4" s="70"/>
    </row>
    <row r="5" spans="1:73">
      <c r="A5" t="s">
        <v>145</v>
      </c>
      <c r="B5" t="s">
        <v>296</v>
      </c>
      <c r="C5" t="s">
        <v>297</v>
      </c>
    </row>
    <row r="6" spans="1:73">
      <c r="A6" t="str">
        <f>Timeline!A20</f>
        <v>Construction flag</v>
      </c>
      <c r="B6" t="str">
        <f>Timeline!B20</f>
        <v>flag</v>
      </c>
      <c r="C6">
        <f>Timeline!C20</f>
        <v>4</v>
      </c>
      <c r="D6">
        <f>Timeline!D20</f>
        <v>1</v>
      </c>
      <c r="E6">
        <f>Timeline!E20</f>
        <v>1</v>
      </c>
      <c r="F6">
        <f>Timeline!F20</f>
        <v>1</v>
      </c>
      <c r="G6">
        <f>Timeline!G20</f>
        <v>1</v>
      </c>
      <c r="H6">
        <f>Timeline!H20</f>
        <v>0</v>
      </c>
      <c r="I6">
        <f>Timeline!I20</f>
        <v>0</v>
      </c>
      <c r="J6">
        <f>Timeline!J20</f>
        <v>0</v>
      </c>
      <c r="K6">
        <f>Timeline!K20</f>
        <v>0</v>
      </c>
      <c r="L6">
        <f>Timeline!L20</f>
        <v>0</v>
      </c>
      <c r="M6">
        <f>Timeline!M20</f>
        <v>0</v>
      </c>
      <c r="N6">
        <f>Timeline!N20</f>
        <v>0</v>
      </c>
      <c r="O6">
        <f>Timeline!O20</f>
        <v>0</v>
      </c>
      <c r="P6">
        <f>Timeline!P20</f>
        <v>0</v>
      </c>
      <c r="Q6">
        <f>Timeline!Q20</f>
        <v>0</v>
      </c>
      <c r="R6">
        <f>Timeline!R20</f>
        <v>0</v>
      </c>
      <c r="S6">
        <f>Timeline!S20</f>
        <v>0</v>
      </c>
      <c r="T6">
        <f>Timeline!T20</f>
        <v>0</v>
      </c>
      <c r="U6">
        <f>Timeline!U20</f>
        <v>0</v>
      </c>
      <c r="V6">
        <f>Timeline!V20</f>
        <v>0</v>
      </c>
      <c r="W6">
        <f>Timeline!W20</f>
        <v>0</v>
      </c>
      <c r="X6">
        <f>Timeline!X20</f>
        <v>0</v>
      </c>
      <c r="Y6">
        <f>Timeline!Y20</f>
        <v>0</v>
      </c>
      <c r="Z6">
        <f>Timeline!Z20</f>
        <v>0</v>
      </c>
      <c r="AA6">
        <f>Timeline!AA20</f>
        <v>0</v>
      </c>
      <c r="AB6">
        <f>Timeline!AB20</f>
        <v>0</v>
      </c>
      <c r="AC6">
        <f>Timeline!AC20</f>
        <v>0</v>
      </c>
      <c r="AD6">
        <f>Timeline!AD20</f>
        <v>0</v>
      </c>
      <c r="AE6">
        <f>Timeline!AE20</f>
        <v>0</v>
      </c>
      <c r="AF6">
        <f>Timeline!AF20</f>
        <v>0</v>
      </c>
      <c r="AG6">
        <f>Timeline!AG20</f>
        <v>0</v>
      </c>
      <c r="AH6">
        <f>Timeline!AH20</f>
        <v>0</v>
      </c>
      <c r="AI6">
        <f>Timeline!AI20</f>
        <v>0</v>
      </c>
      <c r="AJ6">
        <f>Timeline!AJ20</f>
        <v>0</v>
      </c>
      <c r="AK6">
        <f>Timeline!AK20</f>
        <v>0</v>
      </c>
      <c r="AL6">
        <f>Timeline!AL20</f>
        <v>0</v>
      </c>
      <c r="AM6">
        <f>Timeline!AM20</f>
        <v>0</v>
      </c>
      <c r="AN6">
        <f>Timeline!AN20</f>
        <v>0</v>
      </c>
      <c r="AO6">
        <f>Timeline!AO20</f>
        <v>0</v>
      </c>
      <c r="AP6">
        <f>Timeline!AP20</f>
        <v>0</v>
      </c>
      <c r="AQ6">
        <f>Timeline!AQ20</f>
        <v>0</v>
      </c>
      <c r="AR6">
        <f>Timeline!AR20</f>
        <v>0</v>
      </c>
      <c r="AS6">
        <f>Timeline!AS20</f>
        <v>0</v>
      </c>
      <c r="AT6">
        <f>Timeline!AT20</f>
        <v>0</v>
      </c>
      <c r="AU6">
        <f>Timeline!AU20</f>
        <v>0</v>
      </c>
      <c r="AV6">
        <f>Timeline!AV20</f>
        <v>0</v>
      </c>
      <c r="AW6">
        <f>Timeline!AW20</f>
        <v>0</v>
      </c>
      <c r="AX6">
        <f>Timeline!AX20</f>
        <v>0</v>
      </c>
      <c r="AY6">
        <f>Timeline!AY20</f>
        <v>0</v>
      </c>
      <c r="AZ6">
        <f>Timeline!AZ20</f>
        <v>0</v>
      </c>
      <c r="BA6">
        <f>Timeline!BA20</f>
        <v>0</v>
      </c>
      <c r="BB6">
        <f>Timeline!BB20</f>
        <v>0</v>
      </c>
      <c r="BC6">
        <f>Timeline!BC20</f>
        <v>0</v>
      </c>
      <c r="BD6">
        <f>Timeline!BD20</f>
        <v>0</v>
      </c>
      <c r="BE6">
        <f>Timeline!BE20</f>
        <v>0</v>
      </c>
      <c r="BF6">
        <f>Timeline!BF20</f>
        <v>0</v>
      </c>
      <c r="BG6">
        <f>Timeline!BG20</f>
        <v>0</v>
      </c>
      <c r="BH6">
        <f>Timeline!BH20</f>
        <v>0</v>
      </c>
      <c r="BI6">
        <f>Timeline!BI20</f>
        <v>0</v>
      </c>
      <c r="BJ6">
        <f>Timeline!BJ20</f>
        <v>0</v>
      </c>
      <c r="BK6">
        <f>Timeline!BK20</f>
        <v>0</v>
      </c>
      <c r="BL6">
        <f>Timeline!BL20</f>
        <v>0</v>
      </c>
      <c r="BM6">
        <f>Timeline!BM20</f>
        <v>0</v>
      </c>
      <c r="BN6">
        <f>Timeline!BN20</f>
        <v>0</v>
      </c>
      <c r="BO6">
        <f>Timeline!BO20</f>
        <v>0</v>
      </c>
      <c r="BP6">
        <f>Timeline!BP20</f>
        <v>0</v>
      </c>
      <c r="BQ6">
        <f>Timeline!BQ20</f>
        <v>0</v>
      </c>
      <c r="BR6">
        <f>Timeline!BR20</f>
        <v>0</v>
      </c>
      <c r="BS6">
        <f>Timeline!BS20</f>
        <v>0</v>
      </c>
      <c r="BT6">
        <f>Timeline!BT20</f>
        <v>0</v>
      </c>
      <c r="BU6">
        <f>Timeline!BU20</f>
        <v>0</v>
      </c>
    </row>
    <row r="7" spans="1:73">
      <c r="A7" t="str">
        <f>Timeline!A22</f>
        <v>Repayment flag</v>
      </c>
      <c r="B7" t="str">
        <f>Timeline!B22</f>
        <v>flag</v>
      </c>
      <c r="C7">
        <f>Timeline!C22</f>
        <v>24</v>
      </c>
      <c r="D7">
        <f>Timeline!D22</f>
        <v>0</v>
      </c>
      <c r="E7">
        <f>Timeline!E22</f>
        <v>0</v>
      </c>
      <c r="F7">
        <f>Timeline!F22</f>
        <v>0</v>
      </c>
      <c r="G7">
        <f>Timeline!G22</f>
        <v>0</v>
      </c>
      <c r="H7">
        <f>Timeline!H22</f>
        <v>1</v>
      </c>
      <c r="I7">
        <f>Timeline!I22</f>
        <v>1</v>
      </c>
      <c r="J7">
        <f>Timeline!J22</f>
        <v>1</v>
      </c>
      <c r="K7">
        <f>Timeline!K22</f>
        <v>1</v>
      </c>
      <c r="L7">
        <f>Timeline!L22</f>
        <v>1</v>
      </c>
      <c r="M7">
        <f>Timeline!M22</f>
        <v>1</v>
      </c>
      <c r="N7">
        <f>Timeline!N22</f>
        <v>1</v>
      </c>
      <c r="O7">
        <f>Timeline!O22</f>
        <v>1</v>
      </c>
      <c r="P7">
        <f>Timeline!P22</f>
        <v>1</v>
      </c>
      <c r="Q7">
        <f>Timeline!Q22</f>
        <v>1</v>
      </c>
      <c r="R7">
        <f>Timeline!R22</f>
        <v>1</v>
      </c>
      <c r="S7">
        <f>Timeline!S22</f>
        <v>1</v>
      </c>
      <c r="T7">
        <f>Timeline!T22</f>
        <v>1</v>
      </c>
      <c r="U7">
        <f>Timeline!U22</f>
        <v>1</v>
      </c>
      <c r="V7">
        <f>Timeline!V22</f>
        <v>1</v>
      </c>
      <c r="W7">
        <f>Timeline!W22</f>
        <v>1</v>
      </c>
      <c r="X7">
        <f>Timeline!X22</f>
        <v>1</v>
      </c>
      <c r="Y7">
        <f>Timeline!Y22</f>
        <v>1</v>
      </c>
      <c r="Z7">
        <f>Timeline!Z22</f>
        <v>1</v>
      </c>
      <c r="AA7">
        <f>Timeline!AA22</f>
        <v>1</v>
      </c>
      <c r="AB7">
        <f>Timeline!AB22</f>
        <v>1</v>
      </c>
      <c r="AC7">
        <f>Timeline!AC22</f>
        <v>1</v>
      </c>
      <c r="AD7">
        <f>Timeline!AD22</f>
        <v>1</v>
      </c>
      <c r="AE7">
        <f>Timeline!AE22</f>
        <v>1</v>
      </c>
      <c r="AF7">
        <f>Timeline!AF22</f>
        <v>0</v>
      </c>
      <c r="AG7">
        <f>Timeline!AG22</f>
        <v>0</v>
      </c>
      <c r="AH7">
        <f>Timeline!AH22</f>
        <v>0</v>
      </c>
      <c r="AI7">
        <f>Timeline!AI22</f>
        <v>0</v>
      </c>
      <c r="AJ7">
        <f>Timeline!AJ22</f>
        <v>0</v>
      </c>
      <c r="AK7">
        <f>Timeline!AK22</f>
        <v>0</v>
      </c>
      <c r="AL7">
        <f>Timeline!AL22</f>
        <v>0</v>
      </c>
      <c r="AM7">
        <f>Timeline!AM22</f>
        <v>0</v>
      </c>
      <c r="AN7">
        <f>Timeline!AN22</f>
        <v>0</v>
      </c>
      <c r="AO7">
        <f>Timeline!AO22</f>
        <v>0</v>
      </c>
      <c r="AP7">
        <f>Timeline!AP22</f>
        <v>0</v>
      </c>
      <c r="AQ7">
        <f>Timeline!AQ22</f>
        <v>0</v>
      </c>
      <c r="AR7">
        <f>Timeline!AR22</f>
        <v>0</v>
      </c>
      <c r="AS7">
        <f>Timeline!AS22</f>
        <v>0</v>
      </c>
      <c r="AT7">
        <f>Timeline!AT22</f>
        <v>0</v>
      </c>
      <c r="AU7">
        <f>Timeline!AU22</f>
        <v>0</v>
      </c>
      <c r="AV7">
        <f>Timeline!AV22</f>
        <v>0</v>
      </c>
      <c r="AW7">
        <f>Timeline!AW22</f>
        <v>0</v>
      </c>
      <c r="AX7">
        <f>Timeline!AX22</f>
        <v>0</v>
      </c>
      <c r="AY7">
        <f>Timeline!AY22</f>
        <v>0</v>
      </c>
      <c r="AZ7">
        <f>Timeline!AZ22</f>
        <v>0</v>
      </c>
      <c r="BA7">
        <f>Timeline!BA22</f>
        <v>0</v>
      </c>
      <c r="BB7">
        <f>Timeline!BB22</f>
        <v>0</v>
      </c>
      <c r="BC7">
        <f>Timeline!BC22</f>
        <v>0</v>
      </c>
      <c r="BD7">
        <f>Timeline!BD22</f>
        <v>0</v>
      </c>
      <c r="BE7">
        <f>Timeline!BE22</f>
        <v>0</v>
      </c>
      <c r="BF7">
        <f>Timeline!BF22</f>
        <v>0</v>
      </c>
      <c r="BG7">
        <f>Timeline!BG22</f>
        <v>0</v>
      </c>
      <c r="BH7">
        <f>Timeline!BH22</f>
        <v>0</v>
      </c>
      <c r="BI7">
        <f>Timeline!BI22</f>
        <v>0</v>
      </c>
      <c r="BJ7">
        <f>Timeline!BJ22</f>
        <v>0</v>
      </c>
      <c r="BK7">
        <f>Timeline!BK22</f>
        <v>0</v>
      </c>
      <c r="BL7">
        <f>Timeline!BL22</f>
        <v>0</v>
      </c>
      <c r="BM7">
        <f>Timeline!BM22</f>
        <v>0</v>
      </c>
      <c r="BN7">
        <f>Timeline!BN22</f>
        <v>0</v>
      </c>
      <c r="BO7">
        <f>Timeline!BO22</f>
        <v>0</v>
      </c>
      <c r="BP7">
        <f>Timeline!BP22</f>
        <v>0</v>
      </c>
      <c r="BQ7">
        <f>Timeline!BQ22</f>
        <v>0</v>
      </c>
      <c r="BR7">
        <f>Timeline!BR22</f>
        <v>0</v>
      </c>
      <c r="BS7">
        <f>Timeline!BS22</f>
        <v>0</v>
      </c>
      <c r="BT7">
        <f>Timeline!BT22</f>
        <v>0</v>
      </c>
      <c r="BU7">
        <f>Timeline!BU22</f>
        <v>0</v>
      </c>
    </row>
    <row r="8" spans="1:73">
      <c r="A8" t="str">
        <f>Tax!A33</f>
        <v>CFADS</v>
      </c>
      <c r="B8" t="str">
        <f>Tax!B33</f>
        <v>USD</v>
      </c>
      <c r="C8">
        <f>Tax!C33</f>
        <v>32632556.585838038</v>
      </c>
      <c r="D8">
        <f>Tax!D33</f>
        <v>0</v>
      </c>
      <c r="E8">
        <f>Tax!E33</f>
        <v>0</v>
      </c>
      <c r="F8">
        <f>Tax!F33</f>
        <v>0</v>
      </c>
      <c r="G8">
        <f>Tax!G33</f>
        <v>0</v>
      </c>
      <c r="H8">
        <f>Tax!H33</f>
        <v>1220374.4089345317</v>
      </c>
      <c r="I8">
        <f>Tax!I33</f>
        <v>367941.26282097551</v>
      </c>
      <c r="J8">
        <f>Tax!J33</f>
        <v>1209397.0949984677</v>
      </c>
      <c r="K8">
        <f>Tax!K33</f>
        <v>356855.09485584439</v>
      </c>
      <c r="L8">
        <f>Tax!L33</f>
        <v>1198200.3865466854</v>
      </c>
      <c r="M8">
        <f>Tax!M33</f>
        <v>345516.06830213021</v>
      </c>
      <c r="N8">
        <f>Tax!N33</f>
        <v>1186748.2982463562</v>
      </c>
      <c r="O8">
        <f>Tax!O33</f>
        <v>333981.70647828188</v>
      </c>
      <c r="P8">
        <f>Tax!P33</f>
        <v>1175098.9269825253</v>
      </c>
      <c r="Q8">
        <f>Tax!Q33</f>
        <v>322216.81688222941</v>
      </c>
      <c r="R8">
        <f>Tax!R33</f>
        <v>1163216.7293477135</v>
      </c>
      <c r="S8">
        <f>Tax!S33</f>
        <v>310216.79214560974</v>
      </c>
      <c r="T8">
        <f>Tax!T33</f>
        <v>1151097.0520333601</v>
      </c>
      <c r="U8">
        <f>Tax!U33</f>
        <v>297943.06514077552</v>
      </c>
      <c r="V8">
        <f>Tax!V33</f>
        <v>1138700.9433579245</v>
      </c>
      <c r="W8">
        <f>Tax!W33</f>
        <v>285457.90095756587</v>
      </c>
      <c r="X8">
        <f>Tax!X33</f>
        <v>1126091.2892581739</v>
      </c>
      <c r="Y8">
        <f>Tax!Y33</f>
        <v>272723.20609994943</v>
      </c>
      <c r="Z8">
        <f>Tax!Z33</f>
        <v>1113229.6164067774</v>
      </c>
      <c r="AA8">
        <f>Tax!AA33</f>
        <v>259733.99340423674</v>
      </c>
      <c r="AB8">
        <f>Tax!AB33</f>
        <v>1100110.887912899</v>
      </c>
      <c r="AC8">
        <f>Tax!AC33</f>
        <v>246448.51657114364</v>
      </c>
      <c r="AD8">
        <f>Tax!AD33</f>
        <v>1086692.9412237522</v>
      </c>
      <c r="AE8">
        <f>Tax!AE33</f>
        <v>232934.17333635734</v>
      </c>
      <c r="AF8">
        <f>Tax!AF33</f>
        <v>1073043.8460997068</v>
      </c>
      <c r="AG8">
        <f>Tax!AG33</f>
        <v>219149.7300746867</v>
      </c>
      <c r="AH8">
        <f>Tax!AH33</f>
        <v>1059121.9577739565</v>
      </c>
      <c r="AI8">
        <f>Tax!AI33</f>
        <v>205089.788519767</v>
      </c>
      <c r="AJ8">
        <f>Tax!AJ33</f>
        <v>1044921.824153874</v>
      </c>
      <c r="AK8">
        <f>Tax!AK33</f>
        <v>190709.16113469214</v>
      </c>
      <c r="AL8">
        <f>Tax!AL33</f>
        <v>732272.82580145611</v>
      </c>
      <c r="AM8">
        <f>Tax!AM33</f>
        <v>176080.80139608099</v>
      </c>
      <c r="AN8">
        <f>Tax!AN33</f>
        <v>723555.55378948129</v>
      </c>
      <c r="AO8">
        <f>Tax!AO33</f>
        <v>161160.07670195331</v>
      </c>
      <c r="AP8">
        <f>Tax!AP33</f>
        <v>718982.63265880744</v>
      </c>
      <c r="AQ8">
        <f>Tax!AQ33</f>
        <v>145941.14379518793</v>
      </c>
      <c r="AR8">
        <f>Tax!AR33</f>
        <v>714318.31632683706</v>
      </c>
      <c r="AS8">
        <f>Tax!AS33</f>
        <v>130375.09023260616</v>
      </c>
      <c r="AT8">
        <f>Tax!AT33</f>
        <v>709547.61405085807</v>
      </c>
      <c r="AU8">
        <f>Tax!AU33</f>
        <v>114540.88320348423</v>
      </c>
      <c r="AV8">
        <f>Tax!AV33</f>
        <v>704694.72778726846</v>
      </c>
      <c r="AW8">
        <f>Tax!AW33</f>
        <v>98390.210944054183</v>
      </c>
      <c r="AX8">
        <f>Tax!AX33</f>
        <v>699744.85089028359</v>
      </c>
      <c r="AY8">
        <f>Tax!AY33</f>
        <v>81916.748524889117</v>
      </c>
      <c r="AZ8">
        <f>Tax!AZ33</f>
        <v>694696.04488814552</v>
      </c>
      <c r="BA8">
        <f>Tax!BA33</f>
        <v>65067.551544468035</v>
      </c>
      <c r="BB8">
        <f>Tax!BB33</f>
        <v>689532.08331884071</v>
      </c>
      <c r="BC8">
        <f>Tax!BC33</f>
        <v>47928.096628048341</v>
      </c>
      <c r="BD8">
        <f>Tax!BD33</f>
        <v>684279.16315830906</v>
      </c>
      <c r="BE8">
        <f>Tax!BE33</f>
        <v>30446.089568821597</v>
      </c>
      <c r="BF8">
        <f>Tax!BF33</f>
        <v>678921.2572169716</v>
      </c>
      <c r="BG8">
        <f>Tax!BG33</f>
        <v>12614.684059765772</v>
      </c>
      <c r="BH8">
        <f>Tax!BH33</f>
        <v>673456.26723065635</v>
      </c>
      <c r="BI8">
        <f>Tax!BI33</f>
        <v>-5623.4286220169161</v>
      </c>
      <c r="BJ8">
        <f>Tax!BJ33</f>
        <v>667866.62915503676</v>
      </c>
      <c r="BK8">
        <f>Tax!BK33</f>
        <v>-24175.725828419672</v>
      </c>
      <c r="BL8">
        <f>Tax!BL33</f>
        <v>662180.69943936495</v>
      </c>
      <c r="BM8">
        <f>Tax!BM33</f>
        <v>-43098.812490673736</v>
      </c>
      <c r="BN8">
        <f>Tax!BN33</f>
        <v>656381.12973820628</v>
      </c>
      <c r="BO8">
        <f>Tax!BO33</f>
        <v>-62400.099271676852</v>
      </c>
      <c r="BP8">
        <f>Tax!BP33</f>
        <v>0</v>
      </c>
      <c r="BQ8">
        <f>Tax!BQ33</f>
        <v>0</v>
      </c>
      <c r="BR8">
        <f>Tax!BR33</f>
        <v>0</v>
      </c>
      <c r="BS8">
        <f>Tax!BS33</f>
        <v>0</v>
      </c>
      <c r="BT8">
        <f>Tax!BT33</f>
        <v>0</v>
      </c>
      <c r="BU8">
        <f>Tax!BU33</f>
        <v>0</v>
      </c>
    </row>
    <row r="9" spans="1:73">
      <c r="A9" t="str">
        <f>Debt!A25</f>
        <v xml:space="preserve">        Debt service</v>
      </c>
      <c r="B9" t="str">
        <f>Debt!B25</f>
        <v>USD</v>
      </c>
      <c r="C9">
        <f>Debt!C25</f>
        <v>12963649.757217973</v>
      </c>
      <c r="D9">
        <f>Debt!D25</f>
        <v>0</v>
      </c>
      <c r="E9">
        <f>Debt!E25</f>
        <v>0</v>
      </c>
      <c r="F9">
        <f>Debt!F25</f>
        <v>0</v>
      </c>
      <c r="G9">
        <f>Debt!G25</f>
        <v>0</v>
      </c>
      <c r="H9">
        <f>Debt!H25</f>
        <v>903981.04365520866</v>
      </c>
      <c r="I9">
        <f>Debt!I25</f>
        <v>272549.08357109292</v>
      </c>
      <c r="J9">
        <f>Debt!J25</f>
        <v>895849.6999988649</v>
      </c>
      <c r="K9">
        <f>Debt!K25</f>
        <v>264337.10730062547</v>
      </c>
      <c r="L9">
        <f>Debt!L25</f>
        <v>887555.84188643354</v>
      </c>
      <c r="M9">
        <f>Debt!M25</f>
        <v>255937.8283719483</v>
      </c>
      <c r="N9">
        <f>Debt!N25</f>
        <v>879072.81351581938</v>
      </c>
      <c r="O9">
        <f>Debt!O25</f>
        <v>247393.85665057914</v>
      </c>
      <c r="P9">
        <f>Debt!P25</f>
        <v>870443.64961668535</v>
      </c>
      <c r="Q9">
        <f>Debt!Q25</f>
        <v>238679.12361646621</v>
      </c>
      <c r="R9">
        <f>Debt!R25</f>
        <v>861642.02173904702</v>
      </c>
      <c r="S9">
        <f>Debt!S25</f>
        <v>229790.21640415533</v>
      </c>
      <c r="T9">
        <f>Debt!T25</f>
        <v>852664.48298767407</v>
      </c>
      <c r="U9">
        <f>Debt!U25</f>
        <v>220698.5667709448</v>
      </c>
      <c r="V9">
        <f>Debt!V25</f>
        <v>843482.18026512919</v>
      </c>
      <c r="W9">
        <f>Debt!W25</f>
        <v>211450.29700560434</v>
      </c>
      <c r="X9">
        <f>Debt!X25</f>
        <v>834141.69574679539</v>
      </c>
      <c r="Y9">
        <f>Debt!Y25</f>
        <v>202017.18970366623</v>
      </c>
      <c r="Z9">
        <f>Debt!Z25</f>
        <v>824614.53067168687</v>
      </c>
      <c r="AA9">
        <f>Debt!AA25</f>
        <v>192395.55066980497</v>
      </c>
      <c r="AB9">
        <f>Debt!AB25</f>
        <v>814896.95400955481</v>
      </c>
      <c r="AC9">
        <f>Debt!AC25</f>
        <v>182554.45671936564</v>
      </c>
      <c r="AD9">
        <f>Debt!AD25</f>
        <v>804957.73423981643</v>
      </c>
      <c r="AE9">
        <f>Debt!AE25</f>
        <v>172543.83210100542</v>
      </c>
      <c r="AF9">
        <f>Debt!AF25</f>
        <v>0</v>
      </c>
      <c r="AG9">
        <f>Debt!AG25</f>
        <v>0</v>
      </c>
      <c r="AH9">
        <f>Debt!AH25</f>
        <v>0</v>
      </c>
      <c r="AI9">
        <f>Debt!AI25</f>
        <v>0</v>
      </c>
      <c r="AJ9">
        <f>Debt!AJ25</f>
        <v>0</v>
      </c>
      <c r="AK9">
        <f>Debt!AK25</f>
        <v>0</v>
      </c>
      <c r="AL9">
        <f>Debt!AL25</f>
        <v>0</v>
      </c>
      <c r="AM9">
        <f>Debt!AM25</f>
        <v>0</v>
      </c>
      <c r="AN9">
        <f>Debt!AN25</f>
        <v>0</v>
      </c>
      <c r="AO9">
        <f>Debt!AO25</f>
        <v>0</v>
      </c>
      <c r="AP9">
        <f>Debt!AP25</f>
        <v>0</v>
      </c>
      <c r="AQ9">
        <f>Debt!AQ25</f>
        <v>0</v>
      </c>
      <c r="AR9">
        <f>Debt!AR25</f>
        <v>0</v>
      </c>
      <c r="AS9">
        <f>Debt!AS25</f>
        <v>0</v>
      </c>
      <c r="AT9">
        <f>Debt!AT25</f>
        <v>0</v>
      </c>
      <c r="AU9">
        <f>Debt!AU25</f>
        <v>0</v>
      </c>
      <c r="AV9">
        <f>Debt!AV25</f>
        <v>0</v>
      </c>
      <c r="AW9">
        <f>Debt!AW25</f>
        <v>0</v>
      </c>
      <c r="AX9">
        <f>Debt!AX25</f>
        <v>0</v>
      </c>
      <c r="AY9">
        <f>Debt!AY25</f>
        <v>0</v>
      </c>
      <c r="AZ9">
        <f>Debt!AZ25</f>
        <v>0</v>
      </c>
      <c r="BA9">
        <f>Debt!BA25</f>
        <v>0</v>
      </c>
      <c r="BB9">
        <f>Debt!BB25</f>
        <v>0</v>
      </c>
      <c r="BC9">
        <f>Debt!BC25</f>
        <v>0</v>
      </c>
      <c r="BD9">
        <f>Debt!BD25</f>
        <v>0</v>
      </c>
      <c r="BE9">
        <f>Debt!BE25</f>
        <v>0</v>
      </c>
      <c r="BF9">
        <f>Debt!BF25</f>
        <v>0</v>
      </c>
      <c r="BG9">
        <f>Debt!BG25</f>
        <v>0</v>
      </c>
      <c r="BH9">
        <f>Debt!BH25</f>
        <v>0</v>
      </c>
      <c r="BI9">
        <f>Debt!BI25</f>
        <v>0</v>
      </c>
      <c r="BJ9">
        <f>Debt!BJ25</f>
        <v>0</v>
      </c>
      <c r="BK9">
        <f>Debt!BK25</f>
        <v>0</v>
      </c>
      <c r="BL9">
        <f>Debt!BL25</f>
        <v>0</v>
      </c>
      <c r="BM9">
        <f>Debt!BM25</f>
        <v>0</v>
      </c>
      <c r="BN9">
        <f>Debt!BN25</f>
        <v>0</v>
      </c>
      <c r="BO9">
        <f>Debt!BO25</f>
        <v>0</v>
      </c>
      <c r="BP9">
        <f>Debt!BP25</f>
        <v>0</v>
      </c>
      <c r="BQ9">
        <f>Debt!BQ25</f>
        <v>0</v>
      </c>
      <c r="BR9">
        <f>Debt!BR25</f>
        <v>0</v>
      </c>
      <c r="BS9">
        <f>Debt!BS25</f>
        <v>0</v>
      </c>
      <c r="BT9">
        <f>Debt!BT25</f>
        <v>0</v>
      </c>
      <c r="BU9">
        <f>Debt!BU25</f>
        <v>0</v>
      </c>
    </row>
    <row r="10" spans="1:73">
      <c r="A10" t="s">
        <v>298</v>
      </c>
      <c r="B10" t="s">
        <v>184</v>
      </c>
      <c r="D10">
        <f>D8-D9</f>
        <v>0</v>
      </c>
      <c r="E10">
        <f t="shared" ref="E10:BP10" si="0">E8-E9</f>
        <v>0</v>
      </c>
      <c r="F10">
        <f t="shared" si="0"/>
        <v>0</v>
      </c>
      <c r="G10">
        <f t="shared" si="0"/>
        <v>0</v>
      </c>
      <c r="H10">
        <f t="shared" si="0"/>
        <v>316393.36527932307</v>
      </c>
      <c r="I10">
        <f t="shared" si="0"/>
        <v>95392.179249882582</v>
      </c>
      <c r="J10">
        <f t="shared" si="0"/>
        <v>313547.39499960281</v>
      </c>
      <c r="K10">
        <f t="shared" si="0"/>
        <v>92517.987555218919</v>
      </c>
      <c r="L10">
        <f t="shared" si="0"/>
        <v>310644.54466025182</v>
      </c>
      <c r="M10">
        <f t="shared" si="0"/>
        <v>89578.23993018191</v>
      </c>
      <c r="N10">
        <f t="shared" si="0"/>
        <v>307675.48473053682</v>
      </c>
      <c r="O10">
        <f t="shared" si="0"/>
        <v>86587.849827702739</v>
      </c>
      <c r="P10">
        <f t="shared" si="0"/>
        <v>304655.27736583992</v>
      </c>
      <c r="Q10">
        <f t="shared" si="0"/>
        <v>83537.693265763199</v>
      </c>
      <c r="R10">
        <f t="shared" si="0"/>
        <v>301574.7076086665</v>
      </c>
      <c r="S10">
        <f t="shared" si="0"/>
        <v>80426.575741454406</v>
      </c>
      <c r="T10">
        <f t="shared" si="0"/>
        <v>298432.56904568605</v>
      </c>
      <c r="U10">
        <f t="shared" si="0"/>
        <v>77244.498369830719</v>
      </c>
      <c r="V10">
        <f t="shared" si="0"/>
        <v>295218.76309279527</v>
      </c>
      <c r="W10">
        <f t="shared" si="0"/>
        <v>74007.60395196153</v>
      </c>
      <c r="X10">
        <f t="shared" si="0"/>
        <v>291949.59351137851</v>
      </c>
      <c r="Y10">
        <f t="shared" si="0"/>
        <v>70706.016396283201</v>
      </c>
      <c r="Z10">
        <f t="shared" si="0"/>
        <v>288615.08573509054</v>
      </c>
      <c r="AA10">
        <f t="shared" si="0"/>
        <v>67338.442734431766</v>
      </c>
      <c r="AB10">
        <f t="shared" si="0"/>
        <v>285213.93390334421</v>
      </c>
      <c r="AC10">
        <f t="shared" si="0"/>
        <v>63894.059851778002</v>
      </c>
      <c r="AD10">
        <f t="shared" si="0"/>
        <v>281735.20698393579</v>
      </c>
      <c r="AE10">
        <f t="shared" si="0"/>
        <v>60390.341235351923</v>
      </c>
      <c r="AF10">
        <f t="shared" si="0"/>
        <v>1073043.8460997068</v>
      </c>
      <c r="AG10">
        <f t="shared" si="0"/>
        <v>219149.7300746867</v>
      </c>
      <c r="AH10">
        <f t="shared" si="0"/>
        <v>1059121.9577739565</v>
      </c>
      <c r="AI10">
        <f t="shared" si="0"/>
        <v>205089.788519767</v>
      </c>
      <c r="AJ10">
        <f t="shared" si="0"/>
        <v>1044921.824153874</v>
      </c>
      <c r="AK10">
        <f t="shared" si="0"/>
        <v>190709.16113469214</v>
      </c>
      <c r="AL10">
        <f t="shared" si="0"/>
        <v>732272.82580145611</v>
      </c>
      <c r="AM10">
        <f t="shared" si="0"/>
        <v>176080.80139608099</v>
      </c>
      <c r="AN10">
        <f t="shared" si="0"/>
        <v>723555.55378948129</v>
      </c>
      <c r="AO10">
        <f t="shared" si="0"/>
        <v>161160.07670195331</v>
      </c>
      <c r="AP10">
        <f t="shared" si="0"/>
        <v>718982.63265880744</v>
      </c>
      <c r="AQ10">
        <f t="shared" si="0"/>
        <v>145941.14379518793</v>
      </c>
      <c r="AR10">
        <f t="shared" si="0"/>
        <v>714318.31632683706</v>
      </c>
      <c r="AS10">
        <f t="shared" si="0"/>
        <v>130375.09023260616</v>
      </c>
      <c r="AT10">
        <f t="shared" si="0"/>
        <v>709547.61405085807</v>
      </c>
      <c r="AU10">
        <f t="shared" si="0"/>
        <v>114540.88320348423</v>
      </c>
      <c r="AV10">
        <f t="shared" si="0"/>
        <v>704694.72778726846</v>
      </c>
      <c r="AW10">
        <f t="shared" si="0"/>
        <v>98390.210944054183</v>
      </c>
      <c r="AX10">
        <f t="shared" si="0"/>
        <v>699744.85089028359</v>
      </c>
      <c r="AY10">
        <f t="shared" si="0"/>
        <v>81916.748524889117</v>
      </c>
      <c r="AZ10">
        <f t="shared" si="0"/>
        <v>694696.04488814552</v>
      </c>
      <c r="BA10">
        <f t="shared" si="0"/>
        <v>65067.551544468035</v>
      </c>
      <c r="BB10">
        <f t="shared" si="0"/>
        <v>689532.08331884071</v>
      </c>
      <c r="BC10">
        <f t="shared" si="0"/>
        <v>47928.096628048341</v>
      </c>
      <c r="BD10">
        <f t="shared" si="0"/>
        <v>684279.16315830906</v>
      </c>
      <c r="BE10">
        <f t="shared" si="0"/>
        <v>30446.089568821597</v>
      </c>
      <c r="BF10">
        <f t="shared" si="0"/>
        <v>678921.2572169716</v>
      </c>
      <c r="BG10">
        <f t="shared" si="0"/>
        <v>12614.684059765772</v>
      </c>
      <c r="BH10">
        <f t="shared" si="0"/>
        <v>673456.26723065635</v>
      </c>
      <c r="BI10">
        <f t="shared" si="0"/>
        <v>-5623.4286220169161</v>
      </c>
      <c r="BJ10">
        <f t="shared" si="0"/>
        <v>667866.62915503676</v>
      </c>
      <c r="BK10">
        <f t="shared" si="0"/>
        <v>-24175.725828419672</v>
      </c>
      <c r="BL10">
        <f t="shared" si="0"/>
        <v>662180.69943936495</v>
      </c>
      <c r="BM10">
        <f t="shared" si="0"/>
        <v>-43098.812490673736</v>
      </c>
      <c r="BN10">
        <f t="shared" si="0"/>
        <v>656381.12973820628</v>
      </c>
      <c r="BO10">
        <f t="shared" si="0"/>
        <v>-62400.099271676852</v>
      </c>
      <c r="BP10">
        <f t="shared" si="0"/>
        <v>0</v>
      </c>
      <c r="BQ10">
        <f t="shared" ref="BQ10:BU10" si="1">BQ8-BQ9</f>
        <v>0</v>
      </c>
      <c r="BR10">
        <f t="shared" si="1"/>
        <v>0</v>
      </c>
      <c r="BS10">
        <f t="shared" si="1"/>
        <v>0</v>
      </c>
      <c r="BT10">
        <f t="shared" si="1"/>
        <v>0</v>
      </c>
      <c r="BU10">
        <f t="shared" si="1"/>
        <v>0</v>
      </c>
    </row>
    <row r="11" spans="1:73">
      <c r="A11" t="s">
        <v>299</v>
      </c>
      <c r="B11" t="s">
        <v>174</v>
      </c>
      <c r="D11">
        <f>IF(AND(D6=1,E6=0),1,0)</f>
        <v>0</v>
      </c>
      <c r="E11">
        <f t="shared" ref="E11:BP11" si="2">IF(AND(E6=1,F6=0),1,0)</f>
        <v>0</v>
      </c>
      <c r="F11">
        <f t="shared" si="2"/>
        <v>0</v>
      </c>
      <c r="G11">
        <f t="shared" si="2"/>
        <v>1</v>
      </c>
      <c r="H11">
        <f t="shared" si="2"/>
        <v>0</v>
      </c>
      <c r="I11">
        <f t="shared" si="2"/>
        <v>0</v>
      </c>
      <c r="J11">
        <f t="shared" si="2"/>
        <v>0</v>
      </c>
      <c r="K11">
        <f t="shared" si="2"/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  <c r="AL11">
        <f t="shared" si="2"/>
        <v>0</v>
      </c>
      <c r="AM11">
        <f t="shared" si="2"/>
        <v>0</v>
      </c>
      <c r="AN11">
        <f t="shared" si="2"/>
        <v>0</v>
      </c>
      <c r="AO11">
        <f t="shared" si="2"/>
        <v>0</v>
      </c>
      <c r="AP11">
        <f t="shared" si="2"/>
        <v>0</v>
      </c>
      <c r="AQ11">
        <f t="shared" si="2"/>
        <v>0</v>
      </c>
      <c r="AR11">
        <f t="shared" si="2"/>
        <v>0</v>
      </c>
      <c r="AS11">
        <f t="shared" si="2"/>
        <v>0</v>
      </c>
      <c r="AT11">
        <f t="shared" si="2"/>
        <v>0</v>
      </c>
      <c r="AU11">
        <f t="shared" si="2"/>
        <v>0</v>
      </c>
      <c r="AV11">
        <f t="shared" si="2"/>
        <v>0</v>
      </c>
      <c r="AW11">
        <f t="shared" si="2"/>
        <v>0</v>
      </c>
      <c r="AX11">
        <f t="shared" si="2"/>
        <v>0</v>
      </c>
      <c r="AY11">
        <f t="shared" si="2"/>
        <v>0</v>
      </c>
      <c r="AZ11">
        <f t="shared" si="2"/>
        <v>0</v>
      </c>
      <c r="BA11">
        <f t="shared" si="2"/>
        <v>0</v>
      </c>
      <c r="BB11">
        <f t="shared" si="2"/>
        <v>0</v>
      </c>
      <c r="BC11">
        <f t="shared" si="2"/>
        <v>0</v>
      </c>
      <c r="BD11">
        <f t="shared" si="2"/>
        <v>0</v>
      </c>
      <c r="BE11">
        <f t="shared" si="2"/>
        <v>0</v>
      </c>
      <c r="BF11">
        <f t="shared" si="2"/>
        <v>0</v>
      </c>
      <c r="BG11">
        <f t="shared" si="2"/>
        <v>0</v>
      </c>
      <c r="BH11">
        <f t="shared" si="2"/>
        <v>0</v>
      </c>
      <c r="BI11">
        <f t="shared" si="2"/>
        <v>0</v>
      </c>
      <c r="BJ11">
        <f t="shared" si="2"/>
        <v>0</v>
      </c>
      <c r="BK11">
        <f t="shared" si="2"/>
        <v>0</v>
      </c>
      <c r="BL11">
        <f t="shared" si="2"/>
        <v>0</v>
      </c>
      <c r="BM11">
        <f t="shared" si="2"/>
        <v>0</v>
      </c>
      <c r="BN11">
        <f t="shared" si="2"/>
        <v>0</v>
      </c>
      <c r="BO11">
        <f t="shared" si="2"/>
        <v>0</v>
      </c>
      <c r="BP11">
        <f t="shared" si="2"/>
        <v>0</v>
      </c>
      <c r="BQ11">
        <f t="shared" ref="BQ11:BU11" si="3">IF(AND(BQ6=1,BR6=0),1,0)</f>
        <v>0</v>
      </c>
      <c r="BR11">
        <f t="shared" si="3"/>
        <v>0</v>
      </c>
      <c r="BS11">
        <f t="shared" si="3"/>
        <v>0</v>
      </c>
      <c r="BT11">
        <f t="shared" si="3"/>
        <v>0</v>
      </c>
      <c r="BU11">
        <f t="shared" si="3"/>
        <v>0</v>
      </c>
    </row>
    <row r="12" spans="1:73">
      <c r="A12" t="s">
        <v>300</v>
      </c>
      <c r="B12" t="s">
        <v>184</v>
      </c>
      <c r="D12">
        <f>(E9+F9)*Inputs!$B$50 /12</f>
        <v>0</v>
      </c>
      <c r="E12">
        <f>(F9+G9)*Inputs!$B$50 /12</f>
        <v>0</v>
      </c>
      <c r="F12">
        <f>(G9+H9)*Inputs!$B$50 /12</f>
        <v>451990.52182760433</v>
      </c>
      <c r="G12">
        <f>(H9+I9)*Inputs!$B$50 /12</f>
        <v>588265.06361315073</v>
      </c>
      <c r="H12">
        <f>(I9+J9)*Inputs!$B$50 /12</f>
        <v>584199.39178497891</v>
      </c>
      <c r="I12">
        <f>(J9+K9)*Inputs!$B$50 /12</f>
        <v>580093.40364974516</v>
      </c>
      <c r="J12">
        <f>(K9+L9)*Inputs!$B$50 /12</f>
        <v>575946.47459352948</v>
      </c>
      <c r="K12">
        <f>(L9+M9)*Inputs!$B$50 /12</f>
        <v>571746.83512919093</v>
      </c>
      <c r="L12">
        <f>(M9+N9)*Inputs!$B$50 /12</f>
        <v>567505.32094388385</v>
      </c>
      <c r="M12">
        <f>(N9+O9)*Inputs!$B$50 /12</f>
        <v>563233.3350831992</v>
      </c>
      <c r="N12">
        <f>(O9+P9)*Inputs!$B$50 /12</f>
        <v>558918.75313363224</v>
      </c>
      <c r="O12">
        <f>(P9+Q9)*Inputs!$B$50 /12</f>
        <v>554561.38661657576</v>
      </c>
      <c r="P12">
        <f>(Q9+R9)*Inputs!$B$50 /12</f>
        <v>550160.57267775666</v>
      </c>
      <c r="Q12">
        <f>(R9+S9)*Inputs!$B$50 /12</f>
        <v>545716.11907160119</v>
      </c>
      <c r="R12">
        <f>(S9+T9)*Inputs!$B$50 /12</f>
        <v>541227.34969591466</v>
      </c>
      <c r="S12">
        <f>(T9+U9)*Inputs!$B$50 /12</f>
        <v>536681.52487930947</v>
      </c>
      <c r="T12">
        <f>(U9+V9)*Inputs!$B$50 /12</f>
        <v>532090.37351803703</v>
      </c>
      <c r="U12">
        <f>(V9+W9)*Inputs!$B$50 /12</f>
        <v>527466.23863536678</v>
      </c>
      <c r="V12">
        <f>(W9+X9)*Inputs!$B$50 /12</f>
        <v>522795.99637619988</v>
      </c>
      <c r="W12">
        <f>(X9+Y9)*Inputs!$B$50 /12</f>
        <v>518079.44272523077</v>
      </c>
      <c r="X12">
        <f>(Y9+Z9)*Inputs!$B$50 /12</f>
        <v>513315.86018767656</v>
      </c>
      <c r="Y12">
        <f>(Z9+AA9)*Inputs!$B$50 /12</f>
        <v>508505.04067074583</v>
      </c>
      <c r="Z12">
        <f>(AA9+AB9)*Inputs!$B$50 /12</f>
        <v>503646.25233967992</v>
      </c>
      <c r="AA12">
        <f>(AB9+AC9)*Inputs!$B$50 /12</f>
        <v>498725.7053644603</v>
      </c>
      <c r="AB12">
        <f>(AC9+AD9)*Inputs!$B$50 /12</f>
        <v>493756.09547959105</v>
      </c>
      <c r="AC12">
        <f>(AD9+AE9)*Inputs!$B$50 /12</f>
        <v>488750.7831704109</v>
      </c>
      <c r="AD12">
        <f>(AE9+AF9)*Inputs!$B$50 /12</f>
        <v>86271.91605050271</v>
      </c>
      <c r="AE12">
        <f>(AF9+AG9)*Inputs!$B$50 /12</f>
        <v>0</v>
      </c>
      <c r="AF12">
        <f>(AG9+AH9)*Inputs!$B$50 /12</f>
        <v>0</v>
      </c>
      <c r="AG12">
        <f>(AH9+AI9)*Inputs!$B$50 /12</f>
        <v>0</v>
      </c>
      <c r="AH12">
        <f>(AI9+AJ9)*Inputs!$B$50 /12</f>
        <v>0</v>
      </c>
      <c r="AI12">
        <f>(AJ9+AK9)*Inputs!$B$50 /12</f>
        <v>0</v>
      </c>
      <c r="AJ12">
        <f>(AK9+AL9)*Inputs!$B$50 /12</f>
        <v>0</v>
      </c>
      <c r="AK12">
        <f>(AL9+AM9)*Inputs!$B$50 /12</f>
        <v>0</v>
      </c>
      <c r="AL12">
        <f>(AM9+AN9)*Inputs!$B$50 /12</f>
        <v>0</v>
      </c>
      <c r="AM12">
        <f>(AN9+AO9)*Inputs!$B$50 /12</f>
        <v>0</v>
      </c>
      <c r="AN12">
        <f>(AO9+AP9)*Inputs!$B$50 /12</f>
        <v>0</v>
      </c>
      <c r="AO12">
        <f>(AP9+AQ9)*Inputs!$B$50 /12</f>
        <v>0</v>
      </c>
      <c r="AP12">
        <f>(AQ9+AR9)*Inputs!$B$50 /12</f>
        <v>0</v>
      </c>
      <c r="AQ12">
        <f>(AR9+AS9)*Inputs!$B$50 /12</f>
        <v>0</v>
      </c>
      <c r="AR12">
        <f>(AS9+AT9)*Inputs!$B$50 /12</f>
        <v>0</v>
      </c>
      <c r="AS12">
        <f>(AT9+AU9)*Inputs!$B$50 /12</f>
        <v>0</v>
      </c>
      <c r="AT12">
        <f>(AU9+AV9)*Inputs!$B$50 /12</f>
        <v>0</v>
      </c>
      <c r="AU12">
        <f>(AV9+AW9)*Inputs!$B$50 /12</f>
        <v>0</v>
      </c>
      <c r="AV12">
        <f>(AW9+AX9)*Inputs!$B$50 /12</f>
        <v>0</v>
      </c>
      <c r="AW12">
        <f>(AX9+AY9)*Inputs!$B$50 /12</f>
        <v>0</v>
      </c>
      <c r="AX12">
        <f>(AY9+AZ9)*Inputs!$B$50 /12</f>
        <v>0</v>
      </c>
      <c r="AY12">
        <f>(AZ9+BA9)*Inputs!$B$50 /12</f>
        <v>0</v>
      </c>
      <c r="AZ12">
        <f>(BA9+BB9)*Inputs!$B$50 /12</f>
        <v>0</v>
      </c>
      <c r="BA12">
        <f>(BB9+BC9)*Inputs!$B$50 /12</f>
        <v>0</v>
      </c>
      <c r="BB12">
        <f>(BC9+BD9)*Inputs!$B$50 /12</f>
        <v>0</v>
      </c>
      <c r="BC12">
        <f>(BD9+BE9)*Inputs!$B$50 /12</f>
        <v>0</v>
      </c>
      <c r="BD12">
        <f>(BE9+BF9)*Inputs!$B$50 /12</f>
        <v>0</v>
      </c>
      <c r="BE12">
        <f>(BF9+BG9)*Inputs!$B$50 /12</f>
        <v>0</v>
      </c>
      <c r="BF12">
        <f>(BG9+BH9)*Inputs!$B$50 /12</f>
        <v>0</v>
      </c>
      <c r="BG12">
        <f>(BH9+BI9)*Inputs!$B$50 /12</f>
        <v>0</v>
      </c>
      <c r="BH12">
        <f>(BI9+BJ9)*Inputs!$B$50 /12</f>
        <v>0</v>
      </c>
      <c r="BI12">
        <f>(BJ9+BK9)*Inputs!$B$50 /12</f>
        <v>0</v>
      </c>
      <c r="BJ12">
        <f>(BK9+BL9)*Inputs!$B$50 /12</f>
        <v>0</v>
      </c>
      <c r="BK12">
        <f>(BL9+BM9)*Inputs!$B$50 /12</f>
        <v>0</v>
      </c>
      <c r="BL12">
        <f>(BM9+BN9)*Inputs!$B$50 /12</f>
        <v>0</v>
      </c>
      <c r="BM12">
        <f>(BN9+BO9)*Inputs!$B$50 /12</f>
        <v>0</v>
      </c>
      <c r="BN12">
        <f>(BO9+BP9)*Inputs!$B$50 /12</f>
        <v>0</v>
      </c>
      <c r="BO12">
        <f>(BP9+BQ9)*Inputs!$B$50 /12</f>
        <v>0</v>
      </c>
      <c r="BP12">
        <f>(BQ9+BR9)*Inputs!$B$50 /12</f>
        <v>0</v>
      </c>
      <c r="BQ12">
        <f>(BR9+BS9)*Inputs!$B$50 /12</f>
        <v>0</v>
      </c>
      <c r="BR12">
        <f>(BS9+BT9)*Inputs!$B$50 /12</f>
        <v>0</v>
      </c>
      <c r="BS12">
        <f>(BT9+BU9)*Inputs!$B$50 /12</f>
        <v>0</v>
      </c>
      <c r="BT12">
        <f>(BU9+BV9)*Inputs!$B$50 /12</f>
        <v>0</v>
      </c>
      <c r="BU12">
        <f>(BV9+BW9)*Inputs!$B$50 /12</f>
        <v>0</v>
      </c>
    </row>
    <row r="13" spans="1:73">
      <c r="A13" t="s">
        <v>301</v>
      </c>
      <c r="B13" t="s">
        <v>131</v>
      </c>
    </row>
    <row r="14" spans="1:73">
      <c r="A14" t="s">
        <v>201</v>
      </c>
      <c r="B14" t="s">
        <v>184</v>
      </c>
      <c r="D14" s="48">
        <v>0</v>
      </c>
      <c r="E14">
        <f>D19</f>
        <v>0</v>
      </c>
      <c r="F14">
        <f t="shared" ref="F14:BQ14" si="4">E19</f>
        <v>0</v>
      </c>
      <c r="G14">
        <f t="shared" si="4"/>
        <v>0</v>
      </c>
      <c r="H14">
        <f t="shared" si="4"/>
        <v>588265.06361315073</v>
      </c>
      <c r="I14">
        <f t="shared" si="4"/>
        <v>584199.39178497891</v>
      </c>
      <c r="J14">
        <f t="shared" si="4"/>
        <v>580093.40364974516</v>
      </c>
      <c r="K14">
        <f t="shared" si="4"/>
        <v>575946.47459352948</v>
      </c>
      <c r="L14">
        <f t="shared" si="4"/>
        <v>571746.83512919093</v>
      </c>
      <c r="M14">
        <f t="shared" si="4"/>
        <v>567505.32094388385</v>
      </c>
      <c r="N14">
        <f t="shared" si="4"/>
        <v>563233.3350831992</v>
      </c>
      <c r="O14">
        <f t="shared" si="4"/>
        <v>558918.75313363224</v>
      </c>
      <c r="P14">
        <f t="shared" si="4"/>
        <v>554561.38661657576</v>
      </c>
      <c r="Q14">
        <f t="shared" si="4"/>
        <v>550160.57267775666</v>
      </c>
      <c r="R14">
        <f t="shared" si="4"/>
        <v>545716.11907160119</v>
      </c>
      <c r="S14">
        <f t="shared" si="4"/>
        <v>541227.34969591466</v>
      </c>
      <c r="T14">
        <f t="shared" si="4"/>
        <v>536681.52487930947</v>
      </c>
      <c r="U14">
        <f t="shared" si="4"/>
        <v>532090.37351803703</v>
      </c>
      <c r="V14">
        <f t="shared" si="4"/>
        <v>527466.23863536678</v>
      </c>
      <c r="W14">
        <f t="shared" si="4"/>
        <v>522795.99637619988</v>
      </c>
      <c r="X14">
        <f t="shared" si="4"/>
        <v>518079.44272523077</v>
      </c>
      <c r="Y14">
        <f t="shared" si="4"/>
        <v>513315.86018767656</v>
      </c>
      <c r="Z14">
        <f t="shared" si="4"/>
        <v>508505.04067074583</v>
      </c>
      <c r="AA14">
        <f t="shared" si="4"/>
        <v>503646.25233967992</v>
      </c>
      <c r="AB14">
        <f t="shared" si="4"/>
        <v>498725.7053644603</v>
      </c>
      <c r="AC14">
        <f t="shared" si="4"/>
        <v>493756.09547959105</v>
      </c>
      <c r="AD14">
        <f t="shared" si="4"/>
        <v>488750.7831704109</v>
      </c>
      <c r="AE14">
        <f t="shared" si="4"/>
        <v>86271.916050502681</v>
      </c>
      <c r="AF14">
        <f t="shared" si="4"/>
        <v>0</v>
      </c>
      <c r="AG14">
        <f t="shared" si="4"/>
        <v>0</v>
      </c>
      <c r="AH14">
        <f t="shared" si="4"/>
        <v>0</v>
      </c>
      <c r="AI14">
        <f t="shared" si="4"/>
        <v>0</v>
      </c>
      <c r="AJ14">
        <f t="shared" si="4"/>
        <v>0</v>
      </c>
      <c r="AK14">
        <f t="shared" si="4"/>
        <v>0</v>
      </c>
      <c r="AL14">
        <f t="shared" si="4"/>
        <v>0</v>
      </c>
      <c r="AM14">
        <f t="shared" si="4"/>
        <v>0</v>
      </c>
      <c r="AN14">
        <f t="shared" si="4"/>
        <v>0</v>
      </c>
      <c r="AO14">
        <f t="shared" si="4"/>
        <v>0</v>
      </c>
      <c r="AP14">
        <f t="shared" si="4"/>
        <v>0</v>
      </c>
      <c r="AQ14">
        <f t="shared" si="4"/>
        <v>0</v>
      </c>
      <c r="AR14">
        <f t="shared" si="4"/>
        <v>0</v>
      </c>
      <c r="AS14">
        <f t="shared" si="4"/>
        <v>0</v>
      </c>
      <c r="AT14">
        <f t="shared" si="4"/>
        <v>0</v>
      </c>
      <c r="AU14">
        <f t="shared" si="4"/>
        <v>0</v>
      </c>
      <c r="AV14">
        <f t="shared" si="4"/>
        <v>0</v>
      </c>
      <c r="AW14">
        <f t="shared" si="4"/>
        <v>0</v>
      </c>
      <c r="AX14">
        <f t="shared" si="4"/>
        <v>0</v>
      </c>
      <c r="AY14">
        <f t="shared" si="4"/>
        <v>0</v>
      </c>
      <c r="AZ14">
        <f t="shared" si="4"/>
        <v>0</v>
      </c>
      <c r="BA14">
        <f t="shared" si="4"/>
        <v>0</v>
      </c>
      <c r="BB14">
        <f t="shared" si="4"/>
        <v>0</v>
      </c>
      <c r="BC14">
        <f t="shared" si="4"/>
        <v>0</v>
      </c>
      <c r="BD14">
        <f t="shared" si="4"/>
        <v>0</v>
      </c>
      <c r="BE14">
        <f t="shared" si="4"/>
        <v>0</v>
      </c>
      <c r="BF14">
        <f t="shared" si="4"/>
        <v>0</v>
      </c>
      <c r="BG14">
        <f t="shared" si="4"/>
        <v>0</v>
      </c>
      <c r="BH14">
        <f t="shared" si="4"/>
        <v>0</v>
      </c>
      <c r="BI14">
        <f t="shared" si="4"/>
        <v>0</v>
      </c>
      <c r="BJ14">
        <f t="shared" si="4"/>
        <v>0</v>
      </c>
      <c r="BK14">
        <f t="shared" si="4"/>
        <v>0</v>
      </c>
      <c r="BL14">
        <f t="shared" si="4"/>
        <v>0</v>
      </c>
      <c r="BM14">
        <f t="shared" si="4"/>
        <v>0</v>
      </c>
      <c r="BN14">
        <f t="shared" si="4"/>
        <v>0</v>
      </c>
      <c r="BO14">
        <f t="shared" si="4"/>
        <v>0</v>
      </c>
      <c r="BP14">
        <f t="shared" si="4"/>
        <v>0</v>
      </c>
      <c r="BQ14">
        <f t="shared" si="4"/>
        <v>0</v>
      </c>
      <c r="BR14">
        <f t="shared" ref="BR14:BU14" si="5">BQ19</f>
        <v>0</v>
      </c>
      <c r="BS14">
        <f t="shared" si="5"/>
        <v>0</v>
      </c>
      <c r="BT14">
        <f t="shared" si="5"/>
        <v>0</v>
      </c>
      <c r="BU14">
        <f t="shared" si="5"/>
        <v>0</v>
      </c>
    </row>
    <row r="15" spans="1:73">
      <c r="A15" t="s">
        <v>302</v>
      </c>
      <c r="B15" t="s">
        <v>184</v>
      </c>
      <c r="C15">
        <f>SUM(D15:BU15)</f>
        <v>588265.06361315073</v>
      </c>
      <c r="D15">
        <f>D12*D11</f>
        <v>0</v>
      </c>
      <c r="E15">
        <f t="shared" ref="E15:BP15" si="6">E12*E11</f>
        <v>0</v>
      </c>
      <c r="F15">
        <f t="shared" si="6"/>
        <v>0</v>
      </c>
      <c r="G15">
        <f t="shared" si="6"/>
        <v>588265.06361315073</v>
      </c>
      <c r="H15">
        <f t="shared" si="6"/>
        <v>0</v>
      </c>
      <c r="I15">
        <f t="shared" si="6"/>
        <v>0</v>
      </c>
      <c r="J15">
        <f t="shared" si="6"/>
        <v>0</v>
      </c>
      <c r="K15">
        <f t="shared" si="6"/>
        <v>0</v>
      </c>
      <c r="L15">
        <f t="shared" si="6"/>
        <v>0</v>
      </c>
      <c r="M15">
        <f t="shared" si="6"/>
        <v>0</v>
      </c>
      <c r="N15">
        <f t="shared" si="6"/>
        <v>0</v>
      </c>
      <c r="O15">
        <f t="shared" si="6"/>
        <v>0</v>
      </c>
      <c r="P15">
        <f t="shared" si="6"/>
        <v>0</v>
      </c>
      <c r="Q15">
        <f t="shared" si="6"/>
        <v>0</v>
      </c>
      <c r="R15">
        <f t="shared" si="6"/>
        <v>0</v>
      </c>
      <c r="S15">
        <f t="shared" si="6"/>
        <v>0</v>
      </c>
      <c r="T15">
        <f t="shared" si="6"/>
        <v>0</v>
      </c>
      <c r="U15">
        <f t="shared" si="6"/>
        <v>0</v>
      </c>
      <c r="V15">
        <f t="shared" si="6"/>
        <v>0</v>
      </c>
      <c r="W15">
        <f t="shared" si="6"/>
        <v>0</v>
      </c>
      <c r="X15">
        <f t="shared" si="6"/>
        <v>0</v>
      </c>
      <c r="Y15">
        <f t="shared" si="6"/>
        <v>0</v>
      </c>
      <c r="Z15">
        <f t="shared" si="6"/>
        <v>0</v>
      </c>
      <c r="AA15">
        <f t="shared" si="6"/>
        <v>0</v>
      </c>
      <c r="AB15">
        <f t="shared" si="6"/>
        <v>0</v>
      </c>
      <c r="AC15">
        <f t="shared" si="6"/>
        <v>0</v>
      </c>
      <c r="AD15">
        <f t="shared" si="6"/>
        <v>0</v>
      </c>
      <c r="AE15">
        <f t="shared" si="6"/>
        <v>0</v>
      </c>
      <c r="AF15">
        <f t="shared" si="6"/>
        <v>0</v>
      </c>
      <c r="AG15">
        <f t="shared" si="6"/>
        <v>0</v>
      </c>
      <c r="AH15">
        <f t="shared" si="6"/>
        <v>0</v>
      </c>
      <c r="AI15">
        <f t="shared" si="6"/>
        <v>0</v>
      </c>
      <c r="AJ15">
        <f t="shared" si="6"/>
        <v>0</v>
      </c>
      <c r="AK15">
        <f t="shared" si="6"/>
        <v>0</v>
      </c>
      <c r="AL15">
        <f t="shared" si="6"/>
        <v>0</v>
      </c>
      <c r="AM15">
        <f t="shared" si="6"/>
        <v>0</v>
      </c>
      <c r="AN15">
        <f t="shared" si="6"/>
        <v>0</v>
      </c>
      <c r="AO15">
        <f t="shared" si="6"/>
        <v>0</v>
      </c>
      <c r="AP15">
        <f t="shared" si="6"/>
        <v>0</v>
      </c>
      <c r="AQ15">
        <f t="shared" si="6"/>
        <v>0</v>
      </c>
      <c r="AR15">
        <f t="shared" si="6"/>
        <v>0</v>
      </c>
      <c r="AS15">
        <f t="shared" si="6"/>
        <v>0</v>
      </c>
      <c r="AT15">
        <f t="shared" si="6"/>
        <v>0</v>
      </c>
      <c r="AU15">
        <f t="shared" si="6"/>
        <v>0</v>
      </c>
      <c r="AV15">
        <f t="shared" si="6"/>
        <v>0</v>
      </c>
      <c r="AW15">
        <f t="shared" si="6"/>
        <v>0</v>
      </c>
      <c r="AX15">
        <f t="shared" si="6"/>
        <v>0</v>
      </c>
      <c r="AY15">
        <f t="shared" si="6"/>
        <v>0</v>
      </c>
      <c r="AZ15">
        <f t="shared" si="6"/>
        <v>0</v>
      </c>
      <c r="BA15">
        <f t="shared" si="6"/>
        <v>0</v>
      </c>
      <c r="BB15">
        <f t="shared" si="6"/>
        <v>0</v>
      </c>
      <c r="BC15">
        <f t="shared" si="6"/>
        <v>0</v>
      </c>
      <c r="BD15">
        <f t="shared" si="6"/>
        <v>0</v>
      </c>
      <c r="BE15">
        <f t="shared" si="6"/>
        <v>0</v>
      </c>
      <c r="BF15">
        <f t="shared" si="6"/>
        <v>0</v>
      </c>
      <c r="BG15">
        <f t="shared" si="6"/>
        <v>0</v>
      </c>
      <c r="BH15">
        <f t="shared" si="6"/>
        <v>0</v>
      </c>
      <c r="BI15">
        <f t="shared" si="6"/>
        <v>0</v>
      </c>
      <c r="BJ15">
        <f t="shared" si="6"/>
        <v>0</v>
      </c>
      <c r="BK15">
        <f t="shared" si="6"/>
        <v>0</v>
      </c>
      <c r="BL15">
        <f t="shared" si="6"/>
        <v>0</v>
      </c>
      <c r="BM15">
        <f t="shared" si="6"/>
        <v>0</v>
      </c>
      <c r="BN15">
        <f t="shared" si="6"/>
        <v>0</v>
      </c>
      <c r="BO15">
        <f t="shared" si="6"/>
        <v>0</v>
      </c>
      <c r="BP15">
        <f t="shared" si="6"/>
        <v>0</v>
      </c>
      <c r="BQ15">
        <f t="shared" ref="BQ15:BU15" si="7">BQ12*BQ11</f>
        <v>0</v>
      </c>
      <c r="BR15">
        <f t="shared" si="7"/>
        <v>0</v>
      </c>
      <c r="BS15">
        <f t="shared" si="7"/>
        <v>0</v>
      </c>
      <c r="BT15">
        <f t="shared" si="7"/>
        <v>0</v>
      </c>
      <c r="BU15">
        <f t="shared" si="7"/>
        <v>0</v>
      </c>
    </row>
    <row r="16" spans="1:73">
      <c r="A16" t="s">
        <v>303</v>
      </c>
      <c r="B16" t="s">
        <v>184</v>
      </c>
      <c r="C16">
        <f>SUM(D16:BU16)</f>
        <v>0</v>
      </c>
      <c r="D16">
        <f>IF(D7=1,MIN(MAX(0,D12-D14),MAX(0,D10)),0)</f>
        <v>0</v>
      </c>
      <c r="E16">
        <f t="shared" ref="E16:BP16" si="8">IF(E7=1,MIN(MAX(0,E12-E14),MAX(0,E10)),0)</f>
        <v>0</v>
      </c>
      <c r="F16">
        <f t="shared" si="8"/>
        <v>0</v>
      </c>
      <c r="G16">
        <f t="shared" si="8"/>
        <v>0</v>
      </c>
      <c r="H16">
        <f t="shared" si="8"/>
        <v>0</v>
      </c>
      <c r="I16">
        <f t="shared" si="8"/>
        <v>0</v>
      </c>
      <c r="J16">
        <f t="shared" si="8"/>
        <v>0</v>
      </c>
      <c r="K16">
        <f t="shared" si="8"/>
        <v>0</v>
      </c>
      <c r="L16">
        <f t="shared" si="8"/>
        <v>0</v>
      </c>
      <c r="M16">
        <f t="shared" si="8"/>
        <v>0</v>
      </c>
      <c r="N16">
        <f t="shared" si="8"/>
        <v>0</v>
      </c>
      <c r="O16">
        <f t="shared" si="8"/>
        <v>0</v>
      </c>
      <c r="P16">
        <f t="shared" si="8"/>
        <v>0</v>
      </c>
      <c r="Q16">
        <f t="shared" si="8"/>
        <v>0</v>
      </c>
      <c r="R16">
        <f t="shared" si="8"/>
        <v>0</v>
      </c>
      <c r="S16">
        <f t="shared" si="8"/>
        <v>0</v>
      </c>
      <c r="T16">
        <f t="shared" si="8"/>
        <v>0</v>
      </c>
      <c r="U16">
        <f t="shared" si="8"/>
        <v>0</v>
      </c>
      <c r="V16">
        <f t="shared" si="8"/>
        <v>0</v>
      </c>
      <c r="W16">
        <f t="shared" si="8"/>
        <v>0</v>
      </c>
      <c r="X16">
        <f t="shared" si="8"/>
        <v>0</v>
      </c>
      <c r="Y16">
        <f t="shared" si="8"/>
        <v>0</v>
      </c>
      <c r="Z16">
        <f t="shared" si="8"/>
        <v>0</v>
      </c>
      <c r="AA16">
        <f t="shared" si="8"/>
        <v>0</v>
      </c>
      <c r="AB16">
        <f t="shared" si="8"/>
        <v>0</v>
      </c>
      <c r="AC16">
        <f t="shared" si="8"/>
        <v>0</v>
      </c>
      <c r="AD16">
        <f t="shared" si="8"/>
        <v>0</v>
      </c>
      <c r="AE16">
        <f t="shared" si="8"/>
        <v>0</v>
      </c>
      <c r="AF16">
        <f t="shared" si="8"/>
        <v>0</v>
      </c>
      <c r="AG16">
        <f t="shared" si="8"/>
        <v>0</v>
      </c>
      <c r="AH16">
        <f t="shared" si="8"/>
        <v>0</v>
      </c>
      <c r="AI16">
        <f t="shared" si="8"/>
        <v>0</v>
      </c>
      <c r="AJ16">
        <f t="shared" si="8"/>
        <v>0</v>
      </c>
      <c r="AK16">
        <f t="shared" si="8"/>
        <v>0</v>
      </c>
      <c r="AL16">
        <f t="shared" si="8"/>
        <v>0</v>
      </c>
      <c r="AM16">
        <f t="shared" si="8"/>
        <v>0</v>
      </c>
      <c r="AN16">
        <f t="shared" si="8"/>
        <v>0</v>
      </c>
      <c r="AO16">
        <f t="shared" si="8"/>
        <v>0</v>
      </c>
      <c r="AP16">
        <f t="shared" si="8"/>
        <v>0</v>
      </c>
      <c r="AQ16">
        <f t="shared" si="8"/>
        <v>0</v>
      </c>
      <c r="AR16">
        <f t="shared" si="8"/>
        <v>0</v>
      </c>
      <c r="AS16">
        <f t="shared" si="8"/>
        <v>0</v>
      </c>
      <c r="AT16">
        <f t="shared" si="8"/>
        <v>0</v>
      </c>
      <c r="AU16">
        <f t="shared" si="8"/>
        <v>0</v>
      </c>
      <c r="AV16">
        <f t="shared" si="8"/>
        <v>0</v>
      </c>
      <c r="AW16">
        <f t="shared" si="8"/>
        <v>0</v>
      </c>
      <c r="AX16">
        <f t="shared" si="8"/>
        <v>0</v>
      </c>
      <c r="AY16">
        <f t="shared" si="8"/>
        <v>0</v>
      </c>
      <c r="AZ16">
        <f t="shared" si="8"/>
        <v>0</v>
      </c>
      <c r="BA16">
        <f t="shared" si="8"/>
        <v>0</v>
      </c>
      <c r="BB16">
        <f t="shared" si="8"/>
        <v>0</v>
      </c>
      <c r="BC16">
        <f t="shared" si="8"/>
        <v>0</v>
      </c>
      <c r="BD16">
        <f t="shared" si="8"/>
        <v>0</v>
      </c>
      <c r="BE16">
        <f t="shared" si="8"/>
        <v>0</v>
      </c>
      <c r="BF16">
        <f t="shared" si="8"/>
        <v>0</v>
      </c>
      <c r="BG16">
        <f t="shared" si="8"/>
        <v>0</v>
      </c>
      <c r="BH16">
        <f t="shared" si="8"/>
        <v>0</v>
      </c>
      <c r="BI16">
        <f t="shared" si="8"/>
        <v>0</v>
      </c>
      <c r="BJ16">
        <f t="shared" si="8"/>
        <v>0</v>
      </c>
      <c r="BK16">
        <f t="shared" si="8"/>
        <v>0</v>
      </c>
      <c r="BL16">
        <f t="shared" si="8"/>
        <v>0</v>
      </c>
      <c r="BM16">
        <f t="shared" si="8"/>
        <v>0</v>
      </c>
      <c r="BN16">
        <f t="shared" si="8"/>
        <v>0</v>
      </c>
      <c r="BO16">
        <f t="shared" si="8"/>
        <v>0</v>
      </c>
      <c r="BP16">
        <f t="shared" si="8"/>
        <v>0</v>
      </c>
      <c r="BQ16">
        <f t="shared" ref="BQ16:BU16" si="9">IF(BQ7=1,MIN(MAX(0,BQ12-BQ14),MAX(0,BQ10)),0)</f>
        <v>0</v>
      </c>
      <c r="BR16">
        <f t="shared" si="9"/>
        <v>0</v>
      </c>
      <c r="BS16">
        <f t="shared" si="9"/>
        <v>0</v>
      </c>
      <c r="BT16">
        <f t="shared" si="9"/>
        <v>0</v>
      </c>
      <c r="BU16">
        <f t="shared" si="9"/>
        <v>0</v>
      </c>
    </row>
    <row r="17" spans="1:73">
      <c r="A17" t="s">
        <v>304</v>
      </c>
      <c r="B17" t="s">
        <v>184</v>
      </c>
      <c r="C17">
        <f>SUM(D17:BU17)</f>
        <v>0</v>
      </c>
      <c r="D17">
        <f>MIN(D14,MAX(0,-D10))</f>
        <v>0</v>
      </c>
      <c r="E17">
        <f t="shared" ref="E17:BP17" si="10">MIN(E14,MAX(0,-E10))</f>
        <v>0</v>
      </c>
      <c r="F17">
        <f t="shared" si="10"/>
        <v>0</v>
      </c>
      <c r="G17">
        <f t="shared" si="10"/>
        <v>0</v>
      </c>
      <c r="H17">
        <f t="shared" si="10"/>
        <v>0</v>
      </c>
      <c r="I17">
        <f t="shared" si="10"/>
        <v>0</v>
      </c>
      <c r="J17">
        <f t="shared" si="10"/>
        <v>0</v>
      </c>
      <c r="K17">
        <f t="shared" si="10"/>
        <v>0</v>
      </c>
      <c r="L17">
        <f t="shared" si="10"/>
        <v>0</v>
      </c>
      <c r="M17">
        <f t="shared" si="10"/>
        <v>0</v>
      </c>
      <c r="N17">
        <f t="shared" si="10"/>
        <v>0</v>
      </c>
      <c r="O17">
        <f t="shared" si="10"/>
        <v>0</v>
      </c>
      <c r="P17">
        <f t="shared" si="10"/>
        <v>0</v>
      </c>
      <c r="Q17">
        <f t="shared" si="10"/>
        <v>0</v>
      </c>
      <c r="R17">
        <f t="shared" si="10"/>
        <v>0</v>
      </c>
      <c r="S17">
        <f t="shared" si="10"/>
        <v>0</v>
      </c>
      <c r="T17">
        <f t="shared" si="10"/>
        <v>0</v>
      </c>
      <c r="U17">
        <f t="shared" si="10"/>
        <v>0</v>
      </c>
      <c r="V17">
        <f t="shared" si="10"/>
        <v>0</v>
      </c>
      <c r="W17">
        <f t="shared" si="10"/>
        <v>0</v>
      </c>
      <c r="X17">
        <f t="shared" si="10"/>
        <v>0</v>
      </c>
      <c r="Y17">
        <f t="shared" si="10"/>
        <v>0</v>
      </c>
      <c r="Z17">
        <f t="shared" si="10"/>
        <v>0</v>
      </c>
      <c r="AA17">
        <f t="shared" si="10"/>
        <v>0</v>
      </c>
      <c r="AB17">
        <f t="shared" si="10"/>
        <v>0</v>
      </c>
      <c r="AC17">
        <f t="shared" si="10"/>
        <v>0</v>
      </c>
      <c r="AD17">
        <f t="shared" si="10"/>
        <v>0</v>
      </c>
      <c r="AE17">
        <f t="shared" si="10"/>
        <v>0</v>
      </c>
      <c r="AF17">
        <f t="shared" si="10"/>
        <v>0</v>
      </c>
      <c r="AG17">
        <f t="shared" si="10"/>
        <v>0</v>
      </c>
      <c r="AH17">
        <f t="shared" si="10"/>
        <v>0</v>
      </c>
      <c r="AI17">
        <f t="shared" si="10"/>
        <v>0</v>
      </c>
      <c r="AJ17">
        <f t="shared" si="10"/>
        <v>0</v>
      </c>
      <c r="AK17">
        <f t="shared" si="10"/>
        <v>0</v>
      </c>
      <c r="AL17">
        <f t="shared" si="10"/>
        <v>0</v>
      </c>
      <c r="AM17">
        <f t="shared" si="10"/>
        <v>0</v>
      </c>
      <c r="AN17">
        <f t="shared" si="10"/>
        <v>0</v>
      </c>
      <c r="AO17">
        <f t="shared" si="10"/>
        <v>0</v>
      </c>
      <c r="AP17">
        <f t="shared" si="10"/>
        <v>0</v>
      </c>
      <c r="AQ17">
        <f t="shared" si="10"/>
        <v>0</v>
      </c>
      <c r="AR17">
        <f t="shared" si="10"/>
        <v>0</v>
      </c>
      <c r="AS17">
        <f t="shared" si="10"/>
        <v>0</v>
      </c>
      <c r="AT17">
        <f t="shared" si="10"/>
        <v>0</v>
      </c>
      <c r="AU17">
        <f t="shared" si="10"/>
        <v>0</v>
      </c>
      <c r="AV17">
        <f t="shared" si="10"/>
        <v>0</v>
      </c>
      <c r="AW17">
        <f t="shared" si="10"/>
        <v>0</v>
      </c>
      <c r="AX17">
        <f t="shared" si="10"/>
        <v>0</v>
      </c>
      <c r="AY17">
        <f t="shared" si="10"/>
        <v>0</v>
      </c>
      <c r="AZ17">
        <f t="shared" si="10"/>
        <v>0</v>
      </c>
      <c r="BA17">
        <f t="shared" si="10"/>
        <v>0</v>
      </c>
      <c r="BB17">
        <f t="shared" si="10"/>
        <v>0</v>
      </c>
      <c r="BC17">
        <f t="shared" si="10"/>
        <v>0</v>
      </c>
      <c r="BD17">
        <f t="shared" si="10"/>
        <v>0</v>
      </c>
      <c r="BE17">
        <f t="shared" si="10"/>
        <v>0</v>
      </c>
      <c r="BF17">
        <f t="shared" si="10"/>
        <v>0</v>
      </c>
      <c r="BG17">
        <f t="shared" si="10"/>
        <v>0</v>
      </c>
      <c r="BH17">
        <f t="shared" si="10"/>
        <v>0</v>
      </c>
      <c r="BI17">
        <f t="shared" si="10"/>
        <v>0</v>
      </c>
      <c r="BJ17">
        <f t="shared" si="10"/>
        <v>0</v>
      </c>
      <c r="BK17">
        <f t="shared" si="10"/>
        <v>0</v>
      </c>
      <c r="BL17">
        <f t="shared" si="10"/>
        <v>0</v>
      </c>
      <c r="BM17">
        <f t="shared" si="10"/>
        <v>0</v>
      </c>
      <c r="BN17">
        <f t="shared" si="10"/>
        <v>0</v>
      </c>
      <c r="BO17">
        <f t="shared" si="10"/>
        <v>0</v>
      </c>
      <c r="BP17">
        <f t="shared" si="10"/>
        <v>0</v>
      </c>
      <c r="BQ17">
        <f t="shared" ref="BQ17:BU17" si="11">MIN(BQ14,MAX(0,-BQ10))</f>
        <v>0</v>
      </c>
      <c r="BR17">
        <f t="shared" si="11"/>
        <v>0</v>
      </c>
      <c r="BS17">
        <f t="shared" si="11"/>
        <v>0</v>
      </c>
      <c r="BT17">
        <f t="shared" si="11"/>
        <v>0</v>
      </c>
      <c r="BU17">
        <f t="shared" si="11"/>
        <v>0</v>
      </c>
    </row>
    <row r="18" spans="1:73">
      <c r="A18" t="s">
        <v>305</v>
      </c>
      <c r="B18" t="s">
        <v>184</v>
      </c>
      <c r="C18">
        <f>SUM(D18:BU18)</f>
        <v>588265.06361315073</v>
      </c>
      <c r="D18">
        <f>MAX(0,D14+D15+D16-D17-D12)</f>
        <v>0</v>
      </c>
      <c r="E18">
        <f t="shared" ref="E18:BP18" si="12">MAX(0,E14+E15+E16-E17-E12)</f>
        <v>0</v>
      </c>
      <c r="F18">
        <f t="shared" si="12"/>
        <v>0</v>
      </c>
      <c r="G18">
        <f t="shared" si="12"/>
        <v>0</v>
      </c>
      <c r="H18">
        <f t="shared" si="12"/>
        <v>4065.6718281718204</v>
      </c>
      <c r="I18">
        <f t="shared" si="12"/>
        <v>4105.9881352337543</v>
      </c>
      <c r="J18">
        <f t="shared" si="12"/>
        <v>4146.9290562156821</v>
      </c>
      <c r="K18">
        <f t="shared" si="12"/>
        <v>4199.6394643385429</v>
      </c>
      <c r="L18">
        <f t="shared" si="12"/>
        <v>4241.5141853070818</v>
      </c>
      <c r="M18">
        <f t="shared" si="12"/>
        <v>4271.9858606846537</v>
      </c>
      <c r="N18">
        <f t="shared" si="12"/>
        <v>4314.5819495669566</v>
      </c>
      <c r="O18">
        <f t="shared" si="12"/>
        <v>4357.3665170564782</v>
      </c>
      <c r="P18">
        <f t="shared" si="12"/>
        <v>4400.8139388191048</v>
      </c>
      <c r="Q18">
        <f t="shared" si="12"/>
        <v>4444.4536061554682</v>
      </c>
      <c r="R18">
        <f t="shared" si="12"/>
        <v>4488.7693756865337</v>
      </c>
      <c r="S18">
        <f t="shared" si="12"/>
        <v>4545.8248166051926</v>
      </c>
      <c r="T18">
        <f t="shared" si="12"/>
        <v>4591.1513612724375</v>
      </c>
      <c r="U18">
        <f t="shared" si="12"/>
        <v>4624.1348826702451</v>
      </c>
      <c r="V18">
        <f t="shared" si="12"/>
        <v>4670.2422591669019</v>
      </c>
      <c r="W18">
        <f t="shared" si="12"/>
        <v>4716.5536509691156</v>
      </c>
      <c r="X18">
        <f t="shared" si="12"/>
        <v>4763.5825375542045</v>
      </c>
      <c r="Y18">
        <f t="shared" si="12"/>
        <v>4810.8195169307292</v>
      </c>
      <c r="Z18">
        <f t="shared" si="12"/>
        <v>4858.788331065909</v>
      </c>
      <c r="AA18">
        <f t="shared" si="12"/>
        <v>4920.5469752196223</v>
      </c>
      <c r="AB18">
        <f t="shared" si="12"/>
        <v>4969.6098848692491</v>
      </c>
      <c r="AC18">
        <f t="shared" si="12"/>
        <v>5005.3123091801535</v>
      </c>
      <c r="AD18">
        <f t="shared" si="12"/>
        <v>402478.86711990822</v>
      </c>
      <c r="AE18">
        <f t="shared" si="12"/>
        <v>86271.916050502681</v>
      </c>
      <c r="AF18">
        <f t="shared" si="12"/>
        <v>0</v>
      </c>
      <c r="AG18">
        <f t="shared" si="12"/>
        <v>0</v>
      </c>
      <c r="AH18">
        <f t="shared" si="12"/>
        <v>0</v>
      </c>
      <c r="AI18">
        <f t="shared" si="12"/>
        <v>0</v>
      </c>
      <c r="AJ18">
        <f t="shared" si="12"/>
        <v>0</v>
      </c>
      <c r="AK18">
        <f t="shared" si="12"/>
        <v>0</v>
      </c>
      <c r="AL18">
        <f t="shared" si="12"/>
        <v>0</v>
      </c>
      <c r="AM18">
        <f t="shared" si="12"/>
        <v>0</v>
      </c>
      <c r="AN18">
        <f t="shared" si="12"/>
        <v>0</v>
      </c>
      <c r="AO18">
        <f t="shared" si="12"/>
        <v>0</v>
      </c>
      <c r="AP18">
        <f t="shared" si="12"/>
        <v>0</v>
      </c>
      <c r="AQ18">
        <f t="shared" si="12"/>
        <v>0</v>
      </c>
      <c r="AR18">
        <f t="shared" si="12"/>
        <v>0</v>
      </c>
      <c r="AS18">
        <f t="shared" si="12"/>
        <v>0</v>
      </c>
      <c r="AT18">
        <f t="shared" si="12"/>
        <v>0</v>
      </c>
      <c r="AU18">
        <f t="shared" si="12"/>
        <v>0</v>
      </c>
      <c r="AV18">
        <f t="shared" si="12"/>
        <v>0</v>
      </c>
      <c r="AW18">
        <f t="shared" si="12"/>
        <v>0</v>
      </c>
      <c r="AX18">
        <f t="shared" si="12"/>
        <v>0</v>
      </c>
      <c r="AY18">
        <f t="shared" si="12"/>
        <v>0</v>
      </c>
      <c r="AZ18">
        <f t="shared" si="12"/>
        <v>0</v>
      </c>
      <c r="BA18">
        <f t="shared" si="12"/>
        <v>0</v>
      </c>
      <c r="BB18">
        <f t="shared" si="12"/>
        <v>0</v>
      </c>
      <c r="BC18">
        <f t="shared" si="12"/>
        <v>0</v>
      </c>
      <c r="BD18">
        <f t="shared" si="12"/>
        <v>0</v>
      </c>
      <c r="BE18">
        <f t="shared" si="12"/>
        <v>0</v>
      </c>
      <c r="BF18">
        <f t="shared" si="12"/>
        <v>0</v>
      </c>
      <c r="BG18">
        <f t="shared" si="12"/>
        <v>0</v>
      </c>
      <c r="BH18">
        <f t="shared" si="12"/>
        <v>0</v>
      </c>
      <c r="BI18">
        <f t="shared" si="12"/>
        <v>0</v>
      </c>
      <c r="BJ18">
        <f t="shared" si="12"/>
        <v>0</v>
      </c>
      <c r="BK18">
        <f t="shared" si="12"/>
        <v>0</v>
      </c>
      <c r="BL18">
        <f t="shared" si="12"/>
        <v>0</v>
      </c>
      <c r="BM18">
        <f t="shared" si="12"/>
        <v>0</v>
      </c>
      <c r="BN18">
        <f t="shared" si="12"/>
        <v>0</v>
      </c>
      <c r="BO18">
        <f t="shared" si="12"/>
        <v>0</v>
      </c>
      <c r="BP18">
        <f t="shared" si="12"/>
        <v>0</v>
      </c>
      <c r="BQ18">
        <f t="shared" ref="BQ18:BU18" si="13">MAX(0,BQ14+BQ15+BQ16-BQ17-BQ12)</f>
        <v>0</v>
      </c>
      <c r="BR18">
        <f t="shared" si="13"/>
        <v>0</v>
      </c>
      <c r="BS18">
        <f t="shared" si="13"/>
        <v>0</v>
      </c>
      <c r="BT18">
        <f t="shared" si="13"/>
        <v>0</v>
      </c>
      <c r="BU18">
        <f t="shared" si="13"/>
        <v>0</v>
      </c>
    </row>
    <row r="19" spans="1:73">
      <c r="A19" t="s">
        <v>203</v>
      </c>
      <c r="B19" t="s">
        <v>184</v>
      </c>
      <c r="D19">
        <f>D14+D15+D16-D17-D18</f>
        <v>0</v>
      </c>
      <c r="E19">
        <f t="shared" ref="E19:BP19" si="14">E14+E15+E16-E17-E18</f>
        <v>0</v>
      </c>
      <c r="F19">
        <f t="shared" si="14"/>
        <v>0</v>
      </c>
      <c r="G19">
        <f t="shared" si="14"/>
        <v>588265.06361315073</v>
      </c>
      <c r="H19">
        <f t="shared" si="14"/>
        <v>584199.39178497891</v>
      </c>
      <c r="I19">
        <f t="shared" si="14"/>
        <v>580093.40364974516</v>
      </c>
      <c r="J19">
        <f t="shared" si="14"/>
        <v>575946.47459352948</v>
      </c>
      <c r="K19">
        <f t="shared" si="14"/>
        <v>571746.83512919093</v>
      </c>
      <c r="L19">
        <f t="shared" si="14"/>
        <v>567505.32094388385</v>
      </c>
      <c r="M19">
        <f t="shared" si="14"/>
        <v>563233.3350831992</v>
      </c>
      <c r="N19">
        <f t="shared" si="14"/>
        <v>558918.75313363224</v>
      </c>
      <c r="O19">
        <f t="shared" si="14"/>
        <v>554561.38661657576</v>
      </c>
      <c r="P19">
        <f t="shared" si="14"/>
        <v>550160.57267775666</v>
      </c>
      <c r="Q19">
        <f t="shared" si="14"/>
        <v>545716.11907160119</v>
      </c>
      <c r="R19">
        <f t="shared" si="14"/>
        <v>541227.34969591466</v>
      </c>
      <c r="S19">
        <f t="shared" si="14"/>
        <v>536681.52487930947</v>
      </c>
      <c r="T19">
        <f t="shared" si="14"/>
        <v>532090.37351803703</v>
      </c>
      <c r="U19">
        <f t="shared" si="14"/>
        <v>527466.23863536678</v>
      </c>
      <c r="V19">
        <f t="shared" si="14"/>
        <v>522795.99637619988</v>
      </c>
      <c r="W19">
        <f t="shared" si="14"/>
        <v>518079.44272523077</v>
      </c>
      <c r="X19">
        <f t="shared" si="14"/>
        <v>513315.86018767656</v>
      </c>
      <c r="Y19">
        <f t="shared" si="14"/>
        <v>508505.04067074583</v>
      </c>
      <c r="Z19">
        <f t="shared" si="14"/>
        <v>503646.25233967992</v>
      </c>
      <c r="AA19">
        <f t="shared" si="14"/>
        <v>498725.7053644603</v>
      </c>
      <c r="AB19">
        <f t="shared" si="14"/>
        <v>493756.09547959105</v>
      </c>
      <c r="AC19">
        <f t="shared" si="14"/>
        <v>488750.7831704109</v>
      </c>
      <c r="AD19">
        <f t="shared" si="14"/>
        <v>86271.916050502681</v>
      </c>
      <c r="AE19">
        <f t="shared" si="14"/>
        <v>0</v>
      </c>
      <c r="AF19">
        <f t="shared" si="14"/>
        <v>0</v>
      </c>
      <c r="AG19">
        <f t="shared" si="14"/>
        <v>0</v>
      </c>
      <c r="AH19">
        <f t="shared" si="14"/>
        <v>0</v>
      </c>
      <c r="AI19">
        <f t="shared" si="14"/>
        <v>0</v>
      </c>
      <c r="AJ19">
        <f t="shared" si="14"/>
        <v>0</v>
      </c>
      <c r="AK19">
        <f t="shared" si="14"/>
        <v>0</v>
      </c>
      <c r="AL19">
        <f t="shared" si="14"/>
        <v>0</v>
      </c>
      <c r="AM19">
        <f t="shared" si="14"/>
        <v>0</v>
      </c>
      <c r="AN19">
        <f t="shared" si="14"/>
        <v>0</v>
      </c>
      <c r="AO19">
        <f t="shared" si="14"/>
        <v>0</v>
      </c>
      <c r="AP19">
        <f t="shared" si="14"/>
        <v>0</v>
      </c>
      <c r="AQ19">
        <f t="shared" si="14"/>
        <v>0</v>
      </c>
      <c r="AR19">
        <f t="shared" si="14"/>
        <v>0</v>
      </c>
      <c r="AS19">
        <f t="shared" si="14"/>
        <v>0</v>
      </c>
      <c r="AT19">
        <f t="shared" si="14"/>
        <v>0</v>
      </c>
      <c r="AU19">
        <f t="shared" si="14"/>
        <v>0</v>
      </c>
      <c r="AV19">
        <f t="shared" si="14"/>
        <v>0</v>
      </c>
      <c r="AW19">
        <f t="shared" si="14"/>
        <v>0</v>
      </c>
      <c r="AX19">
        <f t="shared" si="14"/>
        <v>0</v>
      </c>
      <c r="AY19">
        <f t="shared" si="14"/>
        <v>0</v>
      </c>
      <c r="AZ19">
        <f t="shared" si="14"/>
        <v>0</v>
      </c>
      <c r="BA19">
        <f t="shared" si="14"/>
        <v>0</v>
      </c>
      <c r="BB19">
        <f t="shared" si="14"/>
        <v>0</v>
      </c>
      <c r="BC19">
        <f t="shared" si="14"/>
        <v>0</v>
      </c>
      <c r="BD19">
        <f t="shared" si="14"/>
        <v>0</v>
      </c>
      <c r="BE19">
        <f t="shared" si="14"/>
        <v>0</v>
      </c>
      <c r="BF19">
        <f t="shared" si="14"/>
        <v>0</v>
      </c>
      <c r="BG19">
        <f t="shared" si="14"/>
        <v>0</v>
      </c>
      <c r="BH19">
        <f t="shared" si="14"/>
        <v>0</v>
      </c>
      <c r="BI19">
        <f t="shared" si="14"/>
        <v>0</v>
      </c>
      <c r="BJ19">
        <f t="shared" si="14"/>
        <v>0</v>
      </c>
      <c r="BK19">
        <f t="shared" si="14"/>
        <v>0</v>
      </c>
      <c r="BL19">
        <f t="shared" si="14"/>
        <v>0</v>
      </c>
      <c r="BM19">
        <f t="shared" si="14"/>
        <v>0</v>
      </c>
      <c r="BN19">
        <f t="shared" si="14"/>
        <v>0</v>
      </c>
      <c r="BO19">
        <f t="shared" si="14"/>
        <v>0</v>
      </c>
      <c r="BP19">
        <f t="shared" si="14"/>
        <v>0</v>
      </c>
      <c r="BQ19">
        <f t="shared" ref="BQ19:BU19" si="15">BQ14+BQ15+BQ16-BQ17-BQ18</f>
        <v>0</v>
      </c>
      <c r="BR19">
        <f t="shared" si="15"/>
        <v>0</v>
      </c>
      <c r="BS19">
        <f t="shared" si="15"/>
        <v>0</v>
      </c>
      <c r="BT19">
        <f t="shared" si="15"/>
        <v>0</v>
      </c>
      <c r="BU19">
        <f t="shared" si="15"/>
        <v>0</v>
      </c>
    </row>
    <row r="20" spans="1:73" ht="15.75">
      <c r="A20" s="70" t="s">
        <v>239</v>
      </c>
      <c r="B20" s="70"/>
      <c r="C20" s="70"/>
    </row>
    <row r="21" spans="1:73">
      <c r="A21" s="59" t="s">
        <v>307</v>
      </c>
      <c r="B21" s="59" t="s">
        <v>165</v>
      </c>
      <c r="C21" s="59">
        <f>IF(MIN(D19:BU19)&gt;=0,0,1)</f>
        <v>0</v>
      </c>
    </row>
    <row r="22" spans="1:73">
      <c r="A22" s="59" t="s">
        <v>308</v>
      </c>
      <c r="B22" s="59" t="s">
        <v>165</v>
      </c>
      <c r="C22" s="59">
        <f>IF(ABS(BU19)&lt;1,0,1)</f>
        <v>0</v>
      </c>
    </row>
    <row r="23" spans="1:73" ht="15.75">
      <c r="A23" s="70" t="s">
        <v>310</v>
      </c>
      <c r="B23" s="70"/>
      <c r="C23" s="70"/>
    </row>
    <row r="24" spans="1:73">
      <c r="A24" t="s">
        <v>311</v>
      </c>
      <c r="B24" t="s">
        <v>184</v>
      </c>
      <c r="D24">
        <f>D10 - D16 + D17 + D18</f>
        <v>0</v>
      </c>
      <c r="E24">
        <f t="shared" ref="E24:BP24" si="16">E10 - E16 + E17 + E18</f>
        <v>0</v>
      </c>
      <c r="F24">
        <f t="shared" si="16"/>
        <v>0</v>
      </c>
      <c r="G24">
        <f t="shared" si="16"/>
        <v>0</v>
      </c>
      <c r="H24">
        <f t="shared" si="16"/>
        <v>320459.03710749489</v>
      </c>
      <c r="I24">
        <f t="shared" si="16"/>
        <v>99498.167385116336</v>
      </c>
      <c r="J24">
        <f t="shared" si="16"/>
        <v>317694.32405581849</v>
      </c>
      <c r="K24">
        <f t="shared" si="16"/>
        <v>96717.627019557462</v>
      </c>
      <c r="L24">
        <f t="shared" si="16"/>
        <v>314886.0588455589</v>
      </c>
      <c r="M24">
        <f t="shared" si="16"/>
        <v>93850.225790866563</v>
      </c>
      <c r="N24">
        <f t="shared" si="16"/>
        <v>311990.06668010377</v>
      </c>
      <c r="O24">
        <f t="shared" si="16"/>
        <v>90945.216344759217</v>
      </c>
      <c r="P24">
        <f t="shared" si="16"/>
        <v>309056.09130465903</v>
      </c>
      <c r="Q24">
        <f t="shared" si="16"/>
        <v>87982.146871918667</v>
      </c>
      <c r="R24">
        <f t="shared" si="16"/>
        <v>306063.47698435304</v>
      </c>
      <c r="S24">
        <f t="shared" si="16"/>
        <v>84972.400558059599</v>
      </c>
      <c r="T24">
        <f t="shared" si="16"/>
        <v>303023.72040695848</v>
      </c>
      <c r="U24">
        <f t="shared" si="16"/>
        <v>81868.633252500964</v>
      </c>
      <c r="V24">
        <f t="shared" si="16"/>
        <v>299889.00535196217</v>
      </c>
      <c r="W24">
        <f t="shared" si="16"/>
        <v>78724.157602930645</v>
      </c>
      <c r="X24">
        <f t="shared" si="16"/>
        <v>296713.17604893271</v>
      </c>
      <c r="Y24">
        <f t="shared" si="16"/>
        <v>75516.83591321393</v>
      </c>
      <c r="Z24">
        <f t="shared" si="16"/>
        <v>293473.87406615645</v>
      </c>
      <c r="AA24">
        <f t="shared" si="16"/>
        <v>72258.989709651389</v>
      </c>
      <c r="AB24">
        <f t="shared" si="16"/>
        <v>290183.54378821346</v>
      </c>
      <c r="AC24">
        <f t="shared" si="16"/>
        <v>68899.372160958155</v>
      </c>
      <c r="AD24">
        <f t="shared" si="16"/>
        <v>684214.074103844</v>
      </c>
      <c r="AE24">
        <f t="shared" si="16"/>
        <v>146662.2572858546</v>
      </c>
      <c r="AF24">
        <f t="shared" si="16"/>
        <v>1073043.8460997068</v>
      </c>
      <c r="AG24">
        <f t="shared" si="16"/>
        <v>219149.7300746867</v>
      </c>
      <c r="AH24">
        <f t="shared" si="16"/>
        <v>1059121.9577739565</v>
      </c>
      <c r="AI24">
        <f t="shared" si="16"/>
        <v>205089.788519767</v>
      </c>
      <c r="AJ24">
        <f t="shared" si="16"/>
        <v>1044921.824153874</v>
      </c>
      <c r="AK24">
        <f t="shared" si="16"/>
        <v>190709.16113469214</v>
      </c>
      <c r="AL24">
        <f t="shared" si="16"/>
        <v>732272.82580145611</v>
      </c>
      <c r="AM24">
        <f t="shared" si="16"/>
        <v>176080.80139608099</v>
      </c>
      <c r="AN24">
        <f t="shared" si="16"/>
        <v>723555.55378948129</v>
      </c>
      <c r="AO24">
        <f t="shared" si="16"/>
        <v>161160.07670195331</v>
      </c>
      <c r="AP24">
        <f t="shared" si="16"/>
        <v>718982.63265880744</v>
      </c>
      <c r="AQ24">
        <f t="shared" si="16"/>
        <v>145941.14379518793</v>
      </c>
      <c r="AR24">
        <f t="shared" si="16"/>
        <v>714318.31632683706</v>
      </c>
      <c r="AS24">
        <f t="shared" si="16"/>
        <v>130375.09023260616</v>
      </c>
      <c r="AT24">
        <f t="shared" si="16"/>
        <v>709547.61405085807</v>
      </c>
      <c r="AU24">
        <f t="shared" si="16"/>
        <v>114540.88320348423</v>
      </c>
      <c r="AV24">
        <f t="shared" si="16"/>
        <v>704694.72778726846</v>
      </c>
      <c r="AW24">
        <f t="shared" si="16"/>
        <v>98390.210944054183</v>
      </c>
      <c r="AX24">
        <f t="shared" si="16"/>
        <v>699744.85089028359</v>
      </c>
      <c r="AY24">
        <f t="shared" si="16"/>
        <v>81916.748524889117</v>
      </c>
      <c r="AZ24">
        <f t="shared" si="16"/>
        <v>694696.04488814552</v>
      </c>
      <c r="BA24">
        <f t="shared" si="16"/>
        <v>65067.551544468035</v>
      </c>
      <c r="BB24">
        <f t="shared" si="16"/>
        <v>689532.08331884071</v>
      </c>
      <c r="BC24">
        <f t="shared" si="16"/>
        <v>47928.096628048341</v>
      </c>
      <c r="BD24">
        <f t="shared" si="16"/>
        <v>684279.16315830906</v>
      </c>
      <c r="BE24">
        <f t="shared" si="16"/>
        <v>30446.089568821597</v>
      </c>
      <c r="BF24">
        <f t="shared" si="16"/>
        <v>678921.2572169716</v>
      </c>
      <c r="BG24">
        <f t="shared" si="16"/>
        <v>12614.684059765772</v>
      </c>
      <c r="BH24">
        <f t="shared" si="16"/>
        <v>673456.26723065635</v>
      </c>
      <c r="BI24">
        <f t="shared" si="16"/>
        <v>-5623.4286220169161</v>
      </c>
      <c r="BJ24">
        <f t="shared" si="16"/>
        <v>667866.62915503676</v>
      </c>
      <c r="BK24">
        <f t="shared" si="16"/>
        <v>-24175.725828419672</v>
      </c>
      <c r="BL24">
        <f t="shared" si="16"/>
        <v>662180.69943936495</v>
      </c>
      <c r="BM24">
        <f t="shared" si="16"/>
        <v>-43098.812490673736</v>
      </c>
      <c r="BN24">
        <f t="shared" si="16"/>
        <v>656381.12973820628</v>
      </c>
      <c r="BO24">
        <f t="shared" si="16"/>
        <v>-62400.099271676852</v>
      </c>
      <c r="BP24">
        <f t="shared" si="16"/>
        <v>0</v>
      </c>
      <c r="BQ24">
        <f t="shared" ref="BQ24:BU24" si="17">BQ10 - BQ16 + BQ17 + BQ18</f>
        <v>0</v>
      </c>
      <c r="BR24">
        <f t="shared" si="17"/>
        <v>0</v>
      </c>
      <c r="BS24">
        <f t="shared" si="17"/>
        <v>0</v>
      </c>
      <c r="BT24">
        <f t="shared" si="17"/>
        <v>0</v>
      </c>
      <c r="BU24">
        <f t="shared" si="17"/>
        <v>0</v>
      </c>
    </row>
    <row r="25" spans="1:73">
      <c r="A25" t="s">
        <v>312</v>
      </c>
      <c r="B25" t="s">
        <v>39</v>
      </c>
      <c r="D25">
        <f t="shared" ref="D25:BQ25" si="18">IF(D7=1, (D8+C8)/(C9+D9),0)</f>
        <v>0</v>
      </c>
      <c r="E25">
        <f t="shared" ref="E25" si="19">IF(E7=1, (E8+D8)/(D9+E9),0)</f>
        <v>0</v>
      </c>
      <c r="F25">
        <f t="shared" ref="F25" si="20">IF(F7=1, (F8+E8)/(E9+F9),0)</f>
        <v>0</v>
      </c>
      <c r="G25">
        <f t="shared" ref="G25" si="21">IF(G7=1, (G8+F8)/(F9+G9),0)</f>
        <v>0</v>
      </c>
      <c r="H25">
        <f t="shared" si="18"/>
        <v>1.35</v>
      </c>
      <c r="I25">
        <f t="shared" si="18"/>
        <v>1.35</v>
      </c>
      <c r="J25">
        <f t="shared" si="18"/>
        <v>1.35</v>
      </c>
      <c r="K25">
        <f t="shared" si="18"/>
        <v>1.3500000000000003</v>
      </c>
      <c r="L25">
        <f t="shared" si="18"/>
        <v>1.3500000000000003</v>
      </c>
      <c r="M25">
        <f t="shared" si="18"/>
        <v>1.35</v>
      </c>
      <c r="N25">
        <f t="shared" si="18"/>
        <v>1.35</v>
      </c>
      <c r="O25">
        <f t="shared" si="18"/>
        <v>1.3500000000000003</v>
      </c>
      <c r="P25">
        <f t="shared" si="18"/>
        <v>1.35</v>
      </c>
      <c r="Q25">
        <f t="shared" si="18"/>
        <v>1.35</v>
      </c>
      <c r="R25">
        <f t="shared" si="18"/>
        <v>1.3499999999999999</v>
      </c>
      <c r="S25">
        <f t="shared" si="18"/>
        <v>1.3499999999999999</v>
      </c>
      <c r="T25">
        <f t="shared" si="18"/>
        <v>1.3500000000000003</v>
      </c>
      <c r="U25">
        <f t="shared" si="18"/>
        <v>1.3499999999999999</v>
      </c>
      <c r="V25">
        <f t="shared" si="18"/>
        <v>1.3499999999999999</v>
      </c>
      <c r="W25">
        <f t="shared" si="18"/>
        <v>1.3499999999999999</v>
      </c>
      <c r="X25">
        <f t="shared" si="18"/>
        <v>1.3500000000000003</v>
      </c>
      <c r="Y25">
        <f t="shared" si="18"/>
        <v>1.3500000000000003</v>
      </c>
      <c r="Z25">
        <f t="shared" si="18"/>
        <v>1.35</v>
      </c>
      <c r="AA25">
        <f t="shared" si="18"/>
        <v>1.35</v>
      </c>
      <c r="AB25">
        <f t="shared" si="18"/>
        <v>1.3500000000000003</v>
      </c>
      <c r="AC25">
        <f t="shared" si="18"/>
        <v>1.35</v>
      </c>
      <c r="AD25">
        <f t="shared" si="18"/>
        <v>1.35</v>
      </c>
      <c r="AE25">
        <f t="shared" si="18"/>
        <v>1.35</v>
      </c>
      <c r="AF25">
        <f t="shared" si="18"/>
        <v>0</v>
      </c>
      <c r="AG25">
        <f t="shared" si="18"/>
        <v>0</v>
      </c>
      <c r="AH25">
        <f t="shared" si="18"/>
        <v>0</v>
      </c>
      <c r="AI25">
        <f t="shared" si="18"/>
        <v>0</v>
      </c>
      <c r="AJ25">
        <f t="shared" si="18"/>
        <v>0</v>
      </c>
      <c r="AK25">
        <f t="shared" si="18"/>
        <v>0</v>
      </c>
      <c r="AL25">
        <f t="shared" si="18"/>
        <v>0</v>
      </c>
      <c r="AM25">
        <f t="shared" si="18"/>
        <v>0</v>
      </c>
      <c r="AN25">
        <f t="shared" si="18"/>
        <v>0</v>
      </c>
      <c r="AO25">
        <f t="shared" si="18"/>
        <v>0</v>
      </c>
      <c r="AP25">
        <f t="shared" si="18"/>
        <v>0</v>
      </c>
      <c r="AQ25">
        <f t="shared" si="18"/>
        <v>0</v>
      </c>
      <c r="AR25">
        <f t="shared" si="18"/>
        <v>0</v>
      </c>
      <c r="AS25">
        <f t="shared" si="18"/>
        <v>0</v>
      </c>
      <c r="AT25">
        <f t="shared" si="18"/>
        <v>0</v>
      </c>
      <c r="AU25">
        <f t="shared" si="18"/>
        <v>0</v>
      </c>
      <c r="AV25">
        <f t="shared" si="18"/>
        <v>0</v>
      </c>
      <c r="AW25">
        <f t="shared" si="18"/>
        <v>0</v>
      </c>
      <c r="AX25">
        <f t="shared" si="18"/>
        <v>0</v>
      </c>
      <c r="AY25">
        <f t="shared" si="18"/>
        <v>0</v>
      </c>
      <c r="AZ25">
        <f t="shared" si="18"/>
        <v>0</v>
      </c>
      <c r="BA25">
        <f t="shared" si="18"/>
        <v>0</v>
      </c>
      <c r="BB25">
        <f t="shared" si="18"/>
        <v>0</v>
      </c>
      <c r="BC25">
        <f t="shared" si="18"/>
        <v>0</v>
      </c>
      <c r="BD25">
        <f t="shared" si="18"/>
        <v>0</v>
      </c>
      <c r="BE25">
        <f t="shared" si="18"/>
        <v>0</v>
      </c>
      <c r="BF25">
        <f t="shared" si="18"/>
        <v>0</v>
      </c>
      <c r="BG25">
        <f t="shared" si="18"/>
        <v>0</v>
      </c>
      <c r="BH25">
        <f t="shared" si="18"/>
        <v>0</v>
      </c>
      <c r="BI25">
        <f t="shared" si="18"/>
        <v>0</v>
      </c>
      <c r="BJ25">
        <f t="shared" si="18"/>
        <v>0</v>
      </c>
      <c r="BK25">
        <f t="shared" si="18"/>
        <v>0</v>
      </c>
      <c r="BL25">
        <f t="shared" si="18"/>
        <v>0</v>
      </c>
      <c r="BM25">
        <f t="shared" si="18"/>
        <v>0</v>
      </c>
      <c r="BN25">
        <f t="shared" si="18"/>
        <v>0</v>
      </c>
      <c r="BO25">
        <f t="shared" si="18"/>
        <v>0</v>
      </c>
      <c r="BP25">
        <f t="shared" si="18"/>
        <v>0</v>
      </c>
      <c r="BQ25">
        <f t="shared" si="18"/>
        <v>0</v>
      </c>
      <c r="BR25">
        <f t="shared" ref="BR25:BU25" si="22">IF(BR7=1, (BR8+BQ8)/(BQ9+BR9),0)</f>
        <v>0</v>
      </c>
      <c r="BS25">
        <f t="shared" si="22"/>
        <v>0</v>
      </c>
      <c r="BT25">
        <f t="shared" si="22"/>
        <v>0</v>
      </c>
      <c r="BU25">
        <f t="shared" si="22"/>
        <v>0</v>
      </c>
    </row>
    <row r="26" spans="1:73">
      <c r="A26" t="s">
        <v>313</v>
      </c>
      <c r="B26" t="s">
        <v>174</v>
      </c>
      <c r="D26">
        <f>IF(AND(D7=1,D25&lt;Inputs!$B$47),1,0)</f>
        <v>0</v>
      </c>
      <c r="E26">
        <f>IF(AND(E7=1,E25&lt;Inputs!$B$47),1,0)</f>
        <v>0</v>
      </c>
      <c r="F26">
        <f>IF(AND(F7=1,F25&lt;Inputs!$B$47),1,0)</f>
        <v>0</v>
      </c>
      <c r="G26">
        <f>IF(AND(G7=1,G25&lt;Inputs!$B$47),1,0)</f>
        <v>0</v>
      </c>
      <c r="H26">
        <f>IF(AND(H7=1,H25&lt;Inputs!$B$47),1,0)</f>
        <v>0</v>
      </c>
      <c r="I26">
        <f>IF(AND(I7=1,I25&lt;Inputs!$B$47),1,0)</f>
        <v>0</v>
      </c>
      <c r="J26">
        <f>IF(AND(J7=1,J25&lt;Inputs!$B$47),1,0)</f>
        <v>0</v>
      </c>
      <c r="K26">
        <f>IF(AND(K7=1,K25&lt;Inputs!$B$47),1,0)</f>
        <v>0</v>
      </c>
      <c r="L26">
        <f>IF(AND(L7=1,L25&lt;Inputs!$B$47),1,0)</f>
        <v>0</v>
      </c>
      <c r="M26">
        <f>IF(AND(M7=1,M25&lt;Inputs!$B$47),1,0)</f>
        <v>0</v>
      </c>
      <c r="N26">
        <f>IF(AND(N7=1,N25&lt;Inputs!$B$47),1,0)</f>
        <v>0</v>
      </c>
      <c r="O26">
        <f>IF(AND(O7=1,O25&lt;Inputs!$B$47),1,0)</f>
        <v>0</v>
      </c>
      <c r="P26">
        <f>IF(AND(P7=1,P25&lt;Inputs!$B$47),1,0)</f>
        <v>0</v>
      </c>
      <c r="Q26">
        <f>IF(AND(Q7=1,Q25&lt;Inputs!$B$47),1,0)</f>
        <v>0</v>
      </c>
      <c r="R26">
        <f>IF(AND(R7=1,R25&lt;Inputs!$B$47),1,0)</f>
        <v>0</v>
      </c>
      <c r="S26">
        <f>IF(AND(S7=1,S25&lt;Inputs!$B$47),1,0)</f>
        <v>0</v>
      </c>
      <c r="T26">
        <f>IF(AND(T7=1,T25&lt;Inputs!$B$47),1,0)</f>
        <v>0</v>
      </c>
      <c r="U26">
        <f>IF(AND(U7=1,U25&lt;Inputs!$B$47),1,0)</f>
        <v>0</v>
      </c>
      <c r="V26">
        <f>IF(AND(V7=1,V25&lt;Inputs!$B$47),1,0)</f>
        <v>0</v>
      </c>
      <c r="W26">
        <f>IF(AND(W7=1,W25&lt;Inputs!$B$47),1,0)</f>
        <v>0</v>
      </c>
      <c r="X26">
        <f>IF(AND(X7=1,X25&lt;Inputs!$B$47),1,0)</f>
        <v>0</v>
      </c>
      <c r="Y26">
        <f>IF(AND(Y7=1,Y25&lt;Inputs!$B$47),1,0)</f>
        <v>0</v>
      </c>
      <c r="Z26">
        <f>IF(AND(Z7=1,Z25&lt;Inputs!$B$47),1,0)</f>
        <v>0</v>
      </c>
      <c r="AA26">
        <f>IF(AND(AA7=1,AA25&lt;Inputs!$B$47),1,0)</f>
        <v>0</v>
      </c>
      <c r="AB26">
        <f>IF(AND(AB7=1,AB25&lt;Inputs!$B$47),1,0)</f>
        <v>0</v>
      </c>
      <c r="AC26">
        <f>IF(AND(AC7=1,AC25&lt;Inputs!$B$47),1,0)</f>
        <v>0</v>
      </c>
      <c r="AD26">
        <f>IF(AND(AD7=1,AD25&lt;Inputs!$B$47),1,0)</f>
        <v>0</v>
      </c>
      <c r="AE26">
        <f>IF(AND(AE7=1,AE25&lt;Inputs!$B$47),1,0)</f>
        <v>0</v>
      </c>
      <c r="AF26">
        <f>IF(AND(AF7=1,AF25&lt;Inputs!$B$47),1,0)</f>
        <v>0</v>
      </c>
      <c r="AG26">
        <f>IF(AND(AG7=1,AG25&lt;Inputs!$B$47),1,0)</f>
        <v>0</v>
      </c>
      <c r="AH26">
        <f>IF(AND(AH7=1,AH25&lt;Inputs!$B$47),1,0)</f>
        <v>0</v>
      </c>
      <c r="AI26">
        <f>IF(AND(AI7=1,AI25&lt;Inputs!$B$47),1,0)</f>
        <v>0</v>
      </c>
      <c r="AJ26">
        <f>IF(AND(AJ7=1,AJ25&lt;Inputs!$B$47),1,0)</f>
        <v>0</v>
      </c>
      <c r="AK26">
        <f>IF(AND(AK7=1,AK25&lt;Inputs!$B$47),1,0)</f>
        <v>0</v>
      </c>
      <c r="AL26">
        <f>IF(AND(AL7=1,AL25&lt;Inputs!$B$47),1,0)</f>
        <v>0</v>
      </c>
      <c r="AM26">
        <f>IF(AND(AM7=1,AM25&lt;Inputs!$B$47),1,0)</f>
        <v>0</v>
      </c>
      <c r="AN26">
        <f>IF(AND(AN7=1,AN25&lt;Inputs!$B$47),1,0)</f>
        <v>0</v>
      </c>
      <c r="AO26">
        <f>IF(AND(AO7=1,AO25&lt;Inputs!$B$47),1,0)</f>
        <v>0</v>
      </c>
      <c r="AP26">
        <f>IF(AND(AP7=1,AP25&lt;Inputs!$B$47),1,0)</f>
        <v>0</v>
      </c>
      <c r="AQ26">
        <f>IF(AND(AQ7=1,AQ25&lt;Inputs!$B$47),1,0)</f>
        <v>0</v>
      </c>
      <c r="AR26">
        <f>IF(AND(AR7=1,AR25&lt;Inputs!$B$47),1,0)</f>
        <v>0</v>
      </c>
      <c r="AS26">
        <f>IF(AND(AS7=1,AS25&lt;Inputs!$B$47),1,0)</f>
        <v>0</v>
      </c>
      <c r="AT26">
        <f>IF(AND(AT7=1,AT25&lt;Inputs!$B$47),1,0)</f>
        <v>0</v>
      </c>
      <c r="AU26">
        <f>IF(AND(AU7=1,AU25&lt;Inputs!$B$47),1,0)</f>
        <v>0</v>
      </c>
      <c r="AV26">
        <f>IF(AND(AV7=1,AV25&lt;Inputs!$B$47),1,0)</f>
        <v>0</v>
      </c>
      <c r="AW26">
        <f>IF(AND(AW7=1,AW25&lt;Inputs!$B$47),1,0)</f>
        <v>0</v>
      </c>
      <c r="AX26">
        <f>IF(AND(AX7=1,AX25&lt;Inputs!$B$47),1,0)</f>
        <v>0</v>
      </c>
      <c r="AY26">
        <f>IF(AND(AY7=1,AY25&lt;Inputs!$B$47),1,0)</f>
        <v>0</v>
      </c>
      <c r="AZ26">
        <f>IF(AND(AZ7=1,AZ25&lt;Inputs!$B$47),1,0)</f>
        <v>0</v>
      </c>
      <c r="BA26">
        <f>IF(AND(BA7=1,BA25&lt;Inputs!$B$47),1,0)</f>
        <v>0</v>
      </c>
      <c r="BB26">
        <f>IF(AND(BB7=1,BB25&lt;Inputs!$B$47),1,0)</f>
        <v>0</v>
      </c>
      <c r="BC26">
        <f>IF(AND(BC7=1,BC25&lt;Inputs!$B$47),1,0)</f>
        <v>0</v>
      </c>
      <c r="BD26">
        <f>IF(AND(BD7=1,BD25&lt;Inputs!$B$47),1,0)</f>
        <v>0</v>
      </c>
      <c r="BE26">
        <f>IF(AND(BE7=1,BE25&lt;Inputs!$B$47),1,0)</f>
        <v>0</v>
      </c>
      <c r="BF26">
        <f>IF(AND(BF7=1,BF25&lt;Inputs!$B$47),1,0)</f>
        <v>0</v>
      </c>
      <c r="BG26">
        <f>IF(AND(BG7=1,BG25&lt;Inputs!$B$47),1,0)</f>
        <v>0</v>
      </c>
      <c r="BH26">
        <f>IF(AND(BH7=1,BH25&lt;Inputs!$B$47),1,0)</f>
        <v>0</v>
      </c>
      <c r="BI26">
        <f>IF(AND(BI7=1,BI25&lt;Inputs!$B$47),1,0)</f>
        <v>0</v>
      </c>
      <c r="BJ26">
        <f>IF(AND(BJ7=1,BJ25&lt;Inputs!$B$47),1,0)</f>
        <v>0</v>
      </c>
      <c r="BK26">
        <f>IF(AND(BK7=1,BK25&lt;Inputs!$B$47),1,0)</f>
        <v>0</v>
      </c>
      <c r="BL26">
        <f>IF(AND(BL7=1,BL25&lt;Inputs!$B$47),1,0)</f>
        <v>0</v>
      </c>
      <c r="BM26">
        <f>IF(AND(BM7=1,BM25&lt;Inputs!$B$47),1,0)</f>
        <v>0</v>
      </c>
      <c r="BN26">
        <f>IF(AND(BN7=1,BN25&lt;Inputs!$B$47),1,0)</f>
        <v>0</v>
      </c>
      <c r="BO26">
        <f>IF(AND(BO7=1,BO25&lt;Inputs!$B$47),1,0)</f>
        <v>0</v>
      </c>
      <c r="BP26">
        <f>IF(AND(BP7=1,BP25&lt;Inputs!$B$47),1,0)</f>
        <v>0</v>
      </c>
      <c r="BQ26">
        <f>IF(AND(BQ7=1,BQ25&lt;Inputs!$B$47),1,0)</f>
        <v>0</v>
      </c>
      <c r="BR26">
        <f>IF(AND(BR7=1,BR25&lt;Inputs!$B$47),1,0)</f>
        <v>0</v>
      </c>
      <c r="BS26">
        <f>IF(AND(BS7=1,BS25&lt;Inputs!$B$47),1,0)</f>
        <v>0</v>
      </c>
      <c r="BT26">
        <f>IF(AND(BT7=1,BT25&lt;Inputs!$B$47),1,0)</f>
        <v>0</v>
      </c>
      <c r="BU26">
        <f>IF(AND(BU7=1,BU25&lt;Inputs!$B$47),1,0)</f>
        <v>0</v>
      </c>
    </row>
    <row r="27" spans="1:73" ht="15.75">
      <c r="A27" t="s">
        <v>314</v>
      </c>
      <c r="B27" t="s">
        <v>174</v>
      </c>
      <c r="C27" s="55"/>
      <c r="D27">
        <f>IF(AND(D7=1,D25&lt;Inputs!$B$48),1,0)</f>
        <v>0</v>
      </c>
      <c r="E27">
        <f>IF(AND(E7=1,E25&lt;Inputs!$B$48),1,0)</f>
        <v>0</v>
      </c>
      <c r="F27">
        <f>IF(AND(F7=1,F25&lt;Inputs!$B$48),1,0)</f>
        <v>0</v>
      </c>
      <c r="G27">
        <f>IF(AND(G7=1,G25&lt;Inputs!$B$48),1,0)</f>
        <v>0</v>
      </c>
      <c r="H27">
        <f>IF(AND(H7=1,H25&lt;Inputs!$B$48),1,0)</f>
        <v>0</v>
      </c>
      <c r="I27">
        <f>IF(AND(I7=1,I25&lt;Inputs!$B$48),1,0)</f>
        <v>0</v>
      </c>
      <c r="J27">
        <f>IF(AND(J7=1,J25&lt;Inputs!$B$48),1,0)</f>
        <v>0</v>
      </c>
      <c r="K27">
        <f>IF(AND(K7=1,K25&lt;Inputs!$B$48),1,0)</f>
        <v>0</v>
      </c>
      <c r="L27">
        <f>IF(AND(L7=1,L25&lt;Inputs!$B$48),1,0)</f>
        <v>0</v>
      </c>
      <c r="M27">
        <f>IF(AND(M7=1,M25&lt;Inputs!$B$48),1,0)</f>
        <v>0</v>
      </c>
      <c r="N27">
        <f>IF(AND(N7=1,N25&lt;Inputs!$B$48),1,0)</f>
        <v>0</v>
      </c>
      <c r="O27">
        <f>IF(AND(O7=1,O25&lt;Inputs!$B$48),1,0)</f>
        <v>0</v>
      </c>
      <c r="P27">
        <f>IF(AND(P7=1,P25&lt;Inputs!$B$48),1,0)</f>
        <v>0</v>
      </c>
      <c r="Q27">
        <f>IF(AND(Q7=1,Q25&lt;Inputs!$B$48),1,0)</f>
        <v>0</v>
      </c>
      <c r="R27">
        <f>IF(AND(R7=1,R25&lt;Inputs!$B$48),1,0)</f>
        <v>0</v>
      </c>
      <c r="S27">
        <f>IF(AND(S7=1,S25&lt;Inputs!$B$48),1,0)</f>
        <v>0</v>
      </c>
      <c r="T27">
        <f>IF(AND(T7=1,T25&lt;Inputs!$B$48),1,0)</f>
        <v>0</v>
      </c>
      <c r="U27">
        <f>IF(AND(U7=1,U25&lt;Inputs!$B$48),1,0)</f>
        <v>0</v>
      </c>
      <c r="V27">
        <f>IF(AND(V7=1,V25&lt;Inputs!$B$48),1,0)</f>
        <v>0</v>
      </c>
      <c r="W27">
        <f>IF(AND(W7=1,W25&lt;Inputs!$B$48),1,0)</f>
        <v>0</v>
      </c>
      <c r="X27">
        <f>IF(AND(X7=1,X25&lt;Inputs!$B$48),1,0)</f>
        <v>0</v>
      </c>
      <c r="Y27">
        <f>IF(AND(Y7=1,Y25&lt;Inputs!$B$48),1,0)</f>
        <v>0</v>
      </c>
      <c r="Z27">
        <f>IF(AND(Z7=1,Z25&lt;Inputs!$B$48),1,0)</f>
        <v>0</v>
      </c>
      <c r="AA27">
        <f>IF(AND(AA7=1,AA25&lt;Inputs!$B$48),1,0)</f>
        <v>0</v>
      </c>
      <c r="AB27">
        <f>IF(AND(AB7=1,AB25&lt;Inputs!$B$48),1,0)</f>
        <v>0</v>
      </c>
      <c r="AC27">
        <f>IF(AND(AC7=1,AC25&lt;Inputs!$B$48),1,0)</f>
        <v>0</v>
      </c>
      <c r="AD27">
        <f>IF(AND(AD7=1,AD25&lt;Inputs!$B$48),1,0)</f>
        <v>0</v>
      </c>
      <c r="AE27">
        <f>IF(AND(AE7=1,AE25&lt;Inputs!$B$48),1,0)</f>
        <v>0</v>
      </c>
      <c r="AF27">
        <f>IF(AND(AF7=1,AF25&lt;Inputs!$B$48),1,0)</f>
        <v>0</v>
      </c>
      <c r="AG27">
        <f>IF(AND(AG7=1,AG25&lt;Inputs!$B$48),1,0)</f>
        <v>0</v>
      </c>
      <c r="AH27">
        <f>IF(AND(AH7=1,AH25&lt;Inputs!$B$48),1,0)</f>
        <v>0</v>
      </c>
      <c r="AI27">
        <f>IF(AND(AI7=1,AI25&lt;Inputs!$B$48),1,0)</f>
        <v>0</v>
      </c>
      <c r="AJ27">
        <f>IF(AND(AJ7=1,AJ25&lt;Inputs!$B$48),1,0)</f>
        <v>0</v>
      </c>
      <c r="AK27">
        <f>IF(AND(AK7=1,AK25&lt;Inputs!$B$48),1,0)</f>
        <v>0</v>
      </c>
      <c r="AL27">
        <f>IF(AND(AL7=1,AL25&lt;Inputs!$B$48),1,0)</f>
        <v>0</v>
      </c>
      <c r="AM27">
        <f>IF(AND(AM7=1,AM25&lt;Inputs!$B$48),1,0)</f>
        <v>0</v>
      </c>
      <c r="AN27">
        <f>IF(AND(AN7=1,AN25&lt;Inputs!$B$48),1,0)</f>
        <v>0</v>
      </c>
      <c r="AO27">
        <f>IF(AND(AO7=1,AO25&lt;Inputs!$B$48),1,0)</f>
        <v>0</v>
      </c>
      <c r="AP27">
        <f>IF(AND(AP7=1,AP25&lt;Inputs!$B$48),1,0)</f>
        <v>0</v>
      </c>
      <c r="AQ27">
        <f>IF(AND(AQ7=1,AQ25&lt;Inputs!$B$48),1,0)</f>
        <v>0</v>
      </c>
      <c r="AR27">
        <f>IF(AND(AR7=1,AR25&lt;Inputs!$B$48),1,0)</f>
        <v>0</v>
      </c>
      <c r="AS27">
        <f>IF(AND(AS7=1,AS25&lt;Inputs!$B$48),1,0)</f>
        <v>0</v>
      </c>
      <c r="AT27">
        <f>IF(AND(AT7=1,AT25&lt;Inputs!$B$48),1,0)</f>
        <v>0</v>
      </c>
      <c r="AU27">
        <f>IF(AND(AU7=1,AU25&lt;Inputs!$B$48),1,0)</f>
        <v>0</v>
      </c>
      <c r="AV27">
        <f>IF(AND(AV7=1,AV25&lt;Inputs!$B$48),1,0)</f>
        <v>0</v>
      </c>
      <c r="AW27">
        <f>IF(AND(AW7=1,AW25&lt;Inputs!$B$48),1,0)</f>
        <v>0</v>
      </c>
      <c r="AX27">
        <f>IF(AND(AX7=1,AX25&lt;Inputs!$B$48),1,0)</f>
        <v>0</v>
      </c>
      <c r="AY27">
        <f>IF(AND(AY7=1,AY25&lt;Inputs!$B$48),1,0)</f>
        <v>0</v>
      </c>
      <c r="AZ27">
        <f>IF(AND(AZ7=1,AZ25&lt;Inputs!$B$48),1,0)</f>
        <v>0</v>
      </c>
      <c r="BA27">
        <f>IF(AND(BA7=1,BA25&lt;Inputs!$B$48),1,0)</f>
        <v>0</v>
      </c>
      <c r="BB27">
        <f>IF(AND(BB7=1,BB25&lt;Inputs!$B$48),1,0)</f>
        <v>0</v>
      </c>
      <c r="BC27">
        <f>IF(AND(BC7=1,BC25&lt;Inputs!$B$48),1,0)</f>
        <v>0</v>
      </c>
      <c r="BD27">
        <f>IF(AND(BD7=1,BD25&lt;Inputs!$B$48),1,0)</f>
        <v>0</v>
      </c>
      <c r="BE27">
        <f>IF(AND(BE7=1,BE25&lt;Inputs!$B$48),1,0)</f>
        <v>0</v>
      </c>
      <c r="BF27">
        <f>IF(AND(BF7=1,BF25&lt;Inputs!$B$48),1,0)</f>
        <v>0</v>
      </c>
      <c r="BG27">
        <f>IF(AND(BG7=1,BG25&lt;Inputs!$B$48),1,0)</f>
        <v>0</v>
      </c>
      <c r="BH27">
        <f>IF(AND(BH7=1,BH25&lt;Inputs!$B$48),1,0)</f>
        <v>0</v>
      </c>
      <c r="BI27">
        <f>IF(AND(BI7=1,BI25&lt;Inputs!$B$48),1,0)</f>
        <v>0</v>
      </c>
      <c r="BJ27">
        <f>IF(AND(BJ7=1,BJ25&lt;Inputs!$B$48),1,0)</f>
        <v>0</v>
      </c>
      <c r="BK27">
        <f>IF(AND(BK7=1,BK25&lt;Inputs!$B$48),1,0)</f>
        <v>0</v>
      </c>
      <c r="BL27">
        <f>IF(AND(BL7=1,BL25&lt;Inputs!$B$48),1,0)</f>
        <v>0</v>
      </c>
      <c r="BM27">
        <f>IF(AND(BM7=1,BM25&lt;Inputs!$B$48),1,0)</f>
        <v>0</v>
      </c>
      <c r="BN27">
        <f>IF(AND(BN7=1,BN25&lt;Inputs!$B$48),1,0)</f>
        <v>0</v>
      </c>
      <c r="BO27">
        <f>IF(AND(BO7=1,BO25&lt;Inputs!$B$48),1,0)</f>
        <v>0</v>
      </c>
      <c r="BP27">
        <f>IF(AND(BP7=1,BP25&lt;Inputs!$B$48),1,0)</f>
        <v>0</v>
      </c>
      <c r="BQ27">
        <f>IF(AND(BQ7=1,BQ25&lt;Inputs!$B$48),1,0)</f>
        <v>0</v>
      </c>
      <c r="BR27">
        <f>IF(AND(BR7=1,BR25&lt;Inputs!$B$48),1,0)</f>
        <v>0</v>
      </c>
      <c r="BS27">
        <f>IF(AND(BS7=1,BS25&lt;Inputs!$B$48),1,0)</f>
        <v>0</v>
      </c>
      <c r="BT27">
        <f>IF(AND(BT7=1,BT25&lt;Inputs!$B$48),1,0)</f>
        <v>0</v>
      </c>
      <c r="BU27">
        <f>IF(AND(BU7=1,BU25&lt;Inputs!$B$48),1,0)</f>
        <v>0</v>
      </c>
    </row>
    <row r="28" spans="1:73">
      <c r="A28" t="s">
        <v>315</v>
      </c>
      <c r="B28" t="s">
        <v>131</v>
      </c>
    </row>
    <row r="29" spans="1:73">
      <c r="A29" t="s">
        <v>316</v>
      </c>
      <c r="B29" t="s">
        <v>184</v>
      </c>
      <c r="D29" s="48">
        <v>0</v>
      </c>
      <c r="E29">
        <f>D32</f>
        <v>0</v>
      </c>
      <c r="F29">
        <f t="shared" ref="F29:BQ29" si="23">E32</f>
        <v>0</v>
      </c>
      <c r="G29">
        <f t="shared" si="23"/>
        <v>0</v>
      </c>
      <c r="H29">
        <f t="shared" si="23"/>
        <v>0</v>
      </c>
      <c r="I29">
        <f t="shared" si="23"/>
        <v>0</v>
      </c>
      <c r="J29">
        <f t="shared" si="23"/>
        <v>0</v>
      </c>
      <c r="K29">
        <f t="shared" si="23"/>
        <v>0</v>
      </c>
      <c r="L29">
        <f t="shared" si="23"/>
        <v>0</v>
      </c>
      <c r="M29">
        <f t="shared" si="23"/>
        <v>0</v>
      </c>
      <c r="N29">
        <f t="shared" si="23"/>
        <v>0</v>
      </c>
      <c r="O29">
        <f t="shared" si="23"/>
        <v>0</v>
      </c>
      <c r="P29">
        <f t="shared" si="23"/>
        <v>0</v>
      </c>
      <c r="Q29">
        <f t="shared" si="23"/>
        <v>0</v>
      </c>
      <c r="R29">
        <f t="shared" si="23"/>
        <v>0</v>
      </c>
      <c r="S29">
        <f t="shared" si="23"/>
        <v>0</v>
      </c>
      <c r="T29">
        <f t="shared" si="23"/>
        <v>0</v>
      </c>
      <c r="U29">
        <f t="shared" si="23"/>
        <v>0</v>
      </c>
      <c r="V29">
        <f t="shared" si="23"/>
        <v>0</v>
      </c>
      <c r="W29">
        <f t="shared" si="23"/>
        <v>0</v>
      </c>
      <c r="X29">
        <f t="shared" si="23"/>
        <v>0</v>
      </c>
      <c r="Y29">
        <f t="shared" si="23"/>
        <v>0</v>
      </c>
      <c r="Z29">
        <f t="shared" si="23"/>
        <v>0</v>
      </c>
      <c r="AA29">
        <f t="shared" si="23"/>
        <v>0</v>
      </c>
      <c r="AB29">
        <f t="shared" si="23"/>
        <v>0</v>
      </c>
      <c r="AC29">
        <f t="shared" si="23"/>
        <v>0</v>
      </c>
      <c r="AD29">
        <f t="shared" si="23"/>
        <v>0</v>
      </c>
      <c r="AE29">
        <f t="shared" si="23"/>
        <v>0</v>
      </c>
      <c r="AF29">
        <f t="shared" si="23"/>
        <v>0</v>
      </c>
      <c r="AG29">
        <f t="shared" si="23"/>
        <v>0</v>
      </c>
      <c r="AH29">
        <f t="shared" si="23"/>
        <v>0</v>
      </c>
      <c r="AI29">
        <f t="shared" si="23"/>
        <v>0</v>
      </c>
      <c r="AJ29">
        <f t="shared" si="23"/>
        <v>0</v>
      </c>
      <c r="AK29">
        <f t="shared" si="23"/>
        <v>0</v>
      </c>
      <c r="AL29">
        <f t="shared" si="23"/>
        <v>0</v>
      </c>
      <c r="AM29">
        <f t="shared" si="23"/>
        <v>0</v>
      </c>
      <c r="AN29">
        <f t="shared" si="23"/>
        <v>0</v>
      </c>
      <c r="AO29">
        <f t="shared" si="23"/>
        <v>0</v>
      </c>
      <c r="AP29">
        <f t="shared" si="23"/>
        <v>0</v>
      </c>
      <c r="AQ29">
        <f t="shared" si="23"/>
        <v>0</v>
      </c>
      <c r="AR29">
        <f t="shared" si="23"/>
        <v>0</v>
      </c>
      <c r="AS29">
        <f t="shared" si="23"/>
        <v>0</v>
      </c>
      <c r="AT29">
        <f t="shared" si="23"/>
        <v>0</v>
      </c>
      <c r="AU29">
        <f t="shared" si="23"/>
        <v>0</v>
      </c>
      <c r="AV29">
        <f t="shared" si="23"/>
        <v>0</v>
      </c>
      <c r="AW29">
        <f t="shared" si="23"/>
        <v>0</v>
      </c>
      <c r="AX29">
        <f t="shared" si="23"/>
        <v>0</v>
      </c>
      <c r="AY29">
        <f t="shared" si="23"/>
        <v>0</v>
      </c>
      <c r="AZ29">
        <f t="shared" si="23"/>
        <v>0</v>
      </c>
      <c r="BA29">
        <f t="shared" si="23"/>
        <v>0</v>
      </c>
      <c r="BB29">
        <f t="shared" si="23"/>
        <v>0</v>
      </c>
      <c r="BC29">
        <f t="shared" si="23"/>
        <v>0</v>
      </c>
      <c r="BD29">
        <f t="shared" si="23"/>
        <v>0</v>
      </c>
      <c r="BE29">
        <f t="shared" si="23"/>
        <v>0</v>
      </c>
      <c r="BF29">
        <f t="shared" si="23"/>
        <v>0</v>
      </c>
      <c r="BG29">
        <f t="shared" si="23"/>
        <v>0</v>
      </c>
      <c r="BH29">
        <f t="shared" si="23"/>
        <v>0</v>
      </c>
      <c r="BI29">
        <f t="shared" si="23"/>
        <v>0</v>
      </c>
      <c r="BJ29">
        <f t="shared" si="23"/>
        <v>0</v>
      </c>
      <c r="BK29">
        <f t="shared" si="23"/>
        <v>0</v>
      </c>
      <c r="BL29">
        <f t="shared" si="23"/>
        <v>0</v>
      </c>
      <c r="BM29">
        <f t="shared" si="23"/>
        <v>0</v>
      </c>
      <c r="BN29">
        <f t="shared" si="23"/>
        <v>0</v>
      </c>
      <c r="BO29">
        <f t="shared" si="23"/>
        <v>0</v>
      </c>
      <c r="BP29">
        <f t="shared" si="23"/>
        <v>0</v>
      </c>
      <c r="BQ29">
        <f t="shared" si="23"/>
        <v>0</v>
      </c>
      <c r="BR29">
        <f t="shared" ref="BR29:BU29" si="24">BQ32</f>
        <v>0</v>
      </c>
      <c r="BS29">
        <f t="shared" si="24"/>
        <v>0</v>
      </c>
      <c r="BT29">
        <f t="shared" si="24"/>
        <v>0</v>
      </c>
      <c r="BU29">
        <f t="shared" si="24"/>
        <v>0</v>
      </c>
    </row>
    <row r="30" spans="1:73">
      <c r="A30" t="s">
        <v>317</v>
      </c>
      <c r="B30" t="s">
        <v>184</v>
      </c>
      <c r="D30">
        <f>D24</f>
        <v>0</v>
      </c>
      <c r="E30">
        <f t="shared" ref="E30:BP30" si="25">E24</f>
        <v>0</v>
      </c>
      <c r="F30">
        <f t="shared" si="25"/>
        <v>0</v>
      </c>
      <c r="G30">
        <f t="shared" si="25"/>
        <v>0</v>
      </c>
      <c r="H30">
        <f t="shared" si="25"/>
        <v>320459.03710749489</v>
      </c>
      <c r="I30">
        <f t="shared" si="25"/>
        <v>99498.167385116336</v>
      </c>
      <c r="J30">
        <f t="shared" si="25"/>
        <v>317694.32405581849</v>
      </c>
      <c r="K30">
        <f t="shared" si="25"/>
        <v>96717.627019557462</v>
      </c>
      <c r="L30">
        <f t="shared" si="25"/>
        <v>314886.0588455589</v>
      </c>
      <c r="M30">
        <f t="shared" si="25"/>
        <v>93850.225790866563</v>
      </c>
      <c r="N30">
        <f t="shared" si="25"/>
        <v>311990.06668010377</v>
      </c>
      <c r="O30">
        <f t="shared" si="25"/>
        <v>90945.216344759217</v>
      </c>
      <c r="P30">
        <f t="shared" si="25"/>
        <v>309056.09130465903</v>
      </c>
      <c r="Q30">
        <f t="shared" si="25"/>
        <v>87982.146871918667</v>
      </c>
      <c r="R30">
        <f t="shared" si="25"/>
        <v>306063.47698435304</v>
      </c>
      <c r="S30">
        <f t="shared" si="25"/>
        <v>84972.400558059599</v>
      </c>
      <c r="T30">
        <f t="shared" si="25"/>
        <v>303023.72040695848</v>
      </c>
      <c r="U30">
        <f t="shared" si="25"/>
        <v>81868.633252500964</v>
      </c>
      <c r="V30">
        <f t="shared" si="25"/>
        <v>299889.00535196217</v>
      </c>
      <c r="W30">
        <f t="shared" si="25"/>
        <v>78724.157602930645</v>
      </c>
      <c r="X30">
        <f t="shared" si="25"/>
        <v>296713.17604893271</v>
      </c>
      <c r="Y30">
        <f t="shared" si="25"/>
        <v>75516.83591321393</v>
      </c>
      <c r="Z30">
        <f t="shared" si="25"/>
        <v>293473.87406615645</v>
      </c>
      <c r="AA30">
        <f t="shared" si="25"/>
        <v>72258.989709651389</v>
      </c>
      <c r="AB30">
        <f t="shared" si="25"/>
        <v>290183.54378821346</v>
      </c>
      <c r="AC30">
        <f t="shared" si="25"/>
        <v>68899.372160958155</v>
      </c>
      <c r="AD30">
        <f t="shared" si="25"/>
        <v>684214.074103844</v>
      </c>
      <c r="AE30">
        <f t="shared" si="25"/>
        <v>146662.2572858546</v>
      </c>
      <c r="AF30">
        <f t="shared" si="25"/>
        <v>1073043.8460997068</v>
      </c>
      <c r="AG30">
        <f t="shared" si="25"/>
        <v>219149.7300746867</v>
      </c>
      <c r="AH30">
        <f t="shared" si="25"/>
        <v>1059121.9577739565</v>
      </c>
      <c r="AI30">
        <f t="shared" si="25"/>
        <v>205089.788519767</v>
      </c>
      <c r="AJ30">
        <f t="shared" si="25"/>
        <v>1044921.824153874</v>
      </c>
      <c r="AK30">
        <f t="shared" si="25"/>
        <v>190709.16113469214</v>
      </c>
      <c r="AL30">
        <f t="shared" si="25"/>
        <v>732272.82580145611</v>
      </c>
      <c r="AM30">
        <f t="shared" si="25"/>
        <v>176080.80139608099</v>
      </c>
      <c r="AN30">
        <f t="shared" si="25"/>
        <v>723555.55378948129</v>
      </c>
      <c r="AO30">
        <f t="shared" si="25"/>
        <v>161160.07670195331</v>
      </c>
      <c r="AP30">
        <f t="shared" si="25"/>
        <v>718982.63265880744</v>
      </c>
      <c r="AQ30">
        <f t="shared" si="25"/>
        <v>145941.14379518793</v>
      </c>
      <c r="AR30">
        <f t="shared" si="25"/>
        <v>714318.31632683706</v>
      </c>
      <c r="AS30">
        <f t="shared" si="25"/>
        <v>130375.09023260616</v>
      </c>
      <c r="AT30">
        <f t="shared" si="25"/>
        <v>709547.61405085807</v>
      </c>
      <c r="AU30">
        <f t="shared" si="25"/>
        <v>114540.88320348423</v>
      </c>
      <c r="AV30">
        <f t="shared" si="25"/>
        <v>704694.72778726846</v>
      </c>
      <c r="AW30">
        <f t="shared" si="25"/>
        <v>98390.210944054183</v>
      </c>
      <c r="AX30">
        <f t="shared" si="25"/>
        <v>699744.85089028359</v>
      </c>
      <c r="AY30">
        <f t="shared" si="25"/>
        <v>81916.748524889117</v>
      </c>
      <c r="AZ30">
        <f t="shared" si="25"/>
        <v>694696.04488814552</v>
      </c>
      <c r="BA30">
        <f t="shared" si="25"/>
        <v>65067.551544468035</v>
      </c>
      <c r="BB30">
        <f t="shared" si="25"/>
        <v>689532.08331884071</v>
      </c>
      <c r="BC30">
        <f t="shared" si="25"/>
        <v>47928.096628048341</v>
      </c>
      <c r="BD30">
        <f t="shared" si="25"/>
        <v>684279.16315830906</v>
      </c>
      <c r="BE30">
        <f t="shared" si="25"/>
        <v>30446.089568821597</v>
      </c>
      <c r="BF30">
        <f t="shared" si="25"/>
        <v>678921.2572169716</v>
      </c>
      <c r="BG30">
        <f t="shared" si="25"/>
        <v>12614.684059765772</v>
      </c>
      <c r="BH30">
        <f t="shared" si="25"/>
        <v>673456.26723065635</v>
      </c>
      <c r="BI30">
        <f t="shared" si="25"/>
        <v>-5623.4286220169161</v>
      </c>
      <c r="BJ30">
        <f t="shared" si="25"/>
        <v>667866.62915503676</v>
      </c>
      <c r="BK30">
        <f t="shared" si="25"/>
        <v>-24175.725828419672</v>
      </c>
      <c r="BL30">
        <f t="shared" si="25"/>
        <v>662180.69943936495</v>
      </c>
      <c r="BM30">
        <f t="shared" si="25"/>
        <v>-43098.812490673736</v>
      </c>
      <c r="BN30">
        <f t="shared" si="25"/>
        <v>656381.12973820628</v>
      </c>
      <c r="BO30">
        <f t="shared" si="25"/>
        <v>-62400.099271676852</v>
      </c>
      <c r="BP30">
        <f t="shared" si="25"/>
        <v>0</v>
      </c>
      <c r="BQ30">
        <f t="shared" ref="BQ30:BU30" si="26">BQ24</f>
        <v>0</v>
      </c>
      <c r="BR30">
        <f t="shared" si="26"/>
        <v>0</v>
      </c>
      <c r="BS30">
        <f t="shared" si="26"/>
        <v>0</v>
      </c>
      <c r="BT30">
        <f t="shared" si="26"/>
        <v>0</v>
      </c>
      <c r="BU30">
        <f t="shared" si="26"/>
        <v>0</v>
      </c>
    </row>
    <row r="31" spans="1:73">
      <c r="A31" t="s">
        <v>324</v>
      </c>
      <c r="B31" t="s">
        <v>184</v>
      </c>
      <c r="C31">
        <f>SUM(D31:BU31)</f>
        <v>20257171.892233226</v>
      </c>
      <c r="D31">
        <f>IF(D26=1,MIN(0,D29+D30),D29+D30)</f>
        <v>0</v>
      </c>
      <c r="E31">
        <f t="shared" ref="E31:BP31" si="27">IF(E26=1,MIN(0,E29+E30),E29+E30)</f>
        <v>0</v>
      </c>
      <c r="F31">
        <f t="shared" si="27"/>
        <v>0</v>
      </c>
      <c r="G31">
        <f t="shared" si="27"/>
        <v>0</v>
      </c>
      <c r="H31">
        <f t="shared" si="27"/>
        <v>320459.03710749489</v>
      </c>
      <c r="I31">
        <f t="shared" si="27"/>
        <v>99498.167385116336</v>
      </c>
      <c r="J31">
        <f t="shared" si="27"/>
        <v>317694.32405581849</v>
      </c>
      <c r="K31">
        <f t="shared" si="27"/>
        <v>96717.627019557462</v>
      </c>
      <c r="L31">
        <f t="shared" si="27"/>
        <v>314886.0588455589</v>
      </c>
      <c r="M31">
        <f t="shared" si="27"/>
        <v>93850.225790866563</v>
      </c>
      <c r="N31">
        <f t="shared" si="27"/>
        <v>311990.06668010377</v>
      </c>
      <c r="O31">
        <f t="shared" si="27"/>
        <v>90945.216344759217</v>
      </c>
      <c r="P31">
        <f t="shared" si="27"/>
        <v>309056.09130465903</v>
      </c>
      <c r="Q31">
        <f t="shared" si="27"/>
        <v>87982.146871918667</v>
      </c>
      <c r="R31">
        <f t="shared" si="27"/>
        <v>306063.47698435304</v>
      </c>
      <c r="S31">
        <f t="shared" si="27"/>
        <v>84972.400558059599</v>
      </c>
      <c r="T31">
        <f t="shared" si="27"/>
        <v>303023.72040695848</v>
      </c>
      <c r="U31">
        <f t="shared" si="27"/>
        <v>81868.633252500964</v>
      </c>
      <c r="V31">
        <f t="shared" si="27"/>
        <v>299889.00535196217</v>
      </c>
      <c r="W31">
        <f t="shared" si="27"/>
        <v>78724.157602930645</v>
      </c>
      <c r="X31">
        <f t="shared" si="27"/>
        <v>296713.17604893271</v>
      </c>
      <c r="Y31">
        <f t="shared" si="27"/>
        <v>75516.83591321393</v>
      </c>
      <c r="Z31">
        <f t="shared" si="27"/>
        <v>293473.87406615645</v>
      </c>
      <c r="AA31">
        <f t="shared" si="27"/>
        <v>72258.989709651389</v>
      </c>
      <c r="AB31">
        <f t="shared" si="27"/>
        <v>290183.54378821346</v>
      </c>
      <c r="AC31">
        <f t="shared" si="27"/>
        <v>68899.372160958155</v>
      </c>
      <c r="AD31">
        <f t="shared" si="27"/>
        <v>684214.074103844</v>
      </c>
      <c r="AE31">
        <f t="shared" si="27"/>
        <v>146662.2572858546</v>
      </c>
      <c r="AF31">
        <f t="shared" si="27"/>
        <v>1073043.8460997068</v>
      </c>
      <c r="AG31">
        <f t="shared" si="27"/>
        <v>219149.7300746867</v>
      </c>
      <c r="AH31">
        <f t="shared" si="27"/>
        <v>1059121.9577739565</v>
      </c>
      <c r="AI31">
        <f t="shared" si="27"/>
        <v>205089.788519767</v>
      </c>
      <c r="AJ31">
        <f t="shared" si="27"/>
        <v>1044921.824153874</v>
      </c>
      <c r="AK31">
        <f t="shared" si="27"/>
        <v>190709.16113469214</v>
      </c>
      <c r="AL31">
        <f t="shared" si="27"/>
        <v>732272.82580145611</v>
      </c>
      <c r="AM31">
        <f t="shared" si="27"/>
        <v>176080.80139608099</v>
      </c>
      <c r="AN31">
        <f t="shared" si="27"/>
        <v>723555.55378948129</v>
      </c>
      <c r="AO31">
        <f t="shared" si="27"/>
        <v>161160.07670195331</v>
      </c>
      <c r="AP31">
        <f t="shared" si="27"/>
        <v>718982.63265880744</v>
      </c>
      <c r="AQ31">
        <f t="shared" si="27"/>
        <v>145941.14379518793</v>
      </c>
      <c r="AR31">
        <f t="shared" si="27"/>
        <v>714318.31632683706</v>
      </c>
      <c r="AS31">
        <f t="shared" si="27"/>
        <v>130375.09023260616</v>
      </c>
      <c r="AT31">
        <f t="shared" si="27"/>
        <v>709547.61405085807</v>
      </c>
      <c r="AU31">
        <f t="shared" si="27"/>
        <v>114540.88320348423</v>
      </c>
      <c r="AV31">
        <f t="shared" si="27"/>
        <v>704694.72778726846</v>
      </c>
      <c r="AW31">
        <f t="shared" si="27"/>
        <v>98390.210944054183</v>
      </c>
      <c r="AX31">
        <f t="shared" si="27"/>
        <v>699744.85089028359</v>
      </c>
      <c r="AY31">
        <f t="shared" si="27"/>
        <v>81916.748524889117</v>
      </c>
      <c r="AZ31">
        <f t="shared" si="27"/>
        <v>694696.04488814552</v>
      </c>
      <c r="BA31">
        <f t="shared" si="27"/>
        <v>65067.551544468035</v>
      </c>
      <c r="BB31">
        <f t="shared" si="27"/>
        <v>689532.08331884071</v>
      </c>
      <c r="BC31">
        <f t="shared" si="27"/>
        <v>47928.096628048341</v>
      </c>
      <c r="BD31">
        <f t="shared" si="27"/>
        <v>684279.16315830906</v>
      </c>
      <c r="BE31">
        <f t="shared" si="27"/>
        <v>30446.089568821597</v>
      </c>
      <c r="BF31">
        <f t="shared" si="27"/>
        <v>678921.2572169716</v>
      </c>
      <c r="BG31">
        <f t="shared" si="27"/>
        <v>12614.684059765772</v>
      </c>
      <c r="BH31">
        <f t="shared" si="27"/>
        <v>673456.26723065635</v>
      </c>
      <c r="BI31">
        <f t="shared" si="27"/>
        <v>-5623.4286220169161</v>
      </c>
      <c r="BJ31">
        <f t="shared" si="27"/>
        <v>667866.62915503676</v>
      </c>
      <c r="BK31">
        <f t="shared" si="27"/>
        <v>-24175.725828419672</v>
      </c>
      <c r="BL31">
        <f t="shared" si="27"/>
        <v>662180.69943936495</v>
      </c>
      <c r="BM31">
        <f t="shared" si="27"/>
        <v>-43098.812490673736</v>
      </c>
      <c r="BN31">
        <f t="shared" si="27"/>
        <v>656381.12973820628</v>
      </c>
      <c r="BO31">
        <f t="shared" si="27"/>
        <v>-62400.099271676852</v>
      </c>
      <c r="BP31">
        <f t="shared" si="27"/>
        <v>0</v>
      </c>
      <c r="BQ31">
        <f t="shared" ref="BQ31:BU31" si="28">IF(BQ26=1,MIN(0,BQ29+BQ30),BQ29+BQ30)</f>
        <v>0</v>
      </c>
      <c r="BR31">
        <f t="shared" si="28"/>
        <v>0</v>
      </c>
      <c r="BS31">
        <f t="shared" si="28"/>
        <v>0</v>
      </c>
      <c r="BT31">
        <f t="shared" si="28"/>
        <v>0</v>
      </c>
      <c r="BU31">
        <f t="shared" si="28"/>
        <v>0</v>
      </c>
    </row>
    <row r="32" spans="1:73">
      <c r="A32" t="s">
        <v>318</v>
      </c>
      <c r="B32" t="s">
        <v>184</v>
      </c>
      <c r="D32">
        <f>D29+D30-D31</f>
        <v>0</v>
      </c>
      <c r="E32">
        <f t="shared" ref="E32:BP32" si="29">E29+E30-E31</f>
        <v>0</v>
      </c>
      <c r="F32">
        <f t="shared" si="29"/>
        <v>0</v>
      </c>
      <c r="G32">
        <f t="shared" si="29"/>
        <v>0</v>
      </c>
      <c r="H32">
        <f t="shared" si="29"/>
        <v>0</v>
      </c>
      <c r="I32">
        <f t="shared" si="29"/>
        <v>0</v>
      </c>
      <c r="J32">
        <f t="shared" si="29"/>
        <v>0</v>
      </c>
      <c r="K32">
        <f t="shared" si="29"/>
        <v>0</v>
      </c>
      <c r="L32">
        <f t="shared" si="29"/>
        <v>0</v>
      </c>
      <c r="M32">
        <f t="shared" si="29"/>
        <v>0</v>
      </c>
      <c r="N32">
        <f t="shared" si="29"/>
        <v>0</v>
      </c>
      <c r="O32">
        <f t="shared" si="29"/>
        <v>0</v>
      </c>
      <c r="P32">
        <f t="shared" si="29"/>
        <v>0</v>
      </c>
      <c r="Q32">
        <f t="shared" si="29"/>
        <v>0</v>
      </c>
      <c r="R32">
        <f t="shared" si="29"/>
        <v>0</v>
      </c>
      <c r="S32">
        <f t="shared" si="29"/>
        <v>0</v>
      </c>
      <c r="T32">
        <f t="shared" si="29"/>
        <v>0</v>
      </c>
      <c r="U32">
        <f t="shared" si="29"/>
        <v>0</v>
      </c>
      <c r="V32">
        <f t="shared" si="29"/>
        <v>0</v>
      </c>
      <c r="W32">
        <f t="shared" si="29"/>
        <v>0</v>
      </c>
      <c r="X32">
        <f t="shared" si="29"/>
        <v>0</v>
      </c>
      <c r="Y32">
        <f t="shared" si="29"/>
        <v>0</v>
      </c>
      <c r="Z32">
        <f t="shared" si="29"/>
        <v>0</v>
      </c>
      <c r="AA32">
        <f t="shared" si="29"/>
        <v>0</v>
      </c>
      <c r="AB32">
        <f t="shared" si="29"/>
        <v>0</v>
      </c>
      <c r="AC32">
        <f t="shared" si="29"/>
        <v>0</v>
      </c>
      <c r="AD32">
        <f t="shared" si="29"/>
        <v>0</v>
      </c>
      <c r="AE32">
        <f t="shared" si="29"/>
        <v>0</v>
      </c>
      <c r="AF32">
        <f t="shared" si="29"/>
        <v>0</v>
      </c>
      <c r="AG32">
        <f t="shared" si="29"/>
        <v>0</v>
      </c>
      <c r="AH32">
        <f t="shared" si="29"/>
        <v>0</v>
      </c>
      <c r="AI32">
        <f t="shared" si="29"/>
        <v>0</v>
      </c>
      <c r="AJ32">
        <f t="shared" si="29"/>
        <v>0</v>
      </c>
      <c r="AK32">
        <f t="shared" si="29"/>
        <v>0</v>
      </c>
      <c r="AL32">
        <f t="shared" si="29"/>
        <v>0</v>
      </c>
      <c r="AM32">
        <f t="shared" si="29"/>
        <v>0</v>
      </c>
      <c r="AN32">
        <f t="shared" si="29"/>
        <v>0</v>
      </c>
      <c r="AO32">
        <f t="shared" si="29"/>
        <v>0</v>
      </c>
      <c r="AP32">
        <f t="shared" si="29"/>
        <v>0</v>
      </c>
      <c r="AQ32">
        <f t="shared" si="29"/>
        <v>0</v>
      </c>
      <c r="AR32">
        <f t="shared" si="29"/>
        <v>0</v>
      </c>
      <c r="AS32">
        <f t="shared" si="29"/>
        <v>0</v>
      </c>
      <c r="AT32">
        <f t="shared" si="29"/>
        <v>0</v>
      </c>
      <c r="AU32">
        <f t="shared" si="29"/>
        <v>0</v>
      </c>
      <c r="AV32">
        <f t="shared" si="29"/>
        <v>0</v>
      </c>
      <c r="AW32">
        <f t="shared" si="29"/>
        <v>0</v>
      </c>
      <c r="AX32">
        <f t="shared" si="29"/>
        <v>0</v>
      </c>
      <c r="AY32">
        <f t="shared" si="29"/>
        <v>0</v>
      </c>
      <c r="AZ32">
        <f t="shared" si="29"/>
        <v>0</v>
      </c>
      <c r="BA32">
        <f t="shared" si="29"/>
        <v>0</v>
      </c>
      <c r="BB32">
        <f t="shared" si="29"/>
        <v>0</v>
      </c>
      <c r="BC32">
        <f t="shared" si="29"/>
        <v>0</v>
      </c>
      <c r="BD32">
        <f t="shared" si="29"/>
        <v>0</v>
      </c>
      <c r="BE32">
        <f t="shared" si="29"/>
        <v>0</v>
      </c>
      <c r="BF32">
        <f t="shared" si="29"/>
        <v>0</v>
      </c>
      <c r="BG32">
        <f t="shared" si="29"/>
        <v>0</v>
      </c>
      <c r="BH32">
        <f t="shared" si="29"/>
        <v>0</v>
      </c>
      <c r="BI32">
        <f t="shared" si="29"/>
        <v>0</v>
      </c>
      <c r="BJ32">
        <f t="shared" si="29"/>
        <v>0</v>
      </c>
      <c r="BK32">
        <f t="shared" si="29"/>
        <v>0</v>
      </c>
      <c r="BL32">
        <f t="shared" si="29"/>
        <v>0</v>
      </c>
      <c r="BM32">
        <f t="shared" si="29"/>
        <v>0</v>
      </c>
      <c r="BN32">
        <f t="shared" si="29"/>
        <v>0</v>
      </c>
      <c r="BO32">
        <f t="shared" si="29"/>
        <v>0</v>
      </c>
      <c r="BP32">
        <f t="shared" si="29"/>
        <v>0</v>
      </c>
      <c r="BQ32">
        <f t="shared" ref="BQ32:BU32" si="30">BQ29+BQ30-BQ31</f>
        <v>0</v>
      </c>
      <c r="BR32">
        <f t="shared" si="30"/>
        <v>0</v>
      </c>
      <c r="BS32">
        <f t="shared" si="30"/>
        <v>0</v>
      </c>
      <c r="BT32">
        <f t="shared" si="30"/>
        <v>0</v>
      </c>
      <c r="BU32">
        <f t="shared" si="30"/>
        <v>0</v>
      </c>
    </row>
    <row r="33" spans="1:4" ht="15.75">
      <c r="A33" s="70" t="s">
        <v>206</v>
      </c>
      <c r="B33" s="70"/>
      <c r="C33" s="70"/>
    </row>
    <row r="34" spans="1:4">
      <c r="A34" s="59" t="s">
        <v>319</v>
      </c>
      <c r="B34" s="59" t="s">
        <v>165</v>
      </c>
      <c r="C34" s="59">
        <f>IF(MIN(D32:BU32)&gt;=0,0,1)</f>
        <v>0</v>
      </c>
      <c r="D34" s="37" t="s">
        <v>167</v>
      </c>
    </row>
    <row r="35" spans="1:4" ht="30">
      <c r="A35" s="61" t="s">
        <v>325</v>
      </c>
      <c r="B35" s="62" t="s">
        <v>165</v>
      </c>
      <c r="C35" s="59">
        <f>IF(ABS(C8-C9+C15-C31-BU32)&lt;1,0,1)</f>
        <v>0</v>
      </c>
      <c r="D35" s="37" t="s">
        <v>167</v>
      </c>
    </row>
    <row r="36" spans="1:4">
      <c r="A36" s="59" t="s">
        <v>313</v>
      </c>
      <c r="B36" s="59" t="s">
        <v>323</v>
      </c>
      <c r="C36" s="59">
        <f>SUM(D26:BU26)</f>
        <v>0</v>
      </c>
      <c r="D36" s="37" t="s">
        <v>322</v>
      </c>
    </row>
    <row r="37" spans="1:4">
      <c r="A37" s="59" t="s">
        <v>320</v>
      </c>
      <c r="B37" s="59" t="s">
        <v>323</v>
      </c>
      <c r="C37" s="59">
        <f>SUM(D27:BU27)</f>
        <v>0</v>
      </c>
      <c r="D37" s="37" t="s">
        <v>321</v>
      </c>
    </row>
  </sheetData>
  <mergeCells count="4">
    <mergeCell ref="A4:C4"/>
    <mergeCell ref="A20:C20"/>
    <mergeCell ref="A23:C23"/>
    <mergeCell ref="A33:C33"/>
  </mergeCells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9"/>
  <sheetViews>
    <sheetView zoomScale="85" zoomScaleNormal="85" workbookViewId="0">
      <pane xSplit="3" topLeftCell="D1" activePane="topRight" state="frozen"/>
      <selection pane="topRight" activeCell="C15" sqref="C15"/>
    </sheetView>
  </sheetViews>
  <sheetFormatPr baseColWidth="10" defaultColWidth="9.140625" defaultRowHeight="15"/>
  <cols>
    <col min="1" max="1" width="34" customWidth="1"/>
    <col min="3" max="3" width="10.7109375" bestFit="1" customWidth="1"/>
    <col min="4" max="4" width="12.28515625" bestFit="1" customWidth="1"/>
  </cols>
  <sheetData>
    <row r="1" spans="1:73" ht="18.75">
      <c r="A1" s="1" t="s">
        <v>60</v>
      </c>
    </row>
    <row r="2" spans="1:73">
      <c r="A2" t="s">
        <v>61</v>
      </c>
    </row>
    <row r="4" spans="1:73" ht="15.75">
      <c r="A4" s="70" t="s">
        <v>332</v>
      </c>
      <c r="B4" s="70"/>
      <c r="C4" s="70"/>
    </row>
    <row r="5" spans="1:73">
      <c r="A5" t="s">
        <v>272</v>
      </c>
      <c r="B5" t="s">
        <v>13</v>
      </c>
      <c r="C5" t="s">
        <v>273</v>
      </c>
    </row>
    <row r="6" spans="1:73">
      <c r="A6" t="str">
        <f>Debt!A7</f>
        <v>Repayment flag</v>
      </c>
      <c r="B6" t="str">
        <f>Debt!B7</f>
        <v>flag</v>
      </c>
      <c r="C6">
        <f>Debt!C7</f>
        <v>24</v>
      </c>
      <c r="D6">
        <f>Debt!D7</f>
        <v>0</v>
      </c>
      <c r="E6">
        <f>Debt!E7</f>
        <v>0</v>
      </c>
      <c r="F6">
        <f>Debt!F7</f>
        <v>0</v>
      </c>
      <c r="G6">
        <f>Debt!G7</f>
        <v>0</v>
      </c>
      <c r="H6">
        <f>Debt!H7</f>
        <v>1</v>
      </c>
      <c r="I6">
        <f>Debt!I7</f>
        <v>1</v>
      </c>
      <c r="J6">
        <f>Debt!J7</f>
        <v>1</v>
      </c>
      <c r="K6">
        <f>Debt!K7</f>
        <v>1</v>
      </c>
      <c r="L6">
        <f>Debt!L7</f>
        <v>1</v>
      </c>
      <c r="M6">
        <f>Debt!M7</f>
        <v>1</v>
      </c>
      <c r="N6">
        <f>Debt!N7</f>
        <v>1</v>
      </c>
      <c r="O6">
        <f>Debt!O7</f>
        <v>1</v>
      </c>
      <c r="P6">
        <f>Debt!P7</f>
        <v>1</v>
      </c>
      <c r="Q6">
        <f>Debt!Q7</f>
        <v>1</v>
      </c>
      <c r="R6">
        <f>Debt!R7</f>
        <v>1</v>
      </c>
      <c r="S6">
        <f>Debt!S7</f>
        <v>1</v>
      </c>
      <c r="T6">
        <f>Debt!T7</f>
        <v>1</v>
      </c>
      <c r="U6">
        <f>Debt!U7</f>
        <v>1</v>
      </c>
      <c r="V6">
        <f>Debt!V7</f>
        <v>1</v>
      </c>
      <c r="W6">
        <f>Debt!W7</f>
        <v>1</v>
      </c>
      <c r="X6">
        <f>Debt!X7</f>
        <v>1</v>
      </c>
      <c r="Y6">
        <f>Debt!Y7</f>
        <v>1</v>
      </c>
      <c r="Z6">
        <f>Debt!Z7</f>
        <v>1</v>
      </c>
      <c r="AA6">
        <f>Debt!AA7</f>
        <v>1</v>
      </c>
      <c r="AB6">
        <f>Debt!AB7</f>
        <v>1</v>
      </c>
      <c r="AC6">
        <f>Debt!AC7</f>
        <v>1</v>
      </c>
      <c r="AD6">
        <f>Debt!AD7</f>
        <v>1</v>
      </c>
      <c r="AE6">
        <f>Debt!AE7</f>
        <v>1</v>
      </c>
      <c r="AF6">
        <f>Debt!AF7</f>
        <v>0</v>
      </c>
      <c r="AG6">
        <f>Debt!AG7</f>
        <v>0</v>
      </c>
      <c r="AH6">
        <f>Debt!AH7</f>
        <v>0</v>
      </c>
      <c r="AI6">
        <f>Debt!AI7</f>
        <v>0</v>
      </c>
      <c r="AJ6">
        <f>Debt!AJ7</f>
        <v>0</v>
      </c>
      <c r="AK6">
        <f>Debt!AK7</f>
        <v>0</v>
      </c>
      <c r="AL6">
        <f>Debt!AL7</f>
        <v>0</v>
      </c>
      <c r="AM6">
        <f>Debt!AM7</f>
        <v>0</v>
      </c>
      <c r="AN6">
        <f>Debt!AN7</f>
        <v>0</v>
      </c>
      <c r="AO6">
        <f>Debt!AO7</f>
        <v>0</v>
      </c>
      <c r="AP6">
        <f>Debt!AP7</f>
        <v>0</v>
      </c>
      <c r="AQ6">
        <f>Debt!AQ7</f>
        <v>0</v>
      </c>
      <c r="AR6">
        <f>Debt!AR7</f>
        <v>0</v>
      </c>
      <c r="AS6">
        <f>Debt!AS7</f>
        <v>0</v>
      </c>
      <c r="AT6">
        <f>Debt!AT7</f>
        <v>0</v>
      </c>
      <c r="AU6">
        <f>Debt!AU7</f>
        <v>0</v>
      </c>
      <c r="AV6">
        <f>Debt!AV7</f>
        <v>0</v>
      </c>
      <c r="AW6">
        <f>Debt!AW7</f>
        <v>0</v>
      </c>
      <c r="AX6">
        <f>Debt!AX7</f>
        <v>0</v>
      </c>
      <c r="AY6">
        <f>Debt!AY7</f>
        <v>0</v>
      </c>
      <c r="AZ6">
        <f>Debt!AZ7</f>
        <v>0</v>
      </c>
      <c r="BA6">
        <f>Debt!BA7</f>
        <v>0</v>
      </c>
      <c r="BB6">
        <f>Debt!BB7</f>
        <v>0</v>
      </c>
      <c r="BC6">
        <f>Debt!BC7</f>
        <v>0</v>
      </c>
      <c r="BD6">
        <f>Debt!BD7</f>
        <v>0</v>
      </c>
      <c r="BE6">
        <f>Debt!BE7</f>
        <v>0</v>
      </c>
      <c r="BF6">
        <f>Debt!BF7</f>
        <v>0</v>
      </c>
      <c r="BG6">
        <f>Debt!BG7</f>
        <v>0</v>
      </c>
      <c r="BH6">
        <f>Debt!BH7</f>
        <v>0</v>
      </c>
      <c r="BI6">
        <f>Debt!BI7</f>
        <v>0</v>
      </c>
      <c r="BJ6">
        <f>Debt!BJ7</f>
        <v>0</v>
      </c>
      <c r="BK6">
        <f>Debt!BK7</f>
        <v>0</v>
      </c>
      <c r="BL6">
        <f>Debt!BL7</f>
        <v>0</v>
      </c>
      <c r="BM6">
        <f>Debt!BM7</f>
        <v>0</v>
      </c>
      <c r="BN6">
        <f>Debt!BN7</f>
        <v>0</v>
      </c>
      <c r="BO6">
        <f>Debt!BO7</f>
        <v>0</v>
      </c>
      <c r="BP6">
        <f>Debt!BP7</f>
        <v>0</v>
      </c>
      <c r="BQ6">
        <f>Debt!BQ7</f>
        <v>0</v>
      </c>
      <c r="BR6">
        <f>Debt!BR7</f>
        <v>0</v>
      </c>
      <c r="BS6">
        <f>Debt!BS7</f>
        <v>0</v>
      </c>
      <c r="BT6">
        <f>Debt!BT7</f>
        <v>0</v>
      </c>
      <c r="BU6">
        <f>Debt!BU7</f>
        <v>0</v>
      </c>
    </row>
    <row r="7" spans="1:73">
      <c r="A7" t="str">
        <f>Debt!A8</f>
        <v>CFADS</v>
      </c>
      <c r="B7" t="str">
        <f>Debt!B8</f>
        <v>USD</v>
      </c>
      <c r="C7">
        <f>Debt!C8</f>
        <v>32632556.585838038</v>
      </c>
      <c r="D7">
        <f>Debt!D8</f>
        <v>0</v>
      </c>
      <c r="E7">
        <f>Debt!E8</f>
        <v>0</v>
      </c>
      <c r="F7">
        <f>Debt!F8</f>
        <v>0</v>
      </c>
      <c r="G7">
        <f>Debt!G8</f>
        <v>0</v>
      </c>
      <c r="H7">
        <f>Debt!H8</f>
        <v>1220374.4089345317</v>
      </c>
      <c r="I7">
        <f>Debt!I8</f>
        <v>367941.26282097551</v>
      </c>
      <c r="J7">
        <f>Debt!J8</f>
        <v>1209397.0949984677</v>
      </c>
      <c r="K7">
        <f>Debt!K8</f>
        <v>356855.09485584439</v>
      </c>
      <c r="L7">
        <f>Debt!L8</f>
        <v>1198200.3865466854</v>
      </c>
      <c r="M7">
        <f>Debt!M8</f>
        <v>345516.06830213021</v>
      </c>
      <c r="N7">
        <f>Debt!N8</f>
        <v>1186748.2982463562</v>
      </c>
      <c r="O7">
        <f>Debt!O8</f>
        <v>333981.70647828188</v>
      </c>
      <c r="P7">
        <f>Debt!P8</f>
        <v>1175098.9269825253</v>
      </c>
      <c r="Q7">
        <f>Debt!Q8</f>
        <v>322216.81688222941</v>
      </c>
      <c r="R7">
        <f>Debt!R8</f>
        <v>1163216.7293477135</v>
      </c>
      <c r="S7">
        <f>Debt!S8</f>
        <v>310216.79214560974</v>
      </c>
      <c r="T7">
        <f>Debt!T8</f>
        <v>1151097.0520333601</v>
      </c>
      <c r="U7">
        <f>Debt!U8</f>
        <v>297943.06514077552</v>
      </c>
      <c r="V7">
        <f>Debt!V8</f>
        <v>1138700.9433579245</v>
      </c>
      <c r="W7">
        <f>Debt!W8</f>
        <v>285457.90095756587</v>
      </c>
      <c r="X7">
        <f>Debt!X8</f>
        <v>1126091.2892581739</v>
      </c>
      <c r="Y7">
        <f>Debt!Y8</f>
        <v>272723.20609994943</v>
      </c>
      <c r="Z7">
        <f>Debt!Z8</f>
        <v>1113229.6164067774</v>
      </c>
      <c r="AA7">
        <f>Debt!AA8</f>
        <v>259733.99340423674</v>
      </c>
      <c r="AB7">
        <f>Debt!AB8</f>
        <v>1100110.887912899</v>
      </c>
      <c r="AC7">
        <f>Debt!AC8</f>
        <v>246448.51657114364</v>
      </c>
      <c r="AD7">
        <f>Debt!AD8</f>
        <v>1086692.9412237522</v>
      </c>
      <c r="AE7">
        <f>Debt!AE8</f>
        <v>232934.17333635734</v>
      </c>
      <c r="AF7">
        <f>Debt!AF8</f>
        <v>1073043.8460997068</v>
      </c>
      <c r="AG7">
        <f>Debt!AG8</f>
        <v>219149.7300746867</v>
      </c>
      <c r="AH7">
        <f>Debt!AH8</f>
        <v>1059121.9577739565</v>
      </c>
      <c r="AI7">
        <f>Debt!AI8</f>
        <v>205089.788519767</v>
      </c>
      <c r="AJ7">
        <f>Debt!AJ8</f>
        <v>1044921.824153874</v>
      </c>
      <c r="AK7">
        <f>Debt!AK8</f>
        <v>190709.16113469214</v>
      </c>
      <c r="AL7">
        <f>Debt!AL8</f>
        <v>732272.82580145611</v>
      </c>
      <c r="AM7">
        <f>Debt!AM8</f>
        <v>176080.80139608099</v>
      </c>
      <c r="AN7">
        <f>Debt!AN8</f>
        <v>723555.55378948129</v>
      </c>
      <c r="AO7">
        <f>Debt!AO8</f>
        <v>161160.07670195331</v>
      </c>
      <c r="AP7">
        <f>Debt!AP8</f>
        <v>718982.63265880744</v>
      </c>
      <c r="AQ7">
        <f>Debt!AQ8</f>
        <v>145941.14379518793</v>
      </c>
      <c r="AR7">
        <f>Debt!AR8</f>
        <v>714318.31632683706</v>
      </c>
      <c r="AS7">
        <f>Debt!AS8</f>
        <v>130375.09023260616</v>
      </c>
      <c r="AT7">
        <f>Debt!AT8</f>
        <v>709547.61405085807</v>
      </c>
      <c r="AU7">
        <f>Debt!AU8</f>
        <v>114540.88320348423</v>
      </c>
      <c r="AV7">
        <f>Debt!AV8</f>
        <v>704694.72778726846</v>
      </c>
      <c r="AW7">
        <f>Debt!AW8</f>
        <v>98390.210944054183</v>
      </c>
      <c r="AX7">
        <f>Debt!AX8</f>
        <v>699744.85089028359</v>
      </c>
      <c r="AY7">
        <f>Debt!AY8</f>
        <v>81916.748524889117</v>
      </c>
      <c r="AZ7">
        <f>Debt!AZ8</f>
        <v>694696.04488814552</v>
      </c>
      <c r="BA7">
        <f>Debt!BA8</f>
        <v>65067.551544468035</v>
      </c>
      <c r="BB7">
        <f>Debt!BB8</f>
        <v>689532.08331884071</v>
      </c>
      <c r="BC7">
        <f>Debt!BC8</f>
        <v>47928.096628048341</v>
      </c>
      <c r="BD7">
        <f>Debt!BD8</f>
        <v>684279.16315830906</v>
      </c>
      <c r="BE7">
        <f>Debt!BE8</f>
        <v>30446.089568821597</v>
      </c>
      <c r="BF7">
        <f>Debt!BF8</f>
        <v>678921.2572169716</v>
      </c>
      <c r="BG7">
        <f>Debt!BG8</f>
        <v>12614.684059765772</v>
      </c>
      <c r="BH7">
        <f>Debt!BH8</f>
        <v>673456.26723065635</v>
      </c>
      <c r="BI7">
        <f>Debt!BI8</f>
        <v>-5623.4286220169161</v>
      </c>
      <c r="BJ7">
        <f>Debt!BJ8</f>
        <v>667866.62915503676</v>
      </c>
      <c r="BK7">
        <f>Debt!BK8</f>
        <v>-24175.725828419672</v>
      </c>
      <c r="BL7">
        <f>Debt!BL8</f>
        <v>662180.69943936495</v>
      </c>
      <c r="BM7">
        <f>Debt!BM8</f>
        <v>-43098.812490673736</v>
      </c>
      <c r="BN7">
        <f>Debt!BN8</f>
        <v>656381.12973820628</v>
      </c>
      <c r="BO7">
        <f>Debt!BO8</f>
        <v>-62400.099271676852</v>
      </c>
      <c r="BP7">
        <f>Debt!BP8</f>
        <v>0</v>
      </c>
      <c r="BQ7">
        <f>Debt!BQ8</f>
        <v>0</v>
      </c>
      <c r="BR7">
        <f>Debt!BR8</f>
        <v>0</v>
      </c>
      <c r="BS7">
        <f>Debt!BS8</f>
        <v>0</v>
      </c>
      <c r="BT7">
        <f>Debt!BT8</f>
        <v>0</v>
      </c>
      <c r="BU7">
        <f>Debt!BU8</f>
        <v>0</v>
      </c>
    </row>
    <row r="8" spans="1:73">
      <c r="A8" t="str">
        <f>Debt!A25</f>
        <v xml:space="preserve">        Debt service</v>
      </c>
      <c r="B8" t="str">
        <f>Debt!B25</f>
        <v>USD</v>
      </c>
      <c r="C8">
        <f>Debt!C25</f>
        <v>12963649.757217973</v>
      </c>
      <c r="D8">
        <f>Debt!D25</f>
        <v>0</v>
      </c>
      <c r="E8">
        <f>Debt!E25</f>
        <v>0</v>
      </c>
      <c r="F8">
        <f>Debt!F25</f>
        <v>0</v>
      </c>
      <c r="G8">
        <f>Debt!G25</f>
        <v>0</v>
      </c>
      <c r="H8">
        <f>Debt!H25</f>
        <v>903981.04365520866</v>
      </c>
      <c r="I8">
        <f>Debt!I25</f>
        <v>272549.08357109292</v>
      </c>
      <c r="J8">
        <f>Debt!J25</f>
        <v>895849.6999988649</v>
      </c>
      <c r="K8">
        <f>Debt!K25</f>
        <v>264337.10730062547</v>
      </c>
      <c r="L8">
        <f>Debt!L25</f>
        <v>887555.84188643354</v>
      </c>
      <c r="M8">
        <f>Debt!M25</f>
        <v>255937.8283719483</v>
      </c>
      <c r="N8">
        <f>Debt!N25</f>
        <v>879072.81351581938</v>
      </c>
      <c r="O8">
        <f>Debt!O25</f>
        <v>247393.85665057914</v>
      </c>
      <c r="P8">
        <f>Debt!P25</f>
        <v>870443.64961668535</v>
      </c>
      <c r="Q8">
        <f>Debt!Q25</f>
        <v>238679.12361646621</v>
      </c>
      <c r="R8">
        <f>Debt!R25</f>
        <v>861642.02173904702</v>
      </c>
      <c r="S8">
        <f>Debt!S25</f>
        <v>229790.21640415533</v>
      </c>
      <c r="T8">
        <f>Debt!T25</f>
        <v>852664.48298767407</v>
      </c>
      <c r="U8">
        <f>Debt!U25</f>
        <v>220698.5667709448</v>
      </c>
      <c r="V8">
        <f>Debt!V25</f>
        <v>843482.18026512919</v>
      </c>
      <c r="W8">
        <f>Debt!W25</f>
        <v>211450.29700560434</v>
      </c>
      <c r="X8">
        <f>Debt!X25</f>
        <v>834141.69574679539</v>
      </c>
      <c r="Y8">
        <f>Debt!Y25</f>
        <v>202017.18970366623</v>
      </c>
      <c r="Z8">
        <f>Debt!Z25</f>
        <v>824614.53067168687</v>
      </c>
      <c r="AA8">
        <f>Debt!AA25</f>
        <v>192395.55066980497</v>
      </c>
      <c r="AB8">
        <f>Debt!AB25</f>
        <v>814896.95400955481</v>
      </c>
      <c r="AC8">
        <f>Debt!AC25</f>
        <v>182554.45671936564</v>
      </c>
      <c r="AD8">
        <f>Debt!AD25</f>
        <v>804957.73423981643</v>
      </c>
      <c r="AE8">
        <f>Debt!AE25</f>
        <v>172543.83210100542</v>
      </c>
      <c r="AF8">
        <f>Debt!AF25</f>
        <v>0</v>
      </c>
      <c r="AG8">
        <f>Debt!AG25</f>
        <v>0</v>
      </c>
      <c r="AH8">
        <f>Debt!AH25</f>
        <v>0</v>
      </c>
      <c r="AI8">
        <f>Debt!AI25</f>
        <v>0</v>
      </c>
      <c r="AJ8">
        <f>Debt!AJ25</f>
        <v>0</v>
      </c>
      <c r="AK8">
        <f>Debt!AK25</f>
        <v>0</v>
      </c>
      <c r="AL8">
        <f>Debt!AL25</f>
        <v>0</v>
      </c>
      <c r="AM8">
        <f>Debt!AM25</f>
        <v>0</v>
      </c>
      <c r="AN8">
        <f>Debt!AN25</f>
        <v>0</v>
      </c>
      <c r="AO8">
        <f>Debt!AO25</f>
        <v>0</v>
      </c>
      <c r="AP8">
        <f>Debt!AP25</f>
        <v>0</v>
      </c>
      <c r="AQ8">
        <f>Debt!AQ25</f>
        <v>0</v>
      </c>
      <c r="AR8">
        <f>Debt!AR25</f>
        <v>0</v>
      </c>
      <c r="AS8">
        <f>Debt!AS25</f>
        <v>0</v>
      </c>
      <c r="AT8">
        <f>Debt!AT25</f>
        <v>0</v>
      </c>
      <c r="AU8">
        <f>Debt!AU25</f>
        <v>0</v>
      </c>
      <c r="AV8">
        <f>Debt!AV25</f>
        <v>0</v>
      </c>
      <c r="AW8">
        <f>Debt!AW25</f>
        <v>0</v>
      </c>
      <c r="AX8">
        <f>Debt!AX25</f>
        <v>0</v>
      </c>
      <c r="AY8">
        <f>Debt!AY25</f>
        <v>0</v>
      </c>
      <c r="AZ8">
        <f>Debt!AZ25</f>
        <v>0</v>
      </c>
      <c r="BA8">
        <f>Debt!BA25</f>
        <v>0</v>
      </c>
      <c r="BB8">
        <f>Debt!BB25</f>
        <v>0</v>
      </c>
      <c r="BC8">
        <f>Debt!BC25</f>
        <v>0</v>
      </c>
      <c r="BD8">
        <f>Debt!BD25</f>
        <v>0</v>
      </c>
      <c r="BE8">
        <f>Debt!BE25</f>
        <v>0</v>
      </c>
      <c r="BF8">
        <f>Debt!BF25</f>
        <v>0</v>
      </c>
      <c r="BG8">
        <f>Debt!BG25</f>
        <v>0</v>
      </c>
      <c r="BH8">
        <f>Debt!BH25</f>
        <v>0</v>
      </c>
      <c r="BI8">
        <f>Debt!BI25</f>
        <v>0</v>
      </c>
      <c r="BJ8">
        <f>Debt!BJ25</f>
        <v>0</v>
      </c>
      <c r="BK8">
        <f>Debt!BK25</f>
        <v>0</v>
      </c>
      <c r="BL8">
        <f>Debt!BL25</f>
        <v>0</v>
      </c>
      <c r="BM8">
        <f>Debt!BM25</f>
        <v>0</v>
      </c>
      <c r="BN8">
        <f>Debt!BN25</f>
        <v>0</v>
      </c>
      <c r="BO8">
        <f>Debt!BO25</f>
        <v>0</v>
      </c>
      <c r="BP8">
        <f>Debt!BP25</f>
        <v>0</v>
      </c>
      <c r="BQ8">
        <f>Debt!BQ25</f>
        <v>0</v>
      </c>
      <c r="BR8">
        <f>Debt!BR25</f>
        <v>0</v>
      </c>
      <c r="BS8">
        <f>Debt!BS25</f>
        <v>0</v>
      </c>
      <c r="BT8">
        <f>Debt!BT25</f>
        <v>0</v>
      </c>
      <c r="BU8">
        <f>Debt!BU25</f>
        <v>0</v>
      </c>
    </row>
    <row r="9" spans="1:73">
      <c r="A9" t="str">
        <f>Debt!A23</f>
        <v xml:space="preserve">        Opening balance</v>
      </c>
      <c r="B9" t="str">
        <f>Debt!B23</f>
        <v>USD</v>
      </c>
      <c r="C9">
        <f>Debt!C23</f>
        <v>0</v>
      </c>
      <c r="D9">
        <f>Debt!D23</f>
        <v>0</v>
      </c>
      <c r="E9">
        <f>Debt!E23</f>
        <v>0</v>
      </c>
      <c r="F9">
        <f>Debt!F23</f>
        <v>0</v>
      </c>
      <c r="G9">
        <f>Debt!G23</f>
        <v>0</v>
      </c>
      <c r="H9">
        <f>Debt!H23</f>
        <v>8064962.5333756506</v>
      </c>
      <c r="I9">
        <f>Debt!I23</f>
        <v>7523904.8037223462</v>
      </c>
      <c r="J9">
        <f>Debt!J23</f>
        <v>7589931.4363187589</v>
      </c>
      <c r="K9">
        <f>Debt!K23</f>
        <v>7035628.6509542381</v>
      </c>
      <c r="L9">
        <f>Debt!L23</f>
        <v>7087894.8329465538</v>
      </c>
      <c r="M9">
        <f>Debt!M23</f>
        <v>6519294.2585427156</v>
      </c>
      <c r="N9">
        <f>Debt!N23</f>
        <v>6556724.6718051899</v>
      </c>
      <c r="O9">
        <f>Debt!O23</f>
        <v>5972704.4685206041</v>
      </c>
      <c r="P9">
        <f>Debt!P23</f>
        <v>5994082.3129534516</v>
      </c>
      <c r="Q9">
        <f>Debt!Q23</f>
        <v>5393372.3674196713</v>
      </c>
      <c r="R9">
        <f>Debt!R23</f>
        <v>5397395.0003370903</v>
      </c>
      <c r="S9">
        <f>Debt!S23</f>
        <v>4778635.7536132121</v>
      </c>
      <c r="T9">
        <f>Debt!T23</f>
        <v>4763884.1461216509</v>
      </c>
      <c r="U9">
        <f>Debt!U23</f>
        <v>4125594.4497094513</v>
      </c>
      <c r="V9">
        <f>Debt!V23</f>
        <v>4090547.6331754318</v>
      </c>
      <c r="W9">
        <f>Debt!W23</f>
        <v>3431140.0964031969</v>
      </c>
      <c r="X9">
        <f>Debt!X23</f>
        <v>3374091.1037357366</v>
      </c>
      <c r="Y9">
        <f>Debt!Y23</f>
        <v>2691783.5076570492</v>
      </c>
      <c r="Z9">
        <f>Debt!Z23</f>
        <v>2610896.5757979504</v>
      </c>
      <c r="AA9">
        <f>Debt!AA23</f>
        <v>1903772.3910371712</v>
      </c>
      <c r="AB9">
        <f>Debt!AB23</f>
        <v>1797046.5979640391</v>
      </c>
      <c r="AC9">
        <f>Debt!AC23</f>
        <v>1063016.7408628659</v>
      </c>
      <c r="AD9">
        <f>Debt!AD23</f>
        <v>928298.0374823293</v>
      </c>
      <c r="AE9">
        <f>Debt!AE23</f>
        <v>165113.71492921771</v>
      </c>
      <c r="AF9">
        <f>Debt!AF23</f>
        <v>2.7066562324762344E-8</v>
      </c>
      <c r="AG9">
        <f>Debt!AG23</f>
        <v>2.7066562324762344E-8</v>
      </c>
      <c r="AH9">
        <f>Debt!AH23</f>
        <v>2.7066562324762344E-8</v>
      </c>
      <c r="AI9">
        <f>Debt!AI23</f>
        <v>2.7066562324762344E-8</v>
      </c>
      <c r="AJ9">
        <f>Debt!AJ23</f>
        <v>2.7066562324762344E-8</v>
      </c>
      <c r="AK9">
        <f>Debt!AK23</f>
        <v>2.7066562324762344E-8</v>
      </c>
      <c r="AL9">
        <f>Debt!AL23</f>
        <v>2.7066562324762344E-8</v>
      </c>
      <c r="AM9">
        <f>Debt!AM23</f>
        <v>2.7066562324762344E-8</v>
      </c>
      <c r="AN9">
        <f>Debt!AN23</f>
        <v>2.7066562324762344E-8</v>
      </c>
      <c r="AO9">
        <f>Debt!AO23</f>
        <v>2.7066562324762344E-8</v>
      </c>
      <c r="AP9">
        <f>Debt!AP23</f>
        <v>2.7066562324762344E-8</v>
      </c>
      <c r="AQ9">
        <f>Debt!AQ23</f>
        <v>2.7066562324762344E-8</v>
      </c>
      <c r="AR9">
        <f>Debt!AR23</f>
        <v>2.7066562324762344E-8</v>
      </c>
      <c r="AS9">
        <f>Debt!AS23</f>
        <v>2.7066562324762344E-8</v>
      </c>
      <c r="AT9">
        <f>Debt!AT23</f>
        <v>2.7066562324762344E-8</v>
      </c>
      <c r="AU9">
        <f>Debt!AU23</f>
        <v>2.7066562324762344E-8</v>
      </c>
      <c r="AV9">
        <f>Debt!AV23</f>
        <v>2.7066562324762344E-8</v>
      </c>
      <c r="AW9">
        <f>Debt!AW23</f>
        <v>2.7066562324762344E-8</v>
      </c>
      <c r="AX9">
        <f>Debt!AX23</f>
        <v>2.7066562324762344E-8</v>
      </c>
      <c r="AY9">
        <f>Debt!AY23</f>
        <v>2.7066562324762344E-8</v>
      </c>
      <c r="AZ9">
        <f>Debt!AZ23</f>
        <v>2.7066562324762344E-8</v>
      </c>
      <c r="BA9">
        <f>Debt!BA23</f>
        <v>2.7066562324762344E-8</v>
      </c>
      <c r="BB9">
        <f>Debt!BB23</f>
        <v>2.7066562324762344E-8</v>
      </c>
      <c r="BC9">
        <f>Debt!BC23</f>
        <v>2.7066562324762344E-8</v>
      </c>
      <c r="BD9">
        <f>Debt!BD23</f>
        <v>2.7066562324762344E-8</v>
      </c>
      <c r="BE9">
        <f>Debt!BE23</f>
        <v>2.7066562324762344E-8</v>
      </c>
      <c r="BF9">
        <f>Debt!BF23</f>
        <v>2.7066562324762344E-8</v>
      </c>
      <c r="BG9">
        <f>Debt!BG23</f>
        <v>2.7066562324762344E-8</v>
      </c>
      <c r="BH9">
        <f>Debt!BH23</f>
        <v>2.7066562324762344E-8</v>
      </c>
      <c r="BI9">
        <f>Debt!BI23</f>
        <v>2.7066562324762344E-8</v>
      </c>
      <c r="BJ9">
        <f>Debt!BJ23</f>
        <v>2.7066562324762344E-8</v>
      </c>
      <c r="BK9">
        <f>Debt!BK23</f>
        <v>2.7066562324762344E-8</v>
      </c>
      <c r="BL9">
        <f>Debt!BL23</f>
        <v>2.7066562324762344E-8</v>
      </c>
      <c r="BM9">
        <f>Debt!BM23</f>
        <v>2.7066562324762344E-8</v>
      </c>
      <c r="BN9">
        <f>Debt!BN23</f>
        <v>2.7066562324762344E-8</v>
      </c>
      <c r="BO9">
        <f>Debt!BO23</f>
        <v>2.7066562324762344E-8</v>
      </c>
      <c r="BP9">
        <f>Debt!BP23</f>
        <v>2.7066562324762344E-8</v>
      </c>
      <c r="BQ9">
        <f>Debt!BQ23</f>
        <v>2.7066562324762344E-8</v>
      </c>
      <c r="BR9">
        <f>Debt!BR23</f>
        <v>2.7066562324762344E-8</v>
      </c>
      <c r="BS9">
        <f>Debt!BS23</f>
        <v>2.7066562324762344E-8</v>
      </c>
      <c r="BT9">
        <f>Debt!BT23</f>
        <v>2.7066562324762344E-8</v>
      </c>
      <c r="BU9">
        <f>Debt!BU23</f>
        <v>2.7066562324762344E-8</v>
      </c>
    </row>
    <row r="10" spans="1:73">
      <c r="A10" t="str">
        <f>Cashflow!A25</f>
        <v>12-month DSCR</v>
      </c>
      <c r="B10" t="str">
        <f>Cashflow!B25</f>
        <v>x</v>
      </c>
      <c r="C10">
        <f>Cashflow!C25</f>
        <v>0</v>
      </c>
      <c r="D10">
        <f>Cashflow!D25</f>
        <v>0</v>
      </c>
      <c r="E10">
        <f>Cashflow!E25</f>
        <v>0</v>
      </c>
      <c r="F10">
        <f>Cashflow!F25</f>
        <v>0</v>
      </c>
      <c r="G10">
        <f>Cashflow!G25</f>
        <v>0</v>
      </c>
      <c r="H10">
        <f>Cashflow!H25</f>
        <v>1.35</v>
      </c>
      <c r="I10">
        <f>Cashflow!I25</f>
        <v>1.35</v>
      </c>
      <c r="J10">
        <f>Cashflow!J25</f>
        <v>1.35</v>
      </c>
      <c r="K10">
        <f>Cashflow!K25</f>
        <v>1.3500000000000003</v>
      </c>
      <c r="L10">
        <f>Cashflow!L25</f>
        <v>1.3500000000000003</v>
      </c>
      <c r="M10">
        <f>Cashflow!M25</f>
        <v>1.35</v>
      </c>
      <c r="N10">
        <f>Cashflow!N25</f>
        <v>1.35</v>
      </c>
      <c r="O10">
        <f>Cashflow!O25</f>
        <v>1.3500000000000003</v>
      </c>
      <c r="P10">
        <f>Cashflow!P25</f>
        <v>1.35</v>
      </c>
      <c r="Q10">
        <f>Cashflow!Q25</f>
        <v>1.35</v>
      </c>
      <c r="R10">
        <f>Cashflow!R25</f>
        <v>1.3499999999999999</v>
      </c>
      <c r="S10">
        <f>Cashflow!S25</f>
        <v>1.3499999999999999</v>
      </c>
      <c r="T10">
        <f>Cashflow!T25</f>
        <v>1.3500000000000003</v>
      </c>
      <c r="U10">
        <f>Cashflow!U25</f>
        <v>1.3499999999999999</v>
      </c>
      <c r="V10">
        <f>Cashflow!V25</f>
        <v>1.3499999999999999</v>
      </c>
      <c r="W10">
        <f>Cashflow!W25</f>
        <v>1.3499999999999999</v>
      </c>
      <c r="X10">
        <f>Cashflow!X25</f>
        <v>1.3500000000000003</v>
      </c>
      <c r="Y10">
        <f>Cashflow!Y25</f>
        <v>1.3500000000000003</v>
      </c>
      <c r="Z10">
        <f>Cashflow!Z25</f>
        <v>1.35</v>
      </c>
      <c r="AA10">
        <f>Cashflow!AA25</f>
        <v>1.35</v>
      </c>
      <c r="AB10">
        <f>Cashflow!AB25</f>
        <v>1.3500000000000003</v>
      </c>
      <c r="AC10">
        <f>Cashflow!AC25</f>
        <v>1.35</v>
      </c>
      <c r="AD10">
        <f>Cashflow!AD25</f>
        <v>1.35</v>
      </c>
      <c r="AE10">
        <f>Cashflow!AE25</f>
        <v>1.35</v>
      </c>
      <c r="AF10">
        <f>Cashflow!AF25</f>
        <v>0</v>
      </c>
      <c r="AG10">
        <f>Cashflow!AG25</f>
        <v>0</v>
      </c>
      <c r="AH10">
        <f>Cashflow!AH25</f>
        <v>0</v>
      </c>
      <c r="AI10">
        <f>Cashflow!AI25</f>
        <v>0</v>
      </c>
      <c r="AJ10">
        <f>Cashflow!AJ25</f>
        <v>0</v>
      </c>
      <c r="AK10">
        <f>Cashflow!AK25</f>
        <v>0</v>
      </c>
      <c r="AL10">
        <f>Cashflow!AL25</f>
        <v>0</v>
      </c>
      <c r="AM10">
        <f>Cashflow!AM25</f>
        <v>0</v>
      </c>
      <c r="AN10">
        <f>Cashflow!AN25</f>
        <v>0</v>
      </c>
      <c r="AO10">
        <f>Cashflow!AO25</f>
        <v>0</v>
      </c>
      <c r="AP10">
        <f>Cashflow!AP25</f>
        <v>0</v>
      </c>
      <c r="AQ10">
        <f>Cashflow!AQ25</f>
        <v>0</v>
      </c>
      <c r="AR10">
        <f>Cashflow!AR25</f>
        <v>0</v>
      </c>
      <c r="AS10">
        <f>Cashflow!AS25</f>
        <v>0</v>
      </c>
      <c r="AT10">
        <f>Cashflow!AT25</f>
        <v>0</v>
      </c>
      <c r="AU10">
        <f>Cashflow!AU25</f>
        <v>0</v>
      </c>
      <c r="AV10">
        <f>Cashflow!AV25</f>
        <v>0</v>
      </c>
      <c r="AW10">
        <f>Cashflow!AW25</f>
        <v>0</v>
      </c>
      <c r="AX10">
        <f>Cashflow!AX25</f>
        <v>0</v>
      </c>
      <c r="AY10">
        <f>Cashflow!AY25</f>
        <v>0</v>
      </c>
      <c r="AZ10">
        <f>Cashflow!AZ25</f>
        <v>0</v>
      </c>
      <c r="BA10">
        <f>Cashflow!BA25</f>
        <v>0</v>
      </c>
      <c r="BB10">
        <f>Cashflow!BB25</f>
        <v>0</v>
      </c>
      <c r="BC10">
        <f>Cashflow!BC25</f>
        <v>0</v>
      </c>
      <c r="BD10">
        <f>Cashflow!BD25</f>
        <v>0</v>
      </c>
      <c r="BE10">
        <f>Cashflow!BE25</f>
        <v>0</v>
      </c>
      <c r="BF10">
        <f>Cashflow!BF25</f>
        <v>0</v>
      </c>
      <c r="BG10">
        <f>Cashflow!BG25</f>
        <v>0</v>
      </c>
      <c r="BH10">
        <f>Cashflow!BH25</f>
        <v>0</v>
      </c>
      <c r="BI10">
        <f>Cashflow!BI25</f>
        <v>0</v>
      </c>
      <c r="BJ10">
        <f>Cashflow!BJ25</f>
        <v>0</v>
      </c>
      <c r="BK10">
        <f>Cashflow!BK25</f>
        <v>0</v>
      </c>
      <c r="BL10">
        <f>Cashflow!BL25</f>
        <v>0</v>
      </c>
      <c r="BM10">
        <f>Cashflow!BM25</f>
        <v>0</v>
      </c>
      <c r="BN10">
        <f>Cashflow!BN25</f>
        <v>0</v>
      </c>
      <c r="BO10">
        <f>Cashflow!BO25</f>
        <v>0</v>
      </c>
      <c r="BP10">
        <f>Cashflow!BP25</f>
        <v>0</v>
      </c>
      <c r="BQ10">
        <f>Cashflow!BQ25</f>
        <v>0</v>
      </c>
      <c r="BR10">
        <f>Cashflow!BR25</f>
        <v>0</v>
      </c>
      <c r="BS10">
        <f>Cashflow!BS25</f>
        <v>0</v>
      </c>
      <c r="BT10">
        <f>Cashflow!BT25</f>
        <v>0</v>
      </c>
      <c r="BU10">
        <f>Cashflow!BU25</f>
        <v>0</v>
      </c>
    </row>
    <row r="11" spans="1:73">
      <c r="A11" t="s">
        <v>326</v>
      </c>
      <c r="B11" t="s">
        <v>39</v>
      </c>
      <c r="D11">
        <f>IF(D6=1,D7/D8,0)</f>
        <v>0</v>
      </c>
      <c r="E11">
        <f t="shared" ref="E11:BP11" si="0">IF(E6=1,E7/E8,0)</f>
        <v>0</v>
      </c>
      <c r="F11">
        <f t="shared" si="0"/>
        <v>0</v>
      </c>
      <c r="G11">
        <f t="shared" si="0"/>
        <v>0</v>
      </c>
      <c r="H11">
        <f t="shared" si="0"/>
        <v>1.35</v>
      </c>
      <c r="I11">
        <f t="shared" si="0"/>
        <v>1.3500000000000003</v>
      </c>
      <c r="J11">
        <f t="shared" si="0"/>
        <v>1.35</v>
      </c>
      <c r="K11">
        <f t="shared" si="0"/>
        <v>1.35</v>
      </c>
      <c r="L11">
        <f t="shared" si="0"/>
        <v>1.35</v>
      </c>
      <c r="M11">
        <f t="shared" si="0"/>
        <v>1.35</v>
      </c>
      <c r="N11">
        <f t="shared" si="0"/>
        <v>1.35</v>
      </c>
      <c r="O11">
        <f t="shared" si="0"/>
        <v>1.35</v>
      </c>
      <c r="P11">
        <f t="shared" si="0"/>
        <v>1.35</v>
      </c>
      <c r="Q11">
        <f t="shared" si="0"/>
        <v>1.35</v>
      </c>
      <c r="R11">
        <f t="shared" si="0"/>
        <v>1.35</v>
      </c>
      <c r="S11">
        <f t="shared" si="0"/>
        <v>1.35</v>
      </c>
      <c r="T11">
        <f t="shared" si="0"/>
        <v>1.35</v>
      </c>
      <c r="U11">
        <f t="shared" si="0"/>
        <v>1.35</v>
      </c>
      <c r="V11">
        <f t="shared" si="0"/>
        <v>1.35</v>
      </c>
      <c r="W11">
        <f t="shared" si="0"/>
        <v>1.35</v>
      </c>
      <c r="X11">
        <f t="shared" si="0"/>
        <v>1.35</v>
      </c>
      <c r="Y11">
        <f t="shared" si="0"/>
        <v>1.35</v>
      </c>
      <c r="Z11">
        <f t="shared" si="0"/>
        <v>1.35</v>
      </c>
      <c r="AA11">
        <f t="shared" si="0"/>
        <v>1.35</v>
      </c>
      <c r="AB11">
        <f t="shared" si="0"/>
        <v>1.35</v>
      </c>
      <c r="AC11">
        <f t="shared" si="0"/>
        <v>1.35</v>
      </c>
      <c r="AD11">
        <f t="shared" si="0"/>
        <v>1.35</v>
      </c>
      <c r="AE11">
        <f t="shared" si="0"/>
        <v>1.35</v>
      </c>
      <c r="AF11">
        <f t="shared" si="0"/>
        <v>0</v>
      </c>
      <c r="AG11">
        <f t="shared" si="0"/>
        <v>0</v>
      </c>
      <c r="AH11">
        <f t="shared" si="0"/>
        <v>0</v>
      </c>
      <c r="AI11">
        <f t="shared" si="0"/>
        <v>0</v>
      </c>
      <c r="AJ11">
        <f t="shared" si="0"/>
        <v>0</v>
      </c>
      <c r="AK11">
        <f t="shared" si="0"/>
        <v>0</v>
      </c>
      <c r="AL11">
        <f t="shared" si="0"/>
        <v>0</v>
      </c>
      <c r="AM11">
        <f t="shared" si="0"/>
        <v>0</v>
      </c>
      <c r="AN11">
        <f t="shared" si="0"/>
        <v>0</v>
      </c>
      <c r="AO11">
        <f t="shared" si="0"/>
        <v>0</v>
      </c>
      <c r="AP11">
        <f t="shared" si="0"/>
        <v>0</v>
      </c>
      <c r="AQ11">
        <f t="shared" si="0"/>
        <v>0</v>
      </c>
      <c r="AR11">
        <f t="shared" si="0"/>
        <v>0</v>
      </c>
      <c r="AS11">
        <f t="shared" si="0"/>
        <v>0</v>
      </c>
      <c r="AT11">
        <f t="shared" si="0"/>
        <v>0</v>
      </c>
      <c r="AU11">
        <f t="shared" si="0"/>
        <v>0</v>
      </c>
      <c r="AV11">
        <f t="shared" si="0"/>
        <v>0</v>
      </c>
      <c r="AW11">
        <f t="shared" si="0"/>
        <v>0</v>
      </c>
      <c r="AX11">
        <f t="shared" si="0"/>
        <v>0</v>
      </c>
      <c r="AY11">
        <f t="shared" si="0"/>
        <v>0</v>
      </c>
      <c r="AZ11">
        <f t="shared" si="0"/>
        <v>0</v>
      </c>
      <c r="BA11">
        <f t="shared" si="0"/>
        <v>0</v>
      </c>
      <c r="BB11">
        <f t="shared" si="0"/>
        <v>0</v>
      </c>
      <c r="BC11">
        <f t="shared" si="0"/>
        <v>0</v>
      </c>
      <c r="BD11">
        <f t="shared" si="0"/>
        <v>0</v>
      </c>
      <c r="BE11">
        <f t="shared" si="0"/>
        <v>0</v>
      </c>
      <c r="BF11">
        <f t="shared" si="0"/>
        <v>0</v>
      </c>
      <c r="BG11">
        <f t="shared" si="0"/>
        <v>0</v>
      </c>
      <c r="BH11">
        <f t="shared" si="0"/>
        <v>0</v>
      </c>
      <c r="BI11">
        <f t="shared" si="0"/>
        <v>0</v>
      </c>
      <c r="BJ11">
        <f t="shared" si="0"/>
        <v>0</v>
      </c>
      <c r="BK11">
        <f t="shared" si="0"/>
        <v>0</v>
      </c>
      <c r="BL11">
        <f t="shared" si="0"/>
        <v>0</v>
      </c>
      <c r="BM11">
        <f t="shared" si="0"/>
        <v>0</v>
      </c>
      <c r="BN11">
        <f t="shared" si="0"/>
        <v>0</v>
      </c>
      <c r="BO11">
        <f t="shared" si="0"/>
        <v>0</v>
      </c>
      <c r="BP11">
        <f t="shared" si="0"/>
        <v>0</v>
      </c>
      <c r="BQ11">
        <f t="shared" ref="BQ11:BU11" si="1">IF(BQ6=1,BQ7/BQ8,0)</f>
        <v>0</v>
      </c>
      <c r="BR11">
        <f t="shared" si="1"/>
        <v>0</v>
      </c>
      <c r="BS11">
        <f t="shared" si="1"/>
        <v>0</v>
      </c>
      <c r="BT11">
        <f t="shared" si="1"/>
        <v>0</v>
      </c>
      <c r="BU11">
        <f t="shared" si="1"/>
        <v>0</v>
      </c>
    </row>
    <row r="12" spans="1:73">
      <c r="A12" t="s">
        <v>327</v>
      </c>
      <c r="B12" t="s">
        <v>184</v>
      </c>
      <c r="D12">
        <f>(D7*D6+E12)/(1+Inputs!$B$44)</f>
        <v>9130003.8543221671</v>
      </c>
      <c r="E12">
        <f>(E7*E6+F12)/(1+Inputs!$B$44)</f>
        <v>9540854.0277666636</v>
      </c>
      <c r="F12">
        <f>(F7*F6+G12)/(1+Inputs!$B$44)</f>
        <v>9970192.4590161629</v>
      </c>
      <c r="G12">
        <f>(G7*G6+H12)/(1+Inputs!$B$44)</f>
        <v>10418851.119671889</v>
      </c>
      <c r="H12">
        <f>(H7*H6+I12)/(1+Inputs!$B$44)</f>
        <v>10887699.420057124</v>
      </c>
      <c r="I12">
        <f>(I7*I6+J12)/(1+Inputs!$B$44)</f>
        <v>10157271.485025162</v>
      </c>
      <c r="J12">
        <f>(J7*J6+K12)/(1+Inputs!$B$44)</f>
        <v>10246407.439030318</v>
      </c>
      <c r="K12">
        <f>(K7*K6+L12)/(1+Inputs!$B$44)</f>
        <v>9498098.6787882131</v>
      </c>
      <c r="L12">
        <f>(L7*L6+M12)/(1+Inputs!$B$44)</f>
        <v>9568658.0244778376</v>
      </c>
      <c r="M12">
        <f>(M7*M6+N12)/(1+Inputs!$B$44)</f>
        <v>8801047.2490326557</v>
      </c>
      <c r="N12">
        <f>(N7*N6+O12)/(1+Inputs!$B$44)</f>
        <v>8851578.3069369942</v>
      </c>
      <c r="O12">
        <f>(O7*O6+P12)/(1+Inputs!$B$44)</f>
        <v>8063151.0325028021</v>
      </c>
      <c r="P12">
        <f>(P7*P6+Q12)/(1+Inputs!$B$44)</f>
        <v>8092011.1224871455</v>
      </c>
      <c r="Q12">
        <f>(Q7*Q6+R12)/(1+Inputs!$B$44)</f>
        <v>7281052.6960165417</v>
      </c>
      <c r="R12">
        <f>(R7*R6+S12)/(1+Inputs!$B$44)</f>
        <v>7286483.2504550563</v>
      </c>
      <c r="S12">
        <f>(S7*S6+T12)/(1+Inputs!$B$44)</f>
        <v>6451158.2673778199</v>
      </c>
      <c r="T12">
        <f>(T7*T6+U12)/(1+Inputs!$B$44)</f>
        <v>6431243.5972642116</v>
      </c>
      <c r="U12">
        <f>(U7*U6+V12)/(1+Inputs!$B$44)</f>
        <v>5569552.5071077403</v>
      </c>
      <c r="V12">
        <f>(V7*V6+W12)/(1+Inputs!$B$44)</f>
        <v>5522239.3047868125</v>
      </c>
      <c r="W12">
        <f>(W7*W6+X12)/(1+Inputs!$B$44)</f>
        <v>4632039.1301442934</v>
      </c>
      <c r="X12">
        <f>(X7*X6+Y12)/(1+Inputs!$B$44)</f>
        <v>4555022.9900432201</v>
      </c>
      <c r="Y12">
        <f>(Y7*Y6+Z12)/(1+Inputs!$B$44)</f>
        <v>3633907.735336991</v>
      </c>
      <c r="Z12">
        <f>(Z7*Z6+AA12)/(1+Inputs!$B$44)</f>
        <v>3524710.3773272061</v>
      </c>
      <c r="AA12">
        <f>(AA7*AA6+AB12)/(1+Inputs!$B$44)</f>
        <v>2570092.7279001526</v>
      </c>
      <c r="AB12">
        <f>(AB7*AB6+AC12)/(1+Inputs!$B$44)</f>
        <v>2426012.9072514228</v>
      </c>
      <c r="AC12">
        <f>(AC7*AC6+AD12)/(1+Inputs!$B$44)</f>
        <v>1435072.6001648374</v>
      </c>
      <c r="AD12">
        <f>(AD7*AD6+AE12)/(1+Inputs!$B$44)</f>
        <v>1253202.3506011113</v>
      </c>
      <c r="AE12">
        <f>(AE7*AE6+AF12)/(1+Inputs!$B$44)</f>
        <v>222903.51515440896</v>
      </c>
      <c r="AF12">
        <f>(AF7*AF6+AG12)/(1+Inputs!$B$44)</f>
        <v>0</v>
      </c>
      <c r="AG12">
        <f>(AG7*AG6+AH12)/(1+Inputs!$B$44)</f>
        <v>0</v>
      </c>
      <c r="AH12">
        <f>(AH7*AH6+AI12)/(1+Inputs!$B$44)</f>
        <v>0</v>
      </c>
      <c r="AI12">
        <f>(AI7*AI6+AJ12)/(1+Inputs!$B$44)</f>
        <v>0</v>
      </c>
      <c r="AJ12">
        <f>(AJ7*AJ6+AK12)/(1+Inputs!$B$44)</f>
        <v>0</v>
      </c>
      <c r="AK12">
        <f>(AK7*AK6+AL12)/(1+Inputs!$B$44)</f>
        <v>0</v>
      </c>
      <c r="AL12">
        <f>(AL7*AL6+AM12)/(1+Inputs!$B$44)</f>
        <v>0</v>
      </c>
      <c r="AM12">
        <f>(AM7*AM6+AN12)/(1+Inputs!$B$44)</f>
        <v>0</v>
      </c>
      <c r="AN12">
        <f>(AN7*AN6+AO12)/(1+Inputs!$B$44)</f>
        <v>0</v>
      </c>
      <c r="AO12">
        <f>(AO7*AO6+AP12)/(1+Inputs!$B$44)</f>
        <v>0</v>
      </c>
      <c r="AP12">
        <f>(AP7*AP6+AQ12)/(1+Inputs!$B$44)</f>
        <v>0</v>
      </c>
      <c r="AQ12">
        <f>(AQ7*AQ6+AR12)/(1+Inputs!$B$44)</f>
        <v>0</v>
      </c>
      <c r="AR12">
        <f>(AR7*AR6+AS12)/(1+Inputs!$B$44)</f>
        <v>0</v>
      </c>
      <c r="AS12">
        <f>(AS7*AS6+AT12)/(1+Inputs!$B$44)</f>
        <v>0</v>
      </c>
      <c r="AT12">
        <f>(AT7*AT6+AU12)/(1+Inputs!$B$44)</f>
        <v>0</v>
      </c>
      <c r="AU12">
        <f>(AU7*AU6+AV12)/(1+Inputs!$B$44)</f>
        <v>0</v>
      </c>
      <c r="AV12">
        <f>(AV7*AV6+AW12)/(1+Inputs!$B$44)</f>
        <v>0</v>
      </c>
      <c r="AW12">
        <f>(AW7*AW6+AX12)/(1+Inputs!$B$44)</f>
        <v>0</v>
      </c>
      <c r="AX12">
        <f>(AX7*AX6+AY12)/(1+Inputs!$B$44)</f>
        <v>0</v>
      </c>
      <c r="AY12">
        <f>(AY7*AY6+AZ12)/(1+Inputs!$B$44)</f>
        <v>0</v>
      </c>
      <c r="AZ12">
        <f>(AZ7*AZ6+BA12)/(1+Inputs!$B$44)</f>
        <v>0</v>
      </c>
      <c r="BA12">
        <f>(BA7*BA6+BB12)/(1+Inputs!$B$44)</f>
        <v>0</v>
      </c>
      <c r="BB12">
        <f>(BB7*BB6+BC12)/(1+Inputs!$B$44)</f>
        <v>0</v>
      </c>
      <c r="BC12">
        <f>(BC7*BC6+BD12)/(1+Inputs!$B$44)</f>
        <v>0</v>
      </c>
      <c r="BD12">
        <f>(BD7*BD6+BE12)/(1+Inputs!$B$44)</f>
        <v>0</v>
      </c>
      <c r="BE12">
        <f>(BE7*BE6+BF12)/(1+Inputs!$B$44)</f>
        <v>0</v>
      </c>
      <c r="BF12">
        <f>(BF7*BF6+BG12)/(1+Inputs!$B$44)</f>
        <v>0</v>
      </c>
      <c r="BG12">
        <f>(BG7*BG6+BH12)/(1+Inputs!$B$44)</f>
        <v>0</v>
      </c>
      <c r="BH12">
        <f>(BH7*BH6+BI12)/(1+Inputs!$B$44)</f>
        <v>0</v>
      </c>
      <c r="BI12">
        <f>(BI7*BI6+BJ12)/(1+Inputs!$B$44)</f>
        <v>0</v>
      </c>
      <c r="BJ12">
        <f>(BJ7*BJ6+BK12)/(1+Inputs!$B$44)</f>
        <v>0</v>
      </c>
      <c r="BK12">
        <f>(BK7*BK6+BL12)/(1+Inputs!$B$44)</f>
        <v>0</v>
      </c>
      <c r="BL12">
        <f>(BL7*BL6+BM12)/(1+Inputs!$B$44)</f>
        <v>0</v>
      </c>
      <c r="BM12">
        <f>(BM7*BM6+BN12)/(1+Inputs!$B$44)</f>
        <v>0</v>
      </c>
      <c r="BN12">
        <f>(BN7*BN6+BO12)/(1+Inputs!$B$44)</f>
        <v>0</v>
      </c>
      <c r="BO12">
        <f>(BO7*BO6+BP12)/(1+Inputs!$B$44)</f>
        <v>0</v>
      </c>
      <c r="BP12">
        <f>(BP7*BP6+BQ12)/(1+Inputs!$B$44)</f>
        <v>0</v>
      </c>
      <c r="BQ12">
        <f>(BQ7*BQ6+BR12)/(1+Inputs!$B$44)</f>
        <v>0</v>
      </c>
      <c r="BR12">
        <f>(BR7*BR6+BS12)/(1+Inputs!$B$44)</f>
        <v>0</v>
      </c>
      <c r="BS12">
        <f>(BS7*BS6+BT12)/(1+Inputs!$B$44)</f>
        <v>0</v>
      </c>
      <c r="BT12">
        <f>(BT7*BT6+BU12)/(1+Inputs!$B$44)</f>
        <v>0</v>
      </c>
      <c r="BU12">
        <f>(BU7*BU6+BV12)/(1+Inputs!$B$44)</f>
        <v>0</v>
      </c>
    </row>
    <row r="13" spans="1:73">
      <c r="A13" t="s">
        <v>328</v>
      </c>
      <c r="B13" t="s">
        <v>39</v>
      </c>
      <c r="D13">
        <f>IF(D6=1,D12/D9,0)</f>
        <v>0</v>
      </c>
      <c r="E13">
        <f t="shared" ref="E13:BP13" si="2">IF(E6=1,E12/E9,0)</f>
        <v>0</v>
      </c>
      <c r="F13">
        <f t="shared" si="2"/>
        <v>0</v>
      </c>
      <c r="G13">
        <f t="shared" si="2"/>
        <v>0</v>
      </c>
      <c r="H13">
        <f t="shared" si="2"/>
        <v>1.3499999999999994</v>
      </c>
      <c r="I13">
        <f t="shared" si="2"/>
        <v>1.3499999999999992</v>
      </c>
      <c r="J13">
        <f t="shared" si="2"/>
        <v>1.3499999999999992</v>
      </c>
      <c r="K13">
        <f t="shared" si="2"/>
        <v>1.3499999999999988</v>
      </c>
      <c r="L13">
        <f t="shared" si="2"/>
        <v>1.3499999999999985</v>
      </c>
      <c r="M13">
        <f t="shared" si="2"/>
        <v>1.3499999999999983</v>
      </c>
      <c r="N13">
        <f t="shared" si="2"/>
        <v>1.3499999999999981</v>
      </c>
      <c r="O13">
        <f t="shared" si="2"/>
        <v>1.3499999999999976</v>
      </c>
      <c r="P13">
        <f t="shared" si="2"/>
        <v>1.3499999999999976</v>
      </c>
      <c r="Q13">
        <f t="shared" si="2"/>
        <v>1.3499999999999972</v>
      </c>
      <c r="R13">
        <f t="shared" si="2"/>
        <v>1.3499999999999972</v>
      </c>
      <c r="S13">
        <f t="shared" si="2"/>
        <v>1.3499999999999965</v>
      </c>
      <c r="T13">
        <f t="shared" si="2"/>
        <v>1.3499999999999963</v>
      </c>
      <c r="U13">
        <f t="shared" si="2"/>
        <v>1.3499999999999954</v>
      </c>
      <c r="V13">
        <f t="shared" si="2"/>
        <v>1.349999999999995</v>
      </c>
      <c r="W13">
        <f t="shared" si="2"/>
        <v>1.3499999999999934</v>
      </c>
      <c r="X13">
        <f t="shared" si="2"/>
        <v>1.3499999999999928</v>
      </c>
      <c r="Y13">
        <f t="shared" si="2"/>
        <v>1.3499999999999905</v>
      </c>
      <c r="Z13">
        <f t="shared" si="2"/>
        <v>1.3499999999999897</v>
      </c>
      <c r="AA13">
        <f t="shared" si="2"/>
        <v>1.349999999999985</v>
      </c>
      <c r="AB13">
        <f t="shared" si="2"/>
        <v>1.3499999999999832</v>
      </c>
      <c r="AC13">
        <f t="shared" si="2"/>
        <v>1.3499999999999703</v>
      </c>
      <c r="AD13">
        <f t="shared" si="2"/>
        <v>1.3499999999999641</v>
      </c>
      <c r="AE13">
        <f t="shared" si="2"/>
        <v>1.3499999999997885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  <c r="AL13">
        <f t="shared" si="2"/>
        <v>0</v>
      </c>
      <c r="AM13">
        <f t="shared" si="2"/>
        <v>0</v>
      </c>
      <c r="AN13">
        <f t="shared" si="2"/>
        <v>0</v>
      </c>
      <c r="AO13">
        <f t="shared" si="2"/>
        <v>0</v>
      </c>
      <c r="AP13">
        <f t="shared" si="2"/>
        <v>0</v>
      </c>
      <c r="AQ13">
        <f t="shared" si="2"/>
        <v>0</v>
      </c>
      <c r="AR13">
        <f t="shared" si="2"/>
        <v>0</v>
      </c>
      <c r="AS13">
        <f t="shared" si="2"/>
        <v>0</v>
      </c>
      <c r="AT13">
        <f t="shared" si="2"/>
        <v>0</v>
      </c>
      <c r="AU13">
        <f t="shared" si="2"/>
        <v>0</v>
      </c>
      <c r="AV13">
        <f t="shared" si="2"/>
        <v>0</v>
      </c>
      <c r="AW13">
        <f t="shared" si="2"/>
        <v>0</v>
      </c>
      <c r="AX13">
        <f t="shared" si="2"/>
        <v>0</v>
      </c>
      <c r="AY13">
        <f t="shared" si="2"/>
        <v>0</v>
      </c>
      <c r="AZ13">
        <f t="shared" si="2"/>
        <v>0</v>
      </c>
      <c r="BA13">
        <f t="shared" si="2"/>
        <v>0</v>
      </c>
      <c r="BB13">
        <f t="shared" si="2"/>
        <v>0</v>
      </c>
      <c r="BC13">
        <f t="shared" si="2"/>
        <v>0</v>
      </c>
      <c r="BD13">
        <f t="shared" si="2"/>
        <v>0</v>
      </c>
      <c r="BE13">
        <f t="shared" si="2"/>
        <v>0</v>
      </c>
      <c r="BF13">
        <f t="shared" si="2"/>
        <v>0</v>
      </c>
      <c r="BG13">
        <f t="shared" si="2"/>
        <v>0</v>
      </c>
      <c r="BH13">
        <f t="shared" si="2"/>
        <v>0</v>
      </c>
      <c r="BI13">
        <f t="shared" si="2"/>
        <v>0</v>
      </c>
      <c r="BJ13">
        <f t="shared" si="2"/>
        <v>0</v>
      </c>
      <c r="BK13">
        <f t="shared" si="2"/>
        <v>0</v>
      </c>
      <c r="BL13">
        <f t="shared" si="2"/>
        <v>0</v>
      </c>
      <c r="BM13">
        <f t="shared" si="2"/>
        <v>0</v>
      </c>
      <c r="BN13">
        <f t="shared" si="2"/>
        <v>0</v>
      </c>
      <c r="BO13">
        <f t="shared" si="2"/>
        <v>0</v>
      </c>
      <c r="BP13">
        <f t="shared" si="2"/>
        <v>0</v>
      </c>
      <c r="BQ13">
        <f t="shared" ref="BQ13:BU13" si="3">IF(BQ6=1,BQ12/BQ9,0)</f>
        <v>0</v>
      </c>
      <c r="BR13">
        <f t="shared" si="3"/>
        <v>0</v>
      </c>
      <c r="BS13">
        <f t="shared" si="3"/>
        <v>0</v>
      </c>
      <c r="BT13">
        <f t="shared" si="3"/>
        <v>0</v>
      </c>
      <c r="BU13">
        <f t="shared" si="3"/>
        <v>0</v>
      </c>
    </row>
    <row r="14" spans="1:73">
      <c r="A14" t="s">
        <v>343</v>
      </c>
      <c r="B14" t="s">
        <v>39</v>
      </c>
      <c r="C14">
        <f>_xlfn.AGGREGATE(15,6,D11:BU11/(D6:BU6=1),1)</f>
        <v>1.35</v>
      </c>
    </row>
    <row r="15" spans="1:73">
      <c r="A15" t="s">
        <v>329</v>
      </c>
      <c r="B15" t="s">
        <v>39</v>
      </c>
      <c r="C15">
        <f>_xlfn.AGGREGATE(15,6,D10:BU10/(D6:BU6=1),1)</f>
        <v>1.3499999999999999</v>
      </c>
    </row>
    <row r="16" spans="1:73">
      <c r="A16" t="s">
        <v>330</v>
      </c>
      <c r="B16" t="s">
        <v>39</v>
      </c>
      <c r="C16" s="56">
        <f>_xlfn.AGGREGATE(15,6,D13:BU13/(D6:BU6=1),1)</f>
        <v>1.3499999999997885</v>
      </c>
    </row>
    <row r="17" spans="1:4">
      <c r="A17" t="s">
        <v>333</v>
      </c>
      <c r="B17" t="s">
        <v>39</v>
      </c>
      <c r="C17">
        <f>AVERAGEIF(D6:BU6,1,D11:BU11)</f>
        <v>1.3500000000000005</v>
      </c>
    </row>
    <row r="18" spans="1:4" ht="15.75">
      <c r="A18" s="70" t="s">
        <v>239</v>
      </c>
      <c r="B18" s="70"/>
      <c r="C18" s="70"/>
    </row>
    <row r="19" spans="1:4">
      <c r="A19" s="59" t="s">
        <v>331</v>
      </c>
      <c r="B19" s="59" t="s">
        <v>165</v>
      </c>
      <c r="C19" s="59">
        <f>IF(Inputs!$B$7=2,0,IF(ABS(H13-Inputs!$B$46)&lt;0.0001,0,1))</f>
        <v>0</v>
      </c>
      <c r="D19" s="37" t="s">
        <v>167</v>
      </c>
    </row>
  </sheetData>
  <mergeCells count="2">
    <mergeCell ref="A4:C4"/>
    <mergeCell ref="A18:C1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U12"/>
  <sheetViews>
    <sheetView workbookViewId="0">
      <pane xSplit="3" topLeftCell="D1" activePane="topRight" state="frozen"/>
      <selection pane="topRight" activeCell="C11" sqref="C11"/>
    </sheetView>
  </sheetViews>
  <sheetFormatPr baseColWidth="10" defaultColWidth="9.140625" defaultRowHeight="15"/>
  <cols>
    <col min="1" max="1" width="34" customWidth="1"/>
    <col min="3" max="3" width="11" bestFit="1" customWidth="1"/>
    <col min="5" max="5" width="12.7109375" bestFit="1" customWidth="1"/>
    <col min="6" max="6" width="11.7109375" bestFit="1" customWidth="1"/>
  </cols>
  <sheetData>
    <row r="1" spans="1:73" ht="18.75">
      <c r="A1" s="1" t="s">
        <v>62</v>
      </c>
    </row>
    <row r="2" spans="1:73">
      <c r="A2" t="s">
        <v>63</v>
      </c>
    </row>
    <row r="4" spans="1:73" ht="15.75">
      <c r="A4" s="70" t="s">
        <v>342</v>
      </c>
      <c r="B4" s="70"/>
      <c r="C4" s="70"/>
    </row>
    <row r="5" spans="1:73">
      <c r="A5" t="s">
        <v>145</v>
      </c>
      <c r="B5" t="s">
        <v>339</v>
      </c>
      <c r="C5" t="s">
        <v>297</v>
      </c>
    </row>
    <row r="6" spans="1:73">
      <c r="A6" t="s">
        <v>334</v>
      </c>
      <c r="B6" t="s">
        <v>184</v>
      </c>
      <c r="C6">
        <f>SUM(D6:BU6)</f>
        <v>-3089872.6500542867</v>
      </c>
      <c r="D6">
        <f>Debt!D8 - Construction!D18</f>
        <v>-5279031.8900696263</v>
      </c>
      <c r="E6">
        <f>Debt!E8 - Construction!E18</f>
        <v>-12440561.612956891</v>
      </c>
      <c r="F6">
        <f>Debt!F8 - Construction!F18</f>
        <v>-12564606.796039043</v>
      </c>
      <c r="G6">
        <f>Debt!G8 - Construction!G18</f>
        <v>-5438228.9368267804</v>
      </c>
      <c r="H6">
        <f>Debt!H8 - Construction!H18</f>
        <v>1220374.4089345317</v>
      </c>
      <c r="I6">
        <f>Debt!I8 - Construction!I18</f>
        <v>367941.26282097551</v>
      </c>
      <c r="J6">
        <f>Debt!J8 - Construction!J18</f>
        <v>1209397.0949984677</v>
      </c>
      <c r="K6">
        <f>Debt!K8 - Construction!K18</f>
        <v>356855.09485584439</v>
      </c>
      <c r="L6">
        <f>Debt!L8 - Construction!L18</f>
        <v>1198200.3865466854</v>
      </c>
      <c r="M6">
        <f>Debt!M8 - Construction!M18</f>
        <v>345516.06830213021</v>
      </c>
      <c r="N6">
        <f>Debt!N8 - Construction!N18</f>
        <v>1186748.2982463562</v>
      </c>
      <c r="O6">
        <f>Debt!O8 - Construction!O18</f>
        <v>333981.70647828188</v>
      </c>
      <c r="P6">
        <f>Debt!P8 - Construction!P18</f>
        <v>1175098.9269825253</v>
      </c>
      <c r="Q6">
        <f>Debt!Q8 - Construction!Q18</f>
        <v>322216.81688222941</v>
      </c>
      <c r="R6">
        <f>Debt!R8 - Construction!R18</f>
        <v>1163216.7293477135</v>
      </c>
      <c r="S6">
        <f>Debt!S8 - Construction!S18</f>
        <v>310216.79214560974</v>
      </c>
      <c r="T6">
        <f>Debt!T8 - Construction!T18</f>
        <v>1151097.0520333601</v>
      </c>
      <c r="U6">
        <f>Debt!U8 - Construction!U18</f>
        <v>297943.06514077552</v>
      </c>
      <c r="V6">
        <f>Debt!V8 - Construction!V18</f>
        <v>1138700.9433579245</v>
      </c>
      <c r="W6">
        <f>Debt!W8 - Construction!W18</f>
        <v>285457.90095756587</v>
      </c>
      <c r="X6">
        <f>Debt!X8 - Construction!X18</f>
        <v>1126091.2892581739</v>
      </c>
      <c r="Y6">
        <f>Debt!Y8 - Construction!Y18</f>
        <v>272723.20609994943</v>
      </c>
      <c r="Z6">
        <f>Debt!Z8 - Construction!Z18</f>
        <v>1113229.6164067774</v>
      </c>
      <c r="AA6">
        <f>Debt!AA8 - Construction!AA18</f>
        <v>259733.99340423674</v>
      </c>
      <c r="AB6">
        <f>Debt!AB8 - Construction!AB18</f>
        <v>1100110.887912899</v>
      </c>
      <c r="AC6">
        <f>Debt!AC8 - Construction!AC18</f>
        <v>246448.51657114364</v>
      </c>
      <c r="AD6">
        <f>Debt!AD8 - Construction!AD18</f>
        <v>1086692.9412237522</v>
      </c>
      <c r="AE6">
        <f>Debt!AE8 - Construction!AE18</f>
        <v>232934.17333635734</v>
      </c>
      <c r="AF6">
        <f>Debt!AF8 - Construction!AF18</f>
        <v>1073043.8460997068</v>
      </c>
      <c r="AG6">
        <f>Debt!AG8 - Construction!AG18</f>
        <v>219149.7300746867</v>
      </c>
      <c r="AH6">
        <f>Debt!AH8 - Construction!AH18</f>
        <v>1059121.9577739565</v>
      </c>
      <c r="AI6">
        <f>Debt!AI8 - Construction!AI18</f>
        <v>205089.788519767</v>
      </c>
      <c r="AJ6">
        <f>Debt!AJ8 - Construction!AJ18</f>
        <v>1044921.824153874</v>
      </c>
      <c r="AK6">
        <f>Debt!AK8 - Construction!AK18</f>
        <v>190709.16113469214</v>
      </c>
      <c r="AL6">
        <f>Debt!AL8 - Construction!AL18</f>
        <v>732272.82580145611</v>
      </c>
      <c r="AM6">
        <f>Debt!AM8 - Construction!AM18</f>
        <v>176080.80139608099</v>
      </c>
      <c r="AN6">
        <f>Debt!AN8 - Construction!AN18</f>
        <v>723555.55378948129</v>
      </c>
      <c r="AO6">
        <f>Debt!AO8 - Construction!AO18</f>
        <v>161160.07670195331</v>
      </c>
      <c r="AP6">
        <f>Debt!AP8 - Construction!AP18</f>
        <v>718982.63265880744</v>
      </c>
      <c r="AQ6">
        <f>Debt!AQ8 - Construction!AQ18</f>
        <v>145941.14379518793</v>
      </c>
      <c r="AR6">
        <f>Debt!AR8 - Construction!AR18</f>
        <v>714318.31632683706</v>
      </c>
      <c r="AS6">
        <f>Debt!AS8 - Construction!AS18</f>
        <v>130375.09023260616</v>
      </c>
      <c r="AT6">
        <f>Debt!AT8 - Construction!AT18</f>
        <v>709547.61405085807</v>
      </c>
      <c r="AU6">
        <f>Debt!AU8 - Construction!AU18</f>
        <v>114540.88320348423</v>
      </c>
      <c r="AV6">
        <f>Debt!AV8 - Construction!AV18</f>
        <v>704694.72778726846</v>
      </c>
      <c r="AW6">
        <f>Debt!AW8 - Construction!AW18</f>
        <v>98390.210944054183</v>
      </c>
      <c r="AX6">
        <f>Debt!AX8 - Construction!AX18</f>
        <v>699744.85089028359</v>
      </c>
      <c r="AY6">
        <f>Debt!AY8 - Construction!AY18</f>
        <v>81916.748524889117</v>
      </c>
      <c r="AZ6">
        <f>Debt!AZ8 - Construction!AZ18</f>
        <v>694696.04488814552</v>
      </c>
      <c r="BA6">
        <f>Debt!BA8 - Construction!BA18</f>
        <v>65067.551544468035</v>
      </c>
      <c r="BB6">
        <f>Debt!BB8 - Construction!BB18</f>
        <v>689532.08331884071</v>
      </c>
      <c r="BC6">
        <f>Debt!BC8 - Construction!BC18</f>
        <v>47928.096628048341</v>
      </c>
      <c r="BD6">
        <f>Debt!BD8 - Construction!BD18</f>
        <v>684279.16315830906</v>
      </c>
      <c r="BE6">
        <f>Debt!BE8 - Construction!BE18</f>
        <v>30446.089568821597</v>
      </c>
      <c r="BF6">
        <f>Debt!BF8 - Construction!BF18</f>
        <v>678921.2572169716</v>
      </c>
      <c r="BG6">
        <f>Debt!BG8 - Construction!BG18</f>
        <v>12614.684059765772</v>
      </c>
      <c r="BH6">
        <f>Debt!BH8 - Construction!BH18</f>
        <v>673456.26723065635</v>
      </c>
      <c r="BI6">
        <f>Debt!BI8 - Construction!BI18</f>
        <v>-5623.4286220169161</v>
      </c>
      <c r="BJ6">
        <f>Debt!BJ8 - Construction!BJ18</f>
        <v>667866.62915503676</v>
      </c>
      <c r="BK6">
        <f>Debt!BK8 - Construction!BK18</f>
        <v>-24175.725828419672</v>
      </c>
      <c r="BL6">
        <f>Debt!BL8 - Construction!BL18</f>
        <v>662180.69943936495</v>
      </c>
      <c r="BM6">
        <f>Debt!BM8 - Construction!BM18</f>
        <v>-43098.812490673736</v>
      </c>
      <c r="BN6">
        <f>Debt!BN8 - Construction!BN18</f>
        <v>656381.12973820628</v>
      </c>
      <c r="BO6">
        <f>Debt!BO8 - Construction!BO18</f>
        <v>-62400.099271676852</v>
      </c>
      <c r="BP6">
        <f>Debt!BP8 - Construction!BP18</f>
        <v>0</v>
      </c>
      <c r="BQ6">
        <f>Debt!BQ8 - Construction!BQ18</f>
        <v>0</v>
      </c>
      <c r="BR6">
        <f>Debt!BR8 - Construction!BR18</f>
        <v>0</v>
      </c>
      <c r="BS6">
        <f>Debt!BS8 - Construction!BS18</f>
        <v>0</v>
      </c>
      <c r="BT6">
        <f>Debt!BT8 - Construction!BT18</f>
        <v>0</v>
      </c>
      <c r="BU6">
        <f>Debt!BU8 - Construction!BU18</f>
        <v>0</v>
      </c>
    </row>
    <row r="7" spans="1:73">
      <c r="A7" t="s">
        <v>335</v>
      </c>
      <c r="B7" t="s">
        <v>184</v>
      </c>
      <c r="C7">
        <f>SUM(D7:BU7)</f>
        <v>-8872819.3669456635</v>
      </c>
      <c r="D7">
        <f>Cashflow!D31 - Construction!D44</f>
        <v>-4253661.5170582291</v>
      </c>
      <c r="E7">
        <f>Cashflow!E31 - Construction!E44</f>
        <v>-9762387.1338366754</v>
      </c>
      <c r="F7">
        <f>Cashflow!F31 - Construction!F44</f>
        <v>-9978390.7146649472</v>
      </c>
      <c r="G7">
        <f>Cashflow!G31 - Construction!G44</f>
        <v>-5135551.893619027</v>
      </c>
      <c r="H7">
        <f>Cashflow!H31 - Construction!H44</f>
        <v>320459.03710749489</v>
      </c>
      <c r="I7">
        <f>Cashflow!I31 - Construction!I44</f>
        <v>99498.167385116336</v>
      </c>
      <c r="J7">
        <f>Cashflow!J31 - Construction!J44</f>
        <v>317694.32405581849</v>
      </c>
      <c r="K7">
        <f>Cashflow!K31 - Construction!K44</f>
        <v>96717.627019557462</v>
      </c>
      <c r="L7">
        <f>Cashflow!L31 - Construction!L44</f>
        <v>314886.0588455589</v>
      </c>
      <c r="M7">
        <f>Cashflow!M31 - Construction!M44</f>
        <v>93850.225790866563</v>
      </c>
      <c r="N7">
        <f>Cashflow!N31 - Construction!N44</f>
        <v>311990.06668010377</v>
      </c>
      <c r="O7">
        <f>Cashflow!O31 - Construction!O44</f>
        <v>90945.216344759217</v>
      </c>
      <c r="P7">
        <f>Cashflow!P31 - Construction!P44</f>
        <v>309056.09130465903</v>
      </c>
      <c r="Q7">
        <f>Cashflow!Q31 - Construction!Q44</f>
        <v>87982.146871918667</v>
      </c>
      <c r="R7">
        <f>Cashflow!R31 - Construction!R44</f>
        <v>306063.47698435304</v>
      </c>
      <c r="S7">
        <f>Cashflow!S31 - Construction!S44</f>
        <v>84972.400558059599</v>
      </c>
      <c r="T7">
        <f>Cashflow!T31 - Construction!T44</f>
        <v>303023.72040695848</v>
      </c>
      <c r="U7">
        <f>Cashflow!U31 - Construction!U44</f>
        <v>81868.633252500964</v>
      </c>
      <c r="V7">
        <f>Cashflow!V31 - Construction!V44</f>
        <v>299889.00535196217</v>
      </c>
      <c r="W7">
        <f>Cashflow!W31 - Construction!W44</f>
        <v>78724.157602930645</v>
      </c>
      <c r="X7">
        <f>Cashflow!X31 - Construction!X44</f>
        <v>296713.17604893271</v>
      </c>
      <c r="Y7">
        <f>Cashflow!Y31 - Construction!Y44</f>
        <v>75516.83591321393</v>
      </c>
      <c r="Z7">
        <f>Cashflow!Z31 - Construction!Z44</f>
        <v>293473.87406615645</v>
      </c>
      <c r="AA7">
        <f>Cashflow!AA31 - Construction!AA44</f>
        <v>72258.989709651389</v>
      </c>
      <c r="AB7">
        <f>Cashflow!AB31 - Construction!AB44</f>
        <v>290183.54378821346</v>
      </c>
      <c r="AC7">
        <f>Cashflow!AC31 - Construction!AC44</f>
        <v>68899.372160958155</v>
      </c>
      <c r="AD7">
        <f>Cashflow!AD31 - Construction!AD44</f>
        <v>684214.074103844</v>
      </c>
      <c r="AE7">
        <f>Cashflow!AE31 - Construction!AE44</f>
        <v>146662.2572858546</v>
      </c>
      <c r="AF7">
        <f>Cashflow!AF31 - Construction!AF44</f>
        <v>1073043.8460997068</v>
      </c>
      <c r="AG7">
        <f>Cashflow!AG31 - Construction!AG44</f>
        <v>219149.7300746867</v>
      </c>
      <c r="AH7">
        <f>Cashflow!AH31 - Construction!AH44</f>
        <v>1059121.9577739565</v>
      </c>
      <c r="AI7">
        <f>Cashflow!AI31 - Construction!AI44</f>
        <v>205089.788519767</v>
      </c>
      <c r="AJ7">
        <f>Cashflow!AJ31 - Construction!AJ44</f>
        <v>1044921.824153874</v>
      </c>
      <c r="AK7">
        <f>Cashflow!AK31 - Construction!AK44</f>
        <v>190709.16113469214</v>
      </c>
      <c r="AL7">
        <f>Cashflow!AL31 - Construction!AL44</f>
        <v>732272.82580145611</v>
      </c>
      <c r="AM7">
        <f>Cashflow!AM31 - Construction!AM44</f>
        <v>176080.80139608099</v>
      </c>
      <c r="AN7">
        <f>Cashflow!AN31 - Construction!AN44</f>
        <v>723555.55378948129</v>
      </c>
      <c r="AO7">
        <f>Cashflow!AO31 - Construction!AO44</f>
        <v>161160.07670195331</v>
      </c>
      <c r="AP7">
        <f>Cashflow!AP31 - Construction!AP44</f>
        <v>718982.63265880744</v>
      </c>
      <c r="AQ7">
        <f>Cashflow!AQ31 - Construction!AQ44</f>
        <v>145941.14379518793</v>
      </c>
      <c r="AR7">
        <f>Cashflow!AR31 - Construction!AR44</f>
        <v>714318.31632683706</v>
      </c>
      <c r="AS7">
        <f>Cashflow!AS31 - Construction!AS44</f>
        <v>130375.09023260616</v>
      </c>
      <c r="AT7">
        <f>Cashflow!AT31 - Construction!AT44</f>
        <v>709547.61405085807</v>
      </c>
      <c r="AU7">
        <f>Cashflow!AU31 - Construction!AU44</f>
        <v>114540.88320348423</v>
      </c>
      <c r="AV7">
        <f>Cashflow!AV31 - Construction!AV44</f>
        <v>704694.72778726846</v>
      </c>
      <c r="AW7">
        <f>Cashflow!AW31 - Construction!AW44</f>
        <v>98390.210944054183</v>
      </c>
      <c r="AX7">
        <f>Cashflow!AX31 - Construction!AX44</f>
        <v>699744.85089028359</v>
      </c>
      <c r="AY7">
        <f>Cashflow!AY31 - Construction!AY44</f>
        <v>81916.748524889117</v>
      </c>
      <c r="AZ7">
        <f>Cashflow!AZ31 - Construction!AZ44</f>
        <v>694696.04488814552</v>
      </c>
      <c r="BA7">
        <f>Cashflow!BA31 - Construction!BA44</f>
        <v>65067.551544468035</v>
      </c>
      <c r="BB7">
        <f>Cashflow!BB31 - Construction!BB44</f>
        <v>689532.08331884071</v>
      </c>
      <c r="BC7">
        <f>Cashflow!BC31 - Construction!BC44</f>
        <v>47928.096628048341</v>
      </c>
      <c r="BD7">
        <f>Cashflow!BD31 - Construction!BD44</f>
        <v>684279.16315830906</v>
      </c>
      <c r="BE7">
        <f>Cashflow!BE31 - Construction!BE44</f>
        <v>30446.089568821597</v>
      </c>
      <c r="BF7">
        <f>Cashflow!BF31 - Construction!BF44</f>
        <v>678921.2572169716</v>
      </c>
      <c r="BG7">
        <f>Cashflow!BG31 - Construction!BG44</f>
        <v>12614.684059765772</v>
      </c>
      <c r="BH7">
        <f>Cashflow!BH31 - Construction!BH44</f>
        <v>673456.26723065635</v>
      </c>
      <c r="BI7">
        <f>Cashflow!BI31 - Construction!BI44</f>
        <v>-5623.4286220169161</v>
      </c>
      <c r="BJ7">
        <f>Cashflow!BJ31 - Construction!BJ44</f>
        <v>667866.62915503676</v>
      </c>
      <c r="BK7">
        <f>Cashflow!BK31 - Construction!BK44</f>
        <v>-24175.725828419672</v>
      </c>
      <c r="BL7">
        <f>Cashflow!BL31 - Construction!BL44</f>
        <v>662180.69943936495</v>
      </c>
      <c r="BM7">
        <f>Cashflow!BM31 - Construction!BM44</f>
        <v>-43098.812490673736</v>
      </c>
      <c r="BN7">
        <f>Cashflow!BN31 - Construction!BN44</f>
        <v>656381.12973820628</v>
      </c>
      <c r="BO7">
        <f>Cashflow!BO31 - Construction!BO44</f>
        <v>-62400.099271676852</v>
      </c>
      <c r="BP7">
        <f>Cashflow!BP31 - Construction!BP44</f>
        <v>0</v>
      </c>
      <c r="BQ7">
        <f>Cashflow!BQ31 - Construction!BQ44</f>
        <v>0</v>
      </c>
      <c r="BR7">
        <f>Cashflow!BR31 - Construction!BR44</f>
        <v>0</v>
      </c>
      <c r="BS7">
        <f>Cashflow!BS31 - Construction!BS44</f>
        <v>0</v>
      </c>
      <c r="BT7">
        <f>Cashflow!BT31 - Construction!BT44</f>
        <v>0</v>
      </c>
      <c r="BU7">
        <f>Cashflow!BU31 - Construction!BU44</f>
        <v>0</v>
      </c>
    </row>
    <row r="8" spans="1:73">
      <c r="A8" t="s">
        <v>336</v>
      </c>
      <c r="B8" t="s">
        <v>39</v>
      </c>
      <c r="C8" s="46">
        <f>IRR(D6:BU6)</f>
        <v>-3.3800721831106495E-3</v>
      </c>
    </row>
    <row r="9" spans="1:73">
      <c r="A9" t="s">
        <v>337</v>
      </c>
      <c r="B9" t="s">
        <v>39</v>
      </c>
      <c r="C9" s="46">
        <f>(1+C8)^2-1</f>
        <v>-6.7487194782582804E-3</v>
      </c>
    </row>
    <row r="10" spans="1:73">
      <c r="A10" t="s">
        <v>340</v>
      </c>
      <c r="B10" t="s">
        <v>39</v>
      </c>
      <c r="C10" s="46">
        <f>IRR(D7:BU7)</f>
        <v>-1.016020490163716E-2</v>
      </c>
    </row>
    <row r="11" spans="1:73">
      <c r="A11" t="s">
        <v>341</v>
      </c>
      <c r="B11" t="s">
        <v>39</v>
      </c>
      <c r="C11" s="46">
        <f>(1+C10)^2-1</f>
        <v>-2.0217180039631022E-2</v>
      </c>
    </row>
    <row r="12" spans="1:73">
      <c r="A12" t="s">
        <v>338</v>
      </c>
      <c r="B12" t="s">
        <v>39</v>
      </c>
      <c r="C12" s="8">
        <f>Cashflow!C31 / Construction!C56</f>
        <v>0.695406040873774</v>
      </c>
    </row>
  </sheetData>
  <mergeCells count="1">
    <mergeCell ref="A4:C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0"/>
  <sheetViews>
    <sheetView workbookViewId="0">
      <selection activeCell="G26" sqref="G26"/>
    </sheetView>
  </sheetViews>
  <sheetFormatPr baseColWidth="10" defaultColWidth="9.140625" defaultRowHeight="15"/>
  <cols>
    <col min="1" max="1" width="34" customWidth="1"/>
    <col min="3" max="3" width="11.5703125" bestFit="1" customWidth="1"/>
    <col min="4" max="4" width="12" bestFit="1" customWidth="1"/>
    <col min="6" max="6" width="14" bestFit="1" customWidth="1"/>
    <col min="7" max="7" width="13.5703125" bestFit="1" customWidth="1"/>
    <col min="8" max="8" width="10.5703125" bestFit="1" customWidth="1"/>
    <col min="9" max="9" width="9.85546875" bestFit="1" customWidth="1"/>
  </cols>
  <sheetData>
    <row r="1" spans="1:9" ht="18.75">
      <c r="A1" s="1" t="s">
        <v>64</v>
      </c>
    </row>
    <row r="2" spans="1:9">
      <c r="A2" t="s">
        <v>65</v>
      </c>
    </row>
    <row r="4" spans="1:9" ht="15.75">
      <c r="A4" s="70" t="s">
        <v>371</v>
      </c>
      <c r="B4" s="70"/>
      <c r="C4" s="70"/>
      <c r="D4" s="70"/>
      <c r="E4" s="70"/>
      <c r="F4" s="70"/>
      <c r="G4" s="70"/>
      <c r="H4" s="70"/>
      <c r="I4" s="70"/>
    </row>
    <row r="5" spans="1:9">
      <c r="A5" t="s">
        <v>360</v>
      </c>
      <c r="B5" t="s">
        <v>361</v>
      </c>
      <c r="C5" t="s">
        <v>362</v>
      </c>
      <c r="D5" t="s">
        <v>56</v>
      </c>
      <c r="E5" t="s">
        <v>363</v>
      </c>
      <c r="F5" t="s">
        <v>364</v>
      </c>
      <c r="G5" t="s">
        <v>365</v>
      </c>
      <c r="H5" t="s">
        <v>366</v>
      </c>
      <c r="I5" t="s">
        <v>367</v>
      </c>
    </row>
    <row r="6" spans="1:9">
      <c r="A6" t="s">
        <v>349</v>
      </c>
      <c r="B6">
        <v>2</v>
      </c>
      <c r="C6">
        <v>1</v>
      </c>
      <c r="D6">
        <v>8064962.5333756506</v>
      </c>
      <c r="E6" t="s">
        <v>369</v>
      </c>
      <c r="F6" s="46">
        <v>0.21682948118059092</v>
      </c>
      <c r="G6">
        <v>1.3499999999999999</v>
      </c>
      <c r="H6" s="46">
        <v>-6.7487194782582804E-3</v>
      </c>
      <c r="I6" s="46">
        <v>-2.0217180039631022E-2</v>
      </c>
    </row>
    <row r="7" spans="1:9">
      <c r="A7" t="s">
        <v>350</v>
      </c>
      <c r="B7">
        <v>1</v>
      </c>
      <c r="C7">
        <v>1</v>
      </c>
      <c r="D7">
        <v>11959318.570513122</v>
      </c>
      <c r="E7" t="s">
        <v>369</v>
      </c>
      <c r="F7" s="46">
        <v>0.31564297808155756</v>
      </c>
      <c r="G7">
        <v>1.3499999999999999</v>
      </c>
      <c r="H7" s="46">
        <v>2.5415747697412616E-2</v>
      </c>
      <c r="I7" s="46">
        <v>9.5015933225579552E-3</v>
      </c>
    </row>
    <row r="8" spans="1:9">
      <c r="A8" t="s">
        <v>368</v>
      </c>
      <c r="B8">
        <v>1</v>
      </c>
      <c r="C8">
        <v>2</v>
      </c>
      <c r="D8">
        <v>8064962.5333756506</v>
      </c>
      <c r="E8" t="s">
        <v>369</v>
      </c>
      <c r="F8" s="46">
        <v>0.21682948118059092</v>
      </c>
      <c r="G8">
        <v>1.8738120615312523</v>
      </c>
      <c r="H8" s="46">
        <v>2.5100433796284571E-2</v>
      </c>
      <c r="I8" s="46">
        <v>1.4810516926449413E-2</v>
      </c>
    </row>
    <row r="9" spans="1:9">
      <c r="A9" t="s">
        <v>351</v>
      </c>
      <c r="B9">
        <v>3</v>
      </c>
      <c r="C9">
        <v>1</v>
      </c>
      <c r="D9">
        <v>7178869.6286162753</v>
      </c>
      <c r="E9" t="s">
        <v>369</v>
      </c>
      <c r="F9" s="46">
        <v>0.19383352044709701</v>
      </c>
      <c r="G9">
        <v>1.3499999999999999</v>
      </c>
      <c r="H9" s="46">
        <v>-1.6310029201372811E-2</v>
      </c>
      <c r="I9" s="46">
        <v>-2.9060507776270117E-2</v>
      </c>
    </row>
    <row r="10" spans="1:9">
      <c r="A10" t="s">
        <v>352</v>
      </c>
      <c r="B10">
        <v>4</v>
      </c>
      <c r="C10">
        <v>1</v>
      </c>
      <c r="D10">
        <v>5245721.090273818</v>
      </c>
      <c r="E10" t="s">
        <v>369</v>
      </c>
      <c r="F10" s="46">
        <v>0.1429636465383648</v>
      </c>
      <c r="G10">
        <v>1.3499999999999999</v>
      </c>
      <c r="H10" s="46">
        <v>-4.2297720327652666E-2</v>
      </c>
      <c r="I10" s="46">
        <v>-5.3546284652463139E-2</v>
      </c>
    </row>
    <row r="11" spans="1:9">
      <c r="A11" t="s">
        <v>356</v>
      </c>
      <c r="B11">
        <v>2</v>
      </c>
      <c r="C11">
        <v>1</v>
      </c>
      <c r="D11">
        <v>9520357.2663141508</v>
      </c>
      <c r="E11" t="s">
        <v>369</v>
      </c>
      <c r="F11" s="46">
        <v>0.25418637293673058</v>
      </c>
      <c r="G11">
        <v>1.3499999999999999</v>
      </c>
      <c r="H11" s="46">
        <v>6.4077776049742408E-3</v>
      </c>
      <c r="I11" s="46">
        <v>-8.1417850763839672E-3</v>
      </c>
    </row>
    <row r="12" spans="1:9">
      <c r="A12" t="s">
        <v>353</v>
      </c>
      <c r="B12">
        <v>2</v>
      </c>
      <c r="C12">
        <v>1</v>
      </c>
      <c r="D12">
        <v>6609567.8004371515</v>
      </c>
      <c r="E12" t="s">
        <v>369</v>
      </c>
      <c r="F12" s="46">
        <v>0.1789481042770813</v>
      </c>
      <c r="G12">
        <v>1.3499999999999999</v>
      </c>
      <c r="H12" s="46">
        <v>-2.2972554827725644E-2</v>
      </c>
      <c r="I12" s="46">
        <v>-3.5268775638916838E-2</v>
      </c>
    </row>
    <row r="13" spans="1:9">
      <c r="A13" t="s">
        <v>354</v>
      </c>
      <c r="B13">
        <v>2</v>
      </c>
      <c r="C13">
        <v>1</v>
      </c>
      <c r="D13">
        <v>7091614.8139742455</v>
      </c>
      <c r="E13" t="s">
        <v>369</v>
      </c>
      <c r="F13" s="46">
        <v>0.1673131980841904</v>
      </c>
      <c r="G13">
        <v>1.3499999999999999</v>
      </c>
      <c r="H13" s="46">
        <v>-2.8548419952834303E-2</v>
      </c>
      <c r="I13" s="46">
        <v>-4.0457803594064146E-2</v>
      </c>
    </row>
    <row r="14" spans="1:9">
      <c r="A14" t="s">
        <v>355</v>
      </c>
      <c r="B14">
        <v>2</v>
      </c>
      <c r="C14">
        <v>1</v>
      </c>
      <c r="D14">
        <v>9038310.252777053</v>
      </c>
      <c r="E14" t="s">
        <v>369</v>
      </c>
      <c r="F14" s="46">
        <v>0.28240625401703595</v>
      </c>
      <c r="G14">
        <v>1.3499999999999999</v>
      </c>
      <c r="H14" s="46">
        <v>1.5418626409438474E-2</v>
      </c>
      <c r="I14" s="46">
        <v>1.6709697098726828E-4</v>
      </c>
    </row>
    <row r="15" spans="1:9">
      <c r="A15" t="s">
        <v>357</v>
      </c>
      <c r="B15">
        <v>2</v>
      </c>
      <c r="C15">
        <v>1</v>
      </c>
      <c r="D15">
        <v>7700887.6171713695</v>
      </c>
      <c r="E15" t="s">
        <v>369</v>
      </c>
      <c r="F15" s="46">
        <v>0.20683673806828964</v>
      </c>
      <c r="G15">
        <v>1.3499999999999999</v>
      </c>
      <c r="H15" s="46">
        <v>-6.7487194782582804E-3</v>
      </c>
      <c r="I15" s="46">
        <v>-2.0946058887752916E-2</v>
      </c>
    </row>
    <row r="16" spans="1:9">
      <c r="A16" t="s">
        <v>358</v>
      </c>
      <c r="B16">
        <v>2</v>
      </c>
      <c r="C16">
        <v>1</v>
      </c>
      <c r="D16">
        <v>8456647.5007666796</v>
      </c>
      <c r="E16" t="s">
        <v>369</v>
      </c>
      <c r="F16" s="46">
        <v>0.22761259597296626</v>
      </c>
      <c r="G16">
        <v>1.3499999999999999</v>
      </c>
      <c r="H16" s="46">
        <v>-6.7487194782582804E-3</v>
      </c>
      <c r="I16" s="46">
        <v>-1.9416080386133516E-2</v>
      </c>
    </row>
    <row r="17" spans="1:9">
      <c r="A17" t="s">
        <v>359</v>
      </c>
      <c r="B17">
        <v>2</v>
      </c>
      <c r="C17">
        <v>1</v>
      </c>
      <c r="D17">
        <v>9500032.2710536607</v>
      </c>
      <c r="E17" t="s">
        <v>369</v>
      </c>
      <c r="F17" s="46">
        <v>0.25431288201365254</v>
      </c>
      <c r="G17">
        <v>1.3499999999999999</v>
      </c>
      <c r="H17" s="46">
        <v>2.5676368989479448E-2</v>
      </c>
      <c r="I17" s="46">
        <v>1.4841920742470371E-2</v>
      </c>
    </row>
    <row r="18" spans="1:9">
      <c r="A18" s="69" t="s">
        <v>383</v>
      </c>
      <c r="B18">
        <v>2</v>
      </c>
      <c r="C18">
        <v>1</v>
      </c>
      <c r="D18">
        <v>7432182.2147067385</v>
      </c>
      <c r="E18" t="s">
        <v>369</v>
      </c>
      <c r="F18" s="46">
        <v>0.20042440908592229</v>
      </c>
      <c r="G18">
        <v>1.35</v>
      </c>
      <c r="H18" s="46">
        <v>-1.3511357092961584E-2</v>
      </c>
      <c r="I18" s="46">
        <v>-2.6496306700358296E-2</v>
      </c>
    </row>
    <row r="20" spans="1:9">
      <c r="A20" t="s">
        <v>370</v>
      </c>
      <c r="D20" s="46">
        <f xml:space="preserve"> 1 - D6/D7</f>
        <v>0.32563360647816419</v>
      </c>
    </row>
  </sheetData>
  <mergeCells count="1">
    <mergeCell ref="A4:I4"/>
  </mergeCells>
  <pageMargins left="0.75" right="0.75" top="1" bottom="1" header="0.5" footer="0.5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zoomScale="85" zoomScaleNormal="85" workbookViewId="0">
      <selection activeCell="A27" sqref="A27:B27"/>
    </sheetView>
  </sheetViews>
  <sheetFormatPr baseColWidth="10" defaultColWidth="9.140625" defaultRowHeight="15"/>
  <cols>
    <col min="1" max="1" width="100.140625" bestFit="1" customWidth="1"/>
    <col min="4" max="4" width="18.140625" bestFit="1" customWidth="1"/>
  </cols>
  <sheetData>
    <row r="1" spans="1:4" ht="18.75">
      <c r="A1" s="1" t="s">
        <v>66</v>
      </c>
    </row>
    <row r="2" spans="1:4">
      <c r="A2" t="s">
        <v>67</v>
      </c>
    </row>
    <row r="4" spans="1:4" ht="15.75">
      <c r="A4" s="70" t="s">
        <v>372</v>
      </c>
      <c r="B4" s="70"/>
      <c r="C4" s="33"/>
      <c r="D4" s="33"/>
    </row>
    <row r="5" spans="1:4">
      <c r="A5" t="str">
        <f>Timeline!A29</f>
        <v>Check construction Flag</v>
      </c>
      <c r="B5" t="str">
        <f>Timeline!B29</f>
        <v>check</v>
      </c>
      <c r="C5">
        <f>Timeline!C29</f>
        <v>0</v>
      </c>
      <c r="D5" s="68" t="str">
        <f>Timeline!D29</f>
        <v>Must be =0</v>
      </c>
    </row>
    <row r="6" spans="1:4">
      <c r="A6" t="str">
        <f>Timeline!A30</f>
        <v>Check operation flag</v>
      </c>
      <c r="B6" t="str">
        <f>Timeline!B30</f>
        <v>check</v>
      </c>
      <c r="C6">
        <f>Timeline!C30</f>
        <v>0</v>
      </c>
      <c r="D6" s="68" t="str">
        <f>Timeline!D30</f>
        <v>Must be =0</v>
      </c>
    </row>
    <row r="7" spans="1:4">
      <c r="A7" t="str">
        <f>Timeline!A31</f>
        <v>Check repayment flag</v>
      </c>
      <c r="B7" t="str">
        <f>Timeline!B31</f>
        <v>check</v>
      </c>
      <c r="C7">
        <f>Timeline!C31</f>
        <v>0</v>
      </c>
      <c r="D7" s="68" t="str">
        <f>Timeline!D31</f>
        <v>Must be =0</v>
      </c>
    </row>
    <row r="8" spans="1:4">
      <c r="A8" t="str">
        <f>Timeline!A32</f>
        <v>Check overlap</v>
      </c>
      <c r="B8" t="str">
        <f>Timeline!B32</f>
        <v>check</v>
      </c>
      <c r="C8">
        <f>Timeline!C32</f>
        <v>0</v>
      </c>
      <c r="D8" s="68" t="str">
        <f>Timeline!D32</f>
        <v>Must be =0</v>
      </c>
    </row>
    <row r="9" spans="1:4" ht="15.75">
      <c r="A9" s="70" t="s">
        <v>373</v>
      </c>
      <c r="B9" s="70"/>
      <c r="C9" s="33"/>
      <c r="D9" s="33"/>
    </row>
    <row r="10" spans="1:4">
      <c r="A10" t="str">
        <f>Construction!A20</f>
        <v>Disbursement % − 1 =</v>
      </c>
      <c r="B10" t="str">
        <f>Construction!B20</f>
        <v>check</v>
      </c>
      <c r="C10">
        <f>Construction!C20</f>
        <v>0</v>
      </c>
      <c r="D10" s="68" t="str">
        <f>Construction!D20</f>
        <v>Must be =0</v>
      </c>
    </row>
    <row r="11" spans="1:4">
      <c r="A11" t="str">
        <f>Construction!A21</f>
        <v>Total nominal CAPEX =</v>
      </c>
      <c r="B11" t="str">
        <f>Construction!B21</f>
        <v>check</v>
      </c>
      <c r="C11">
        <f>Construction!C21</f>
        <v>0</v>
      </c>
      <c r="D11" s="68" t="str">
        <f>Construction!D21</f>
        <v>Must be =0</v>
      </c>
    </row>
    <row r="12" spans="1:4">
      <c r="A12" t="str">
        <f>Construction!A35</f>
        <v>Debt drawdown + Equity contribution - Total construction cost</v>
      </c>
      <c r="B12" t="str">
        <f>Construction!B35</f>
        <v>check</v>
      </c>
      <c r="C12">
        <f>Construction!C35</f>
        <v>0</v>
      </c>
      <c r="D12" s="68" t="str">
        <f>Construction!D35</f>
        <v>Must be =0</v>
      </c>
    </row>
    <row r="13" spans="1:4">
      <c r="A13" t="str">
        <f>Construction!A36</f>
        <v>Closing balance at COD - Debt commitment</v>
      </c>
      <c r="B13" t="str">
        <f>Construction!B36</f>
        <v>check</v>
      </c>
      <c r="C13">
        <f>Construction!C36</f>
        <v>0</v>
      </c>
      <c r="D13" s="68" t="str">
        <f>Construction!D36</f>
        <v>Must be =0</v>
      </c>
    </row>
    <row r="14" spans="1:4">
      <c r="A14" t="str">
        <f>Construction!A62</f>
        <v>Total sources - Total uses</v>
      </c>
      <c r="B14" t="str">
        <f>Construction!B62</f>
        <v>check</v>
      </c>
      <c r="C14">
        <f>Construction!C62</f>
        <v>0</v>
      </c>
      <c r="D14" s="68" t="str">
        <f>Construction!D62</f>
        <v>Must be =0</v>
      </c>
    </row>
    <row r="15" spans="1:4" ht="15.75">
      <c r="A15" s="70" t="s">
        <v>374</v>
      </c>
      <c r="B15" s="70"/>
      <c r="C15" s="33"/>
      <c r="D15" s="33"/>
    </row>
    <row r="16" spans="1:4">
      <c r="A16" t="str">
        <f>Operations!A19</f>
        <v>Total gross energy − Annual energy × Project life</v>
      </c>
      <c r="B16" t="str">
        <f>Operations!B19</f>
        <v>check</v>
      </c>
      <c r="C16">
        <f>Operations!C19</f>
        <v>0</v>
      </c>
      <c r="D16" s="68" t="str">
        <f>Operations!D19</f>
        <v>Must be =0</v>
      </c>
    </row>
    <row r="17" spans="1:4">
      <c r="A17" t="str">
        <f>Operations!A20</f>
        <v>Revenue</v>
      </c>
      <c r="B17" t="str">
        <f>Operations!B20</f>
        <v>check</v>
      </c>
      <c r="C17">
        <f>Operations!C20</f>
        <v>0</v>
      </c>
      <c r="D17" s="68" t="str">
        <f>Operations!D20</f>
        <v>Must be =0</v>
      </c>
    </row>
    <row r="18" spans="1:4">
      <c r="A18" t="str">
        <f>Operations!A30</f>
        <v>Total operating costs ≥ 0</v>
      </c>
      <c r="B18" t="str">
        <f>Operations!B30</f>
        <v>check</v>
      </c>
      <c r="C18">
        <f>Operations!C30</f>
        <v>0</v>
      </c>
      <c r="D18" s="68" t="str">
        <f>Operations!D30</f>
        <v>Must be =0</v>
      </c>
    </row>
    <row r="19" spans="1:4" ht="15.75">
      <c r="A19" s="70" t="s">
        <v>375</v>
      </c>
      <c r="B19" s="70"/>
      <c r="C19" s="33"/>
      <c r="D19" s="33"/>
    </row>
    <row r="20" spans="1:4">
      <c r="A20" t="str">
        <f>Tax!A17</f>
        <v>Total tax depreciation − (Equipment base + Civil base × Project life / Fiscal life of civil works)</v>
      </c>
      <c r="B20" t="str">
        <f>Tax!B17</f>
        <v>check</v>
      </c>
      <c r="C20">
        <f>Tax!C17</f>
        <v>0</v>
      </c>
      <c r="D20" s="68" t="str">
        <f>Tax!D17</f>
        <v>Must be =0</v>
      </c>
    </row>
    <row r="21" spans="1:4">
      <c r="A21" t="str">
        <f>Tax!A35</f>
        <v>Tax paid ≥ 0</v>
      </c>
      <c r="B21" t="str">
        <f>Tax!B35</f>
        <v>check</v>
      </c>
      <c r="C21">
        <f>Tax!C35</f>
        <v>0</v>
      </c>
      <c r="D21" s="68" t="str">
        <f>Tax!D35</f>
        <v>Must be =0</v>
      </c>
    </row>
    <row r="22" spans="1:4">
      <c r="A22" t="str">
        <f>Tax!A36</f>
        <v>Corkscrew: Losses generated − Losses used − Expired losses − Last period closing balance =</v>
      </c>
      <c r="B22" t="str">
        <f>Tax!B36</f>
        <v>check</v>
      </c>
      <c r="C22">
        <f>Tax!C36</f>
        <v>0</v>
      </c>
      <c r="D22" s="68" t="str">
        <f>Tax!D36</f>
        <v>Must be =0</v>
      </c>
    </row>
    <row r="23" spans="1:4" ht="15.75">
      <c r="A23" s="70" t="s">
        <v>376</v>
      </c>
      <c r="B23" s="70"/>
      <c r="C23" s="33"/>
      <c r="D23" s="33"/>
    </row>
    <row r="24" spans="1:4">
      <c r="A24" t="str">
        <f>Debt!A30</f>
        <v>Check if Debt size (pasted value) = Debt size (calculated)</v>
      </c>
      <c r="B24" t="str">
        <f>Debt!B30</f>
        <v>check</v>
      </c>
      <c r="C24">
        <f>Debt!C30</f>
        <v>0</v>
      </c>
      <c r="D24" s="68" t="str">
        <f>Debt!D30</f>
        <v>Must be =0</v>
      </c>
    </row>
    <row r="25" spans="1:4">
      <c r="A25" t="str">
        <f>Debt!A31</f>
        <v>Check if k (pasted value) = k (calculated)</v>
      </c>
      <c r="B25" t="str">
        <f>Debt!B31</f>
        <v>check</v>
      </c>
      <c r="C25">
        <f>Debt!C31</f>
        <v>0</v>
      </c>
      <c r="D25" s="68" t="str">
        <f>Debt!D31</f>
        <v>Must be =0</v>
      </c>
    </row>
    <row r="26" spans="1:4">
      <c r="A26" t="str">
        <f>Debt!A32</f>
        <v>Last semester closing balance</v>
      </c>
      <c r="B26" t="str">
        <f>Debt!B32</f>
        <v>check</v>
      </c>
      <c r="C26">
        <f>Debt!C32</f>
        <v>0</v>
      </c>
      <c r="D26" s="68" t="str">
        <f>Debt!D32</f>
        <v>Must be =0</v>
      </c>
    </row>
    <row r="27" spans="1:4" ht="15.75">
      <c r="A27" s="70" t="s">
        <v>377</v>
      </c>
      <c r="B27" s="70"/>
      <c r="C27" s="33"/>
      <c r="D27" s="33"/>
    </row>
    <row r="28" spans="1:4">
      <c r="A28" t="str">
        <f>Cashflow!A21</f>
        <v>DSRA closing ≥ 0 in every semester</v>
      </c>
      <c r="B28" t="str">
        <f>Cashflow!B21</f>
        <v>check</v>
      </c>
      <c r="C28">
        <f>Cashflow!C21</f>
        <v>0</v>
      </c>
      <c r="D28" s="68">
        <f>Cashflow!D21</f>
        <v>0</v>
      </c>
    </row>
    <row r="29" spans="1:4">
      <c r="A29" t="str">
        <f>Cashflow!A22</f>
        <v>DSRA closing in last column =</v>
      </c>
      <c r="B29" t="str">
        <f>Cashflow!B22</f>
        <v>check</v>
      </c>
      <c r="C29">
        <f>Cashflow!C22</f>
        <v>0</v>
      </c>
      <c r="D29" s="68">
        <f>Cashflow!D22</f>
        <v>0</v>
      </c>
    </row>
    <row r="30" spans="1:4">
      <c r="A30" t="str">
        <f>Cashflow!A34</f>
        <v>Retained cash closing ≥ 0</v>
      </c>
      <c r="B30" t="str">
        <f>Cashflow!B34</f>
        <v>check</v>
      </c>
      <c r="C30">
        <f>Cashflow!C34</f>
        <v>0</v>
      </c>
      <c r="D30" s="68" t="str">
        <f>Cashflow!D34</f>
        <v>Must be =0</v>
      </c>
    </row>
    <row r="31" spans="1:4">
      <c r="A31" t="str">
        <f>Cashflow!A35</f>
        <v>total CFADS − total Debt service + total Initial funding − total Distributions − last column retained cash closing  =</v>
      </c>
      <c r="B31" t="str">
        <f>Cashflow!B35</f>
        <v>check</v>
      </c>
      <c r="C31">
        <f>Cashflow!C35</f>
        <v>0</v>
      </c>
      <c r="D31" s="68" t="str">
        <f>Cashflow!D35</f>
        <v>Must be =0</v>
      </c>
    </row>
    <row r="32" spans="1:4" ht="15.75">
      <c r="A32" s="70" t="s">
        <v>378</v>
      </c>
      <c r="B32" s="70"/>
      <c r="C32" s="33"/>
      <c r="D32" s="33"/>
    </row>
    <row r="33" spans="1:4">
      <c r="A33" t="str">
        <f>Ratios!A19</f>
        <v>1st semester LLCR - target DSCR =</v>
      </c>
      <c r="B33" t="str">
        <f>Ratios!B19</f>
        <v>check</v>
      </c>
      <c r="C33">
        <f>Ratios!C19</f>
        <v>0</v>
      </c>
      <c r="D33" s="68" t="str">
        <f>Ratios!D19</f>
        <v>Must be =0</v>
      </c>
    </row>
    <row r="34" spans="1:4" ht="15.75">
      <c r="A34" s="70" t="s">
        <v>379</v>
      </c>
      <c r="B34" s="70"/>
      <c r="C34" s="33"/>
      <c r="D34" s="33"/>
    </row>
    <row r="35" spans="1:4">
      <c r="A35" t="s">
        <v>380</v>
      </c>
      <c r="B35" t="s">
        <v>165</v>
      </c>
      <c r="C35">
        <f>ROUND(SUM(C5:C33),4)</f>
        <v>0</v>
      </c>
      <c r="D35" s="68" t="s">
        <v>167</v>
      </c>
    </row>
    <row r="36" spans="1:4">
      <c r="A36" t="s">
        <v>381</v>
      </c>
      <c r="B36" s="59" t="str">
        <f>IF(C35=0,"OK","ERROR")</f>
        <v>OK</v>
      </c>
    </row>
    <row r="37" spans="1:4" ht="15.75">
      <c r="A37" s="70" t="s">
        <v>382</v>
      </c>
      <c r="B37" s="70"/>
      <c r="C37" s="29"/>
      <c r="D37" s="29"/>
    </row>
    <row r="38" spans="1:4">
      <c r="A38" t="str">
        <f>Cashflow!A36</f>
        <v>Lock-up flag</v>
      </c>
      <c r="B38" t="str">
        <f>Cashflow!B36</f>
        <v>info</v>
      </c>
      <c r="C38">
        <f>Cashflow!C36</f>
        <v>0</v>
      </c>
      <c r="D38" t="str">
        <f>Cashflow!D36</f>
        <v>if=0 -&gt; No Lock-up</v>
      </c>
    </row>
    <row r="39" spans="1:4">
      <c r="A39" t="str">
        <f>Cashflow!A37</f>
        <v>Default flag</v>
      </c>
      <c r="B39" t="str">
        <f>Cashflow!B37</f>
        <v>info</v>
      </c>
      <c r="C39">
        <f>Cashflow!C37</f>
        <v>0</v>
      </c>
      <c r="D39" t="str">
        <f>Cashflow!D37</f>
        <v>if=0 -&gt; No defaults</v>
      </c>
    </row>
  </sheetData>
  <mergeCells count="9">
    <mergeCell ref="A4:B4"/>
    <mergeCell ref="A37:B37"/>
    <mergeCell ref="A34:B34"/>
    <mergeCell ref="A32:B32"/>
    <mergeCell ref="A27:B27"/>
    <mergeCell ref="A23:B23"/>
    <mergeCell ref="A19:B19"/>
    <mergeCell ref="A15:B15"/>
    <mergeCell ref="A9:B9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13</vt:i4>
      </vt:variant>
      <vt:variant>
        <vt:lpstr>Rangos con nombre</vt:lpstr>
      </vt:variant>
      <vt:variant>
        <vt:i4>2</vt:i4>
      </vt:variant>
    </vt:vector>
  </HeadingPairs>
  <TitlesOfParts>
    <vt:vector size="15" baseType="lpstr">
      <vt:lpstr>Cover</vt:lpstr>
      <vt:lpstr>Inputs</vt:lpstr>
      <vt:lpstr>Data_Energy</vt:lpstr>
      <vt:lpstr>Timeline</vt:lpstr>
      <vt:lpstr>Construction</vt:lpstr>
      <vt:lpstr>Operations</vt:lpstr>
      <vt:lpstr>Tax</vt:lpstr>
      <vt:lpstr>Debt</vt:lpstr>
      <vt:lpstr>Cashflow</vt:lpstr>
      <vt:lpstr>Ratios</vt:lpstr>
      <vt:lpstr>Returns</vt:lpstr>
      <vt:lpstr>Sensitivities</vt:lpstr>
      <vt:lpstr>Checks</vt:lpstr>
      <vt:lpstr>Data_Energy!annual_energy_1</vt:lpstr>
      <vt:lpstr>Data_Energy!semiannual_energy_1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Usuario</cp:lastModifiedBy>
  <dcterms:created xsi:type="dcterms:W3CDTF">2026-10-22T22:38:33Z</dcterms:created>
  <dcterms:modified xsi:type="dcterms:W3CDTF">2026-10-30T22:54:21Z</dcterms:modified>
</cp:coreProperties>
</file>