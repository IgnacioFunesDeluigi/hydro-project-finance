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s\hydro-project-finance\model\"/>
    </mc:Choice>
  </mc:AlternateContent>
  <bookViews>
    <workbookView xWindow="0" yWindow="0" windowWidth="22470" windowHeight="4815" activeTab="1"/>
  </bookViews>
  <sheets>
    <sheet name="Cover" sheetId="1" r:id="rId1"/>
    <sheet name="Inputs" sheetId="2" r:id="rId2"/>
    <sheet name="Data_Energy" sheetId="3" r:id="rId3"/>
    <sheet name="Timeline" sheetId="4" r:id="rId4"/>
    <sheet name="Construction" sheetId="5" r:id="rId5"/>
    <sheet name="Operations" sheetId="6" r:id="rId6"/>
    <sheet name="Tax" sheetId="7" r:id="rId7"/>
    <sheet name="Debt" sheetId="8" r:id="rId8"/>
    <sheet name="Cashflow" sheetId="9" r:id="rId9"/>
    <sheet name="Ratios" sheetId="10" r:id="rId10"/>
    <sheet name="Returns" sheetId="11" r:id="rId11"/>
    <sheet name="Sensitivities" sheetId="12" r:id="rId12"/>
    <sheet name="Checks" sheetId="13" r:id="rId13"/>
  </sheets>
  <definedNames>
    <definedName name="annual_energy_1" localSheetId="2">Data_Energy!$A$4:$F$73</definedName>
    <definedName name="semiannual_energy_1" localSheetId="2">Data_Energy!$A$77:$G$215</definedName>
  </definedNames>
  <calcPr calcId="152511"/>
</workbook>
</file>

<file path=xl/calcChain.xml><?xml version="1.0" encoding="utf-8"?>
<calcChain xmlns="http://schemas.openxmlformats.org/spreadsheetml/2006/main">
  <c r="B41" i="2" l="1"/>
  <c r="B26" i="2" l="1"/>
  <c r="B88" i="3" l="1"/>
  <c r="B86" i="3"/>
  <c r="B84" i="3"/>
  <c r="B82" i="3"/>
  <c r="B80" i="3"/>
  <c r="B78" i="3"/>
  <c r="L10" i="3" s="1"/>
  <c r="L11" i="3" s="1"/>
  <c r="B92" i="3"/>
  <c r="B94" i="3"/>
  <c r="B96" i="3"/>
  <c r="B98" i="3"/>
  <c r="B100" i="3"/>
  <c r="B102" i="3"/>
  <c r="B104" i="3"/>
  <c r="B106" i="3"/>
  <c r="B108" i="3"/>
  <c r="B110" i="3"/>
  <c r="B112" i="3"/>
  <c r="B114" i="3"/>
  <c r="B116" i="3"/>
  <c r="B118" i="3"/>
  <c r="B120" i="3"/>
  <c r="B122" i="3"/>
  <c r="B124" i="3"/>
  <c r="B126" i="3"/>
  <c r="B128" i="3"/>
  <c r="B130" i="3"/>
  <c r="B132" i="3"/>
  <c r="B134" i="3"/>
  <c r="B136" i="3"/>
  <c r="B138" i="3"/>
  <c r="B140" i="3"/>
  <c r="B142" i="3"/>
  <c r="B144" i="3"/>
  <c r="B146" i="3"/>
  <c r="B148" i="3"/>
  <c r="B150" i="3"/>
  <c r="B152" i="3"/>
  <c r="B154" i="3"/>
  <c r="B156" i="3"/>
  <c r="B158" i="3"/>
  <c r="B160" i="3"/>
  <c r="B162" i="3"/>
  <c r="B164" i="3"/>
  <c r="B166" i="3"/>
  <c r="B168" i="3"/>
  <c r="B170" i="3"/>
  <c r="B172" i="3"/>
  <c r="B174" i="3"/>
  <c r="B176" i="3"/>
  <c r="B178" i="3"/>
  <c r="B180" i="3"/>
  <c r="B182" i="3"/>
  <c r="B184" i="3"/>
  <c r="O10" i="3" s="1"/>
  <c r="O11" i="3" s="1"/>
  <c r="B186" i="3"/>
  <c r="B188" i="3"/>
  <c r="B190" i="3"/>
  <c r="B192" i="3"/>
  <c r="B194" i="3"/>
  <c r="B196" i="3"/>
  <c r="B198" i="3"/>
  <c r="B200" i="3"/>
  <c r="B202" i="3"/>
  <c r="B204" i="3"/>
  <c r="B206" i="3"/>
  <c r="B208" i="3"/>
  <c r="B210" i="3"/>
  <c r="B212" i="3"/>
  <c r="B214" i="3"/>
  <c r="B90" i="3"/>
  <c r="L6" i="3"/>
  <c r="L5" i="3"/>
  <c r="L4" i="3"/>
  <c r="L16" i="3" l="1"/>
  <c r="L17" i="3"/>
  <c r="M17" i="3"/>
  <c r="N17" i="3" s="1"/>
  <c r="M16" i="3"/>
  <c r="N16" i="3" s="1"/>
  <c r="M18" i="3"/>
  <c r="L18" i="3" l="1"/>
  <c r="N18" i="3" s="1"/>
</calcChain>
</file>

<file path=xl/connections.xml><?xml version="1.0" encoding="utf-8"?>
<connections xmlns="http://schemas.openxmlformats.org/spreadsheetml/2006/main">
  <connection id="1" name="annual_energy" type="6" refreshedVersion="5" background="1" saveData="1">
    <textPr codePage="850" sourceFile="C:\Users\Usuario\Documents\Projects\hydro-project-finance\data\processed\annual_energy.csv" comma="1">
      <textFields count="6">
        <textField/>
        <textField/>
        <textField/>
        <textField/>
        <textField/>
        <textField/>
      </textFields>
    </textPr>
  </connection>
  <connection id="2" name="semiannual_energy" type="6" refreshedVersion="5" background="1" saveData="1">
    <textPr codePage="850" sourceFile="C:\Users\Usuario\Documents\Projects\hydro-project-finance\data\processed\semiannual_energy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<sst xmlns="http://schemas.openxmlformats.org/spreadsheetml/2006/main" count="463" uniqueCount="148">
  <si>
    <t>Cover</t>
  </si>
  <si>
    <t>Model purpose, version, author, sheet map, colour legend</t>
  </si>
  <si>
    <t>Colour legend</t>
  </si>
  <si>
    <t>Blue font</t>
  </si>
  <si>
    <t>Hard-coded input (Inputs sheet only)</t>
  </si>
  <si>
    <t>Black font</t>
  </si>
  <si>
    <t>Formula</t>
  </si>
  <si>
    <t>Convention</t>
  </si>
  <si>
    <t>Time in columns; one formula per row copied across the timeline; no numbers typed inside formulas (FAST Standard)</t>
  </si>
  <si>
    <t>Inputs</t>
  </si>
  <si>
    <t>All assumptions. Blue font = hard-coded input. One row per input, with unit, label and source</t>
  </si>
  <si>
    <t>Parameter</t>
  </si>
  <si>
    <t>Value</t>
  </si>
  <si>
    <t>Unit</t>
  </si>
  <si>
    <t>Label (OFICIAL/EST/VERIFICAR)</t>
  </si>
  <si>
    <t>Source</t>
  </si>
  <si>
    <t>Decision</t>
  </si>
  <si>
    <t>Energy case selector (P50 / P90 / recent)</t>
  </si>
  <si>
    <t>Semiannual P90 construction method</t>
  </si>
  <si>
    <t>Availability factor</t>
  </si>
  <si>
    <t>%</t>
  </si>
  <si>
    <t>Energy price</t>
  </si>
  <si>
    <t>USD/MWh</t>
  </si>
  <si>
    <t>Price escalation</t>
  </si>
  <si>
    <t>%/yr</t>
  </si>
  <si>
    <t>CAPEX</t>
  </si>
  <si>
    <t>USD/kW</t>
  </si>
  <si>
    <t>CAPEX disbursement curve</t>
  </si>
  <si>
    <t>Construction period</t>
  </si>
  <si>
    <t>months</t>
  </si>
  <si>
    <t>Project life / water concession</t>
  </si>
  <si>
    <t>years</t>
  </si>
  <si>
    <t>Variable O&amp;M</t>
  </si>
  <si>
    <t>O&amp;M escalation</t>
  </si>
  <si>
    <t>Income tax rate</t>
  </si>
  <si>
    <t>Tax depreciation life</t>
  </si>
  <si>
    <t>Debt tenor</t>
  </si>
  <si>
    <t>Debt interest rate</t>
  </si>
  <si>
    <t>Target DSCR (P90)</t>
  </si>
  <si>
    <t>x</t>
  </si>
  <si>
    <t>Lock-up DSCR covenant</t>
  </si>
  <si>
    <t>Default DSCR covenant</t>
  </si>
  <si>
    <t>Maximum gearing</t>
  </si>
  <si>
    <t>DSRA (months of debt service)</t>
  </si>
  <si>
    <t>Upfront fee</t>
  </si>
  <si>
    <t>Commitment fee</t>
  </si>
  <si>
    <t>Currency / FX assumption</t>
  </si>
  <si>
    <t>Data_Energy</t>
  </si>
  <si>
    <t>Timeline</t>
  </si>
  <si>
    <t>Semiannual periods (S1 Oct-Mar, S2 Apr-Sep, D10), construction and operation flags, debt flags</t>
  </si>
  <si>
    <t>Construction</t>
  </si>
  <si>
    <t>CAPEX by period, fees, IDC, Sources &amp; Uses</t>
  </si>
  <si>
    <t>Operations</t>
  </si>
  <si>
    <t>Energy x availability x price, O&amp;M, CFADS before tax</t>
  </si>
  <si>
    <t>Tax</t>
  </si>
  <si>
    <t>Simplified income tax and tax depreciation</t>
  </si>
  <si>
    <t>Debt</t>
  </si>
  <si>
    <t>Sculpted senior debt at target DSCR on P90, gearing test</t>
  </si>
  <si>
    <t>Cashflow</t>
  </si>
  <si>
    <t>Cash waterfall and DSRA</t>
  </si>
  <si>
    <t>Ratios</t>
  </si>
  <si>
    <t>DSCR per period, min and average; LLCR</t>
  </si>
  <si>
    <t>Returns</t>
  </si>
  <si>
    <t>Project IRR and equity IRR</t>
  </si>
  <si>
    <t>Sensitivities</t>
  </si>
  <si>
    <t>P50 vs P90, recent period, price, CAPEX, rate, e-flow 20%</t>
  </si>
  <si>
    <t>Checks</t>
  </si>
  <si>
    <t>Every check must equal zero</t>
  </si>
  <si>
    <t xml:space="preserve">Semiannual energy pasted/linked from data/processed/semiannual_energy.csv. </t>
  </si>
  <si>
    <t>hydro_year</t>
  </si>
  <si>
    <t>energy_base_gwh</t>
  </si>
  <si>
    <t>energy_eco20_gwh</t>
  </si>
  <si>
    <t>energy_eco30_gwh</t>
  </si>
  <si>
    <t>energy_configA_gwh</t>
  </si>
  <si>
    <t>dry_year</t>
  </si>
  <si>
    <t>True</t>
  </si>
  <si>
    <t>False</t>
  </si>
  <si>
    <t>half</t>
  </si>
  <si>
    <t>start_date</t>
  </si>
  <si>
    <t>end_date</t>
  </si>
  <si>
    <t>P50</t>
  </si>
  <si>
    <t>P90</t>
  </si>
  <si>
    <t>Oct-Mar %</t>
  </si>
  <si>
    <t>Apr-Sep %</t>
  </si>
  <si>
    <t>Case</t>
  </si>
  <si>
    <t>Total (year)</t>
  </si>
  <si>
    <t>Recent (P90 in 2010-2025)</t>
  </si>
  <si>
    <t>Recent case (2010-2025)</t>
  </si>
  <si>
    <t>Complete time series</t>
  </si>
  <si>
    <t>P90 (recent case 2010-2025)</t>
  </si>
  <si>
    <t>Oct-Mar share</t>
  </si>
  <si>
    <t>From RenovAr to MATER: How much do renewables cost in Argentina and what can we expect in the future?</t>
  </si>
  <si>
    <t>Own criteria</t>
  </si>
  <si>
    <t>EST</t>
  </si>
  <si>
    <t>IRENA: RENEWABLE ENERGY TECHNOLOGIES: COST ANALYSIS SERIES</t>
  </si>
  <si>
    <t>Fixed O&amp;M (% of CAPEX)</t>
  </si>
  <si>
    <t>Own criteria ; Personal communication with Dr. Catalini</t>
  </si>
  <si>
    <t>Statement on Longer-Run Goals and Monetary Policy Strategy</t>
  </si>
  <si>
    <t>D12</t>
  </si>
  <si>
    <t xml:space="preserve">% of flow </t>
  </si>
  <si>
    <t>% of flow</t>
  </si>
  <si>
    <t>D13</t>
  </si>
  <si>
    <t>Contingency</t>
  </si>
  <si>
    <t>Development costs</t>
  </si>
  <si>
    <t xml:space="preserve">        CAPEX disbursement S1</t>
  </si>
  <si>
    <t xml:space="preserve">        CAPEX disbursement S2</t>
  </si>
  <si>
    <t xml:space="preserve">        CAPEX disbursement S3</t>
  </si>
  <si>
    <t xml:space="preserve">        CAPEX disbursement S4</t>
  </si>
  <si>
    <t xml:space="preserve">CAPEX base year </t>
  </si>
  <si>
    <t>year</t>
  </si>
  <si>
    <t>OFICIAL</t>
  </si>
  <si>
    <t>Own criteria ; IRENA: RENEWABLE ENERGY TECHNOLOGIES: COST ANALYSIS SERIES</t>
  </si>
  <si>
    <t>IRENA: RENEWABLE POWER GENERATION COSTS IN 2024</t>
  </si>
  <si>
    <t>IRENA: RENEWABLE POWER GENERATION COSTS IN 2024, table 6.3</t>
  </si>
  <si>
    <t>CONTROL</t>
  </si>
  <si>
    <t>Semiannual interest rate</t>
  </si>
  <si>
    <t>%/semester</t>
  </si>
  <si>
    <t xml:space="preserve">Comparable case: Genneia </t>
  </si>
  <si>
    <t>Comparable case: BID invest, 2017</t>
  </si>
  <si>
    <t>Forvis Mazars</t>
  </si>
  <si>
    <t xml:space="preserve">Own criteria ; Forvis Mazars </t>
  </si>
  <si>
    <t>Own criteria  ; Wall Street Prep</t>
  </si>
  <si>
    <t>CFI ; BIWS</t>
  </si>
  <si>
    <t>IDCOL</t>
  </si>
  <si>
    <t>Grace period</t>
  </si>
  <si>
    <t>semester</t>
  </si>
  <si>
    <t>D14</t>
  </si>
  <si>
    <t>D15</t>
  </si>
  <si>
    <t xml:space="preserve">        Share of civil works in CAPEX</t>
  </si>
  <si>
    <t xml:space="preserve">        Fiscal life of civil works</t>
  </si>
  <si>
    <t xml:space="preserve">        Fiscal life of equipment</t>
  </si>
  <si>
    <t>Tax loss carryforwards</t>
  </si>
  <si>
    <t>1 = P50, 2 = P90, 3 = recent</t>
  </si>
  <si>
    <t>A</t>
  </si>
  <si>
    <t>text</t>
  </si>
  <si>
    <t>-</t>
  </si>
  <si>
    <t>PWC</t>
  </si>
  <si>
    <t>USD nominal; MATER contract in USD collected without FX loss (v1)</t>
  </si>
  <si>
    <t xml:space="preserve"> 1. GENERAL &amp; TIMING</t>
  </si>
  <si>
    <t xml:space="preserve"> 2. ENERGY &amp; REVENUE</t>
  </si>
  <si>
    <t xml:space="preserve"> 3. CAPEX &amp; CONSTRUCTION</t>
  </si>
  <si>
    <t xml:space="preserve"> 4. OPERATING COSTS</t>
  </si>
  <si>
    <t xml:space="preserve"> 5. TAX</t>
  </si>
  <si>
    <t xml:space="preserve"> 6. DEBT</t>
  </si>
  <si>
    <t xml:space="preserve">Installed capacity </t>
  </si>
  <si>
    <t>MW</t>
  </si>
  <si>
    <t>Design parameter (Stage 1)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</si>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</sst>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0" fontId="0" fillId="0" borderId="0" xfId="0" applyFont="1"/>
    <xf numFmtId="10" fontId="0" fillId="0" borderId="1" xfId="0" applyNumberFormat="1" applyBorder="1"/>
    <xf numFmtId="2" fontId="0" fillId="0" borderId="1" xfId="0" applyNumberFormat="1" applyBorder="1"/>
    <xf numFmtId="0" fontId="4" fillId="0" borderId="0" xfId="1"/>
    <xf numFmtId="10" fontId="6" fillId="0" borderId="0" xfId="0" applyNumberFormat="1" applyFont="1"/>
    <xf numFmtId="10" fontId="3" fillId="0" borderId="0" xfId="0" applyNumberFormat="1" applyFont="1"/>
    <xf numFmtId="0" fontId="0" fillId="0" borderId="1" xfId="0" applyBorder="1" applyAlignment="1"/>
    <xf numFmtId="0" fontId="0" fillId="0" borderId="1" xfId="0" applyFont="1" applyBorder="1"/>
    <xf numFmtId="10" fontId="0" fillId="0" borderId="1" xfId="0" applyNumberFormat="1" applyFont="1" applyBorder="1"/>
    <xf numFmtId="0" fontId="0" fillId="0" borderId="0" xfId="0" applyAlignment="1"/>
    <xf numFmtId="10" fontId="7" fillId="0" borderId="0" xfId="0" applyNumberFormat="1" applyFont="1"/>
    <xf numFmtId="0" fontId="6" fillId="0" borderId="0" xfId="0" applyFont="1"/>
    <xf numFmtId="10" fontId="8" fillId="0" borderId="0" xfId="0" applyNumberFormat="1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9" fillId="3" borderId="0" xfId="0" applyFont="1" applyFill="1" applyAlignment="1">
      <alignment horizontal="center"/>
    </xf>
    <xf numFmtId="0" fontId="0" fillId="3" borderId="0" xfId="0" applyFill="1"/>
    <xf numFmtId="0" fontId="4" fillId="3" borderId="0" xfId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9" fillId="3" borderId="0" xfId="0" applyFont="1" applyFill="1" applyAlignment="1"/>
    <xf numFmtId="0" fontId="10" fillId="0" borderId="0" xfId="0" applyFont="1" applyAlignment="1">
      <alignment horizontal="center" vertical="center" wrapText="1"/>
    </xf>
    <xf numFmtId="0" fontId="6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0033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emiannual_energy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nnual_energy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rena.org/-/media/Files/IRENA/Agency/Publication/2012/RE_Technologies_Cost_Analysis-HYDROPOWER.pdf" TargetMode="External"/><Relationship Id="rId13" Type="http://schemas.openxmlformats.org/officeDocument/2006/relationships/hyperlink" Target="https://financialmodelling.forvismazars.com/tutorials/debt-service-coverage-ratio-dscr/" TargetMode="External"/><Relationship Id="rId18" Type="http://schemas.openxmlformats.org/officeDocument/2006/relationships/hyperlink" Target="https://www.irena.org/-/media/Files/IRENA/Agency/Publication/2025/Jul/IRENA_TEC_RPGC_in_2024_2025.pdf" TargetMode="External"/><Relationship Id="rId3" Type="http://schemas.openxmlformats.org/officeDocument/2006/relationships/hyperlink" Target="https://www.federalreserve.gov/monetarypolicy/files/FOMC_LongerRunGoals.pdf" TargetMode="External"/><Relationship Id="rId21" Type="http://schemas.openxmlformats.org/officeDocument/2006/relationships/hyperlink" Target="https://taxsummaries.pwc.com/argentina/corporate/deductions" TargetMode="External"/><Relationship Id="rId7" Type="http://schemas.openxmlformats.org/officeDocument/2006/relationships/hyperlink" Target="https://www.irena.org/-/media/Files/IRENA/Agency/Publication/2012/RE_Technologies_Cost_Analysis-HYDROPOWER.pdf" TargetMode="External"/><Relationship Id="rId12" Type="http://schemas.openxmlformats.org/officeDocument/2006/relationships/hyperlink" Target="https://financialmodelling.forvismazars.com/tutorials/debt-service-coverage-ratio-dscr/" TargetMode="External"/><Relationship Id="rId17" Type="http://schemas.openxmlformats.org/officeDocument/2006/relationships/hyperlink" Target="https://idcol.org/home/fees" TargetMode="External"/><Relationship Id="rId2" Type="http://schemas.openxmlformats.org/officeDocument/2006/relationships/hyperlink" Target="https://www.irena.org/-/media/Files/IRENA/Agency/Publication/2012/RE_Technologies_Cost_Analysis-HYDROPOWER.pdf" TargetMode="External"/><Relationship Id="rId16" Type="http://schemas.openxmlformats.org/officeDocument/2006/relationships/hyperlink" Target="https://idcol.org/home/fees" TargetMode="External"/><Relationship Id="rId20" Type="http://schemas.openxmlformats.org/officeDocument/2006/relationships/hyperlink" Target="https://www.irena.org/-/media/Files/IRENA/Agency/Publication/2025/Jul/IRENA_TEC_RPGC_in_2024_2025.pdf" TargetMode="External"/><Relationship Id="rId1" Type="http://schemas.openxmlformats.org/officeDocument/2006/relationships/hyperlink" Target="https://www.energiaestrategica.com/energiaestrategica/en/notes/del-renovar-al-mater-cuanto-cuestan-las-renovables-en-argentina-y-que-esperar-a-futuro" TargetMode="External"/><Relationship Id="rId6" Type="http://schemas.openxmlformats.org/officeDocument/2006/relationships/hyperlink" Target="https://www.irena.org/-/media/Files/IRENA/Agency/Publication/2025/Jul/IRENA_TEC_RPGC_in_2024_2025.pdf" TargetMode="External"/><Relationship Id="rId11" Type="http://schemas.openxmlformats.org/officeDocument/2006/relationships/hyperlink" Target="https://financialmodelling.forvismazars.com/resources/debt-service-coverage-ratio-dscr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irena.org/-/media/Files/IRENA/Agency/Publication/2025/Jul/IRENA_TEC_RPGC_in_2024_2025.pdf" TargetMode="External"/><Relationship Id="rId15" Type="http://schemas.openxmlformats.org/officeDocument/2006/relationships/hyperlink" Target="https://corporatefinanceinstitute.com/resources/commercial-lending/debt-service-reserve-account-dsra/" TargetMode="External"/><Relationship Id="rId23" Type="http://schemas.openxmlformats.org/officeDocument/2006/relationships/hyperlink" Target="https://taxsummaries.pwc.com/argentina/corporate/deductions" TargetMode="External"/><Relationship Id="rId10" Type="http://schemas.openxmlformats.org/officeDocument/2006/relationships/hyperlink" Target="https://www.lanacion.com.ar/economia/genneia-coloco-una-on-por-us400-millones-nid20112025/" TargetMode="External"/><Relationship Id="rId19" Type="http://schemas.openxmlformats.org/officeDocument/2006/relationships/hyperlink" Target="https://taxsummaries.pwc.com/argentina/corporate/taxes-on-corporate-income" TargetMode="External"/><Relationship Id="rId4" Type="http://schemas.openxmlformats.org/officeDocument/2006/relationships/hyperlink" Target="https://www.irena.org/-/media/Files/IRENA/Agency/Publication/2025/Jul/IRENA_TEC_RPGC_in_2024_2025.pdf" TargetMode="External"/><Relationship Id="rId9" Type="http://schemas.openxmlformats.org/officeDocument/2006/relationships/hyperlink" Target="https://idbinvest.org/es/medios-y-prensa/bid-invest-financia-el-proyecto-eolico-la-castellana-para-diversificar-la-matriz" TargetMode="External"/><Relationship Id="rId14" Type="http://schemas.openxmlformats.org/officeDocument/2006/relationships/hyperlink" Target="https://www.wallstreetprep.com/knowledge/debt-sizing-in-project-finance/" TargetMode="External"/><Relationship Id="rId22" Type="http://schemas.openxmlformats.org/officeDocument/2006/relationships/hyperlink" Target="https://taxsummaries.pwc.com/argentina/corporate/deduction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2" ht="18.75" x14ac:dyDescent="0.3">
      <c r="A1" s="1" t="s">
        <v>0</v>
      </c>
    </row>
    <row r="2" spans="1:2" x14ac:dyDescent="0.25">
      <c r="A2" t="s">
        <v>1</v>
      </c>
    </row>
    <row r="4" spans="1:2" x14ac:dyDescent="0.25">
      <c r="A4" s="2" t="s">
        <v>2</v>
      </c>
    </row>
    <row r="5" spans="1:2" x14ac:dyDescent="0.25">
      <c r="A5" s="3" t="s">
        <v>3</v>
      </c>
      <c r="B5" t="s">
        <v>4</v>
      </c>
    </row>
    <row r="6" spans="1:2" x14ac:dyDescent="0.25">
      <c r="A6" t="s">
        <v>5</v>
      </c>
      <c r="B6" t="s">
        <v>6</v>
      </c>
    </row>
    <row r="8" spans="1:2" x14ac:dyDescent="0.25">
      <c r="A8" s="2" t="s">
        <v>7</v>
      </c>
    </row>
    <row r="9" spans="1:2" x14ac:dyDescent="0.25">
      <c r="A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zoomScale="85" zoomScaleNormal="85" workbookViewId="0">
      <pane ySplit="4" topLeftCell="A5" activePane="bottomLeft" state="frozen"/>
      <selection pane="bottomLeft" activeCell="B25" sqref="B25"/>
    </sheetView>
  </sheetViews>
  <sheetFormatPr baseColWidth="10" defaultColWidth="9.140625" defaultRowHeight="15" x14ac:dyDescent="0.25"/>
  <cols>
    <col min="1" max="1" width="43.7109375" customWidth="1"/>
    <col min="2" max="2" width="40.5703125" customWidth="1"/>
    <col min="3" max="3" width="32.42578125" customWidth="1"/>
    <col min="4" max="4" width="45.5703125" customWidth="1"/>
    <col min="5" max="5" width="96.140625" customWidth="1"/>
    <col min="6" max="6" width="18.28515625" customWidth="1"/>
  </cols>
  <sheetData>
    <row r="1" spans="1:6" ht="18.75" x14ac:dyDescent="0.3">
      <c r="A1" s="1" t="s">
        <v>9</v>
      </c>
    </row>
    <row r="2" spans="1:6" x14ac:dyDescent="0.25">
      <c r="A2" t="s">
        <v>10</v>
      </c>
    </row>
    <row r="4" spans="1:6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</row>
    <row r="5" spans="1:6" ht="15.75" x14ac:dyDescent="0.25">
      <c r="A5" s="28" t="s">
        <v>138</v>
      </c>
      <c r="B5" s="33"/>
      <c r="C5" s="29"/>
      <c r="D5" s="29"/>
      <c r="E5" s="29"/>
      <c r="F5" s="29"/>
    </row>
    <row r="6" spans="1:6" x14ac:dyDescent="0.25">
      <c r="A6" t="s">
        <v>17</v>
      </c>
      <c r="B6" s="3">
        <v>2</v>
      </c>
      <c r="C6" t="s">
        <v>132</v>
      </c>
      <c r="D6" t="s">
        <v>135</v>
      </c>
    </row>
    <row r="7" spans="1:6" x14ac:dyDescent="0.25">
      <c r="A7" t="s">
        <v>18</v>
      </c>
      <c r="B7" s="23" t="s">
        <v>133</v>
      </c>
      <c r="C7" t="s">
        <v>134</v>
      </c>
      <c r="D7" t="s">
        <v>135</v>
      </c>
    </row>
    <row r="8" spans="1:6" ht="30" x14ac:dyDescent="0.25">
      <c r="A8" s="25" t="s">
        <v>46</v>
      </c>
      <c r="B8" s="34" t="s">
        <v>137</v>
      </c>
      <c r="D8" s="26" t="s">
        <v>93</v>
      </c>
      <c r="E8" s="27" t="s">
        <v>92</v>
      </c>
      <c r="F8" t="s">
        <v>127</v>
      </c>
    </row>
    <row r="9" spans="1:6" x14ac:dyDescent="0.25">
      <c r="A9" t="s">
        <v>28</v>
      </c>
      <c r="B9" s="3">
        <v>24</v>
      </c>
      <c r="C9" t="s">
        <v>29</v>
      </c>
      <c r="D9" t="s">
        <v>93</v>
      </c>
      <c r="E9" s="15" t="s">
        <v>111</v>
      </c>
      <c r="F9" t="s">
        <v>101</v>
      </c>
    </row>
    <row r="10" spans="1:6" x14ac:dyDescent="0.25">
      <c r="A10" t="s">
        <v>30</v>
      </c>
      <c r="B10" s="3">
        <v>30</v>
      </c>
      <c r="C10" t="s">
        <v>31</v>
      </c>
      <c r="D10" t="s">
        <v>93</v>
      </c>
      <c r="E10" s="15" t="s">
        <v>112</v>
      </c>
      <c r="F10" t="s">
        <v>127</v>
      </c>
    </row>
    <row r="11" spans="1:6" ht="15.75" x14ac:dyDescent="0.25">
      <c r="A11" s="28" t="s">
        <v>139</v>
      </c>
      <c r="B11" s="33"/>
      <c r="C11" s="29"/>
      <c r="D11" s="31"/>
      <c r="E11" s="32"/>
      <c r="F11" s="29"/>
    </row>
    <row r="12" spans="1:6" x14ac:dyDescent="0.25">
      <c r="A12" t="s">
        <v>19</v>
      </c>
      <c r="B12" s="16">
        <v>0.92</v>
      </c>
      <c r="C12" t="s">
        <v>20</v>
      </c>
      <c r="D12" t="s">
        <v>93</v>
      </c>
      <c r="E12" t="s">
        <v>96</v>
      </c>
      <c r="F12" t="s">
        <v>98</v>
      </c>
    </row>
    <row r="13" spans="1:6" x14ac:dyDescent="0.25">
      <c r="A13" t="s">
        <v>21</v>
      </c>
      <c r="B13" s="3">
        <v>65</v>
      </c>
      <c r="C13" t="s">
        <v>22</v>
      </c>
      <c r="D13" t="s">
        <v>93</v>
      </c>
      <c r="E13" s="15" t="s">
        <v>91</v>
      </c>
      <c r="F13" t="s">
        <v>98</v>
      </c>
    </row>
    <row r="14" spans="1:6" x14ac:dyDescent="0.25">
      <c r="A14" t="s">
        <v>23</v>
      </c>
      <c r="B14" s="3">
        <v>0</v>
      </c>
      <c r="C14" t="s">
        <v>24</v>
      </c>
      <c r="D14" t="s">
        <v>93</v>
      </c>
      <c r="E14" t="s">
        <v>92</v>
      </c>
      <c r="F14" t="s">
        <v>98</v>
      </c>
    </row>
    <row r="15" spans="1:6" ht="15.75" x14ac:dyDescent="0.25">
      <c r="A15" s="28" t="s">
        <v>140</v>
      </c>
      <c r="B15" s="33"/>
      <c r="C15" s="29"/>
      <c r="D15" s="29"/>
      <c r="E15" s="29"/>
      <c r="F15" s="29"/>
    </row>
    <row r="16" spans="1:6" x14ac:dyDescent="0.25">
      <c r="A16" t="s">
        <v>144</v>
      </c>
      <c r="B16" s="35">
        <v>10</v>
      </c>
      <c r="C16" t="s">
        <v>145</v>
      </c>
      <c r="D16" t="s">
        <v>93</v>
      </c>
      <c r="E16" t="s">
        <v>146</v>
      </c>
      <c r="F16" t="s">
        <v>147</v>
      </c>
    </row>
    <row r="17" spans="1:6" x14ac:dyDescent="0.25">
      <c r="A17" t="s">
        <v>25</v>
      </c>
      <c r="B17" s="3">
        <v>3300</v>
      </c>
      <c r="C17" t="s">
        <v>26</v>
      </c>
      <c r="D17" t="s">
        <v>93</v>
      </c>
      <c r="E17" s="15" t="s">
        <v>113</v>
      </c>
      <c r="F17" t="s">
        <v>101</v>
      </c>
    </row>
    <row r="18" spans="1:6" x14ac:dyDescent="0.25">
      <c r="A18" t="s">
        <v>103</v>
      </c>
      <c r="B18" s="3">
        <v>0</v>
      </c>
      <c r="C18" t="s">
        <v>26</v>
      </c>
      <c r="D18" t="s">
        <v>93</v>
      </c>
      <c r="E18" s="15" t="s">
        <v>112</v>
      </c>
      <c r="F18" t="s">
        <v>101</v>
      </c>
    </row>
    <row r="19" spans="1:6" x14ac:dyDescent="0.25">
      <c r="A19" t="s">
        <v>108</v>
      </c>
      <c r="B19" s="3">
        <v>2024</v>
      </c>
      <c r="C19" t="s">
        <v>109</v>
      </c>
      <c r="D19" t="s">
        <v>110</v>
      </c>
      <c r="E19" s="15" t="s">
        <v>112</v>
      </c>
      <c r="F19" t="s">
        <v>101</v>
      </c>
    </row>
    <row r="20" spans="1:6" x14ac:dyDescent="0.25">
      <c r="A20" t="s">
        <v>102</v>
      </c>
      <c r="B20" s="3">
        <v>0</v>
      </c>
      <c r="C20" t="s">
        <v>20</v>
      </c>
      <c r="D20" t="s">
        <v>93</v>
      </c>
      <c r="E20" s="15" t="s">
        <v>111</v>
      </c>
      <c r="F20" t="s">
        <v>101</v>
      </c>
    </row>
    <row r="21" spans="1:6" x14ac:dyDescent="0.25">
      <c r="A21" s="21" t="s">
        <v>27</v>
      </c>
      <c r="B21" s="21"/>
    </row>
    <row r="22" spans="1:6" x14ac:dyDescent="0.25">
      <c r="A22" t="s">
        <v>104</v>
      </c>
      <c r="B22" s="16">
        <v>0.15</v>
      </c>
      <c r="C22" t="s">
        <v>20</v>
      </c>
      <c r="D22" t="s">
        <v>93</v>
      </c>
      <c r="E22" t="s">
        <v>92</v>
      </c>
      <c r="F22" t="s">
        <v>101</v>
      </c>
    </row>
    <row r="23" spans="1:6" x14ac:dyDescent="0.25">
      <c r="A23" t="s">
        <v>105</v>
      </c>
      <c r="B23" s="16">
        <v>0.35</v>
      </c>
      <c r="C23" t="s">
        <v>20</v>
      </c>
      <c r="D23" t="s">
        <v>93</v>
      </c>
      <c r="E23" t="s">
        <v>92</v>
      </c>
      <c r="F23" t="s">
        <v>101</v>
      </c>
    </row>
    <row r="24" spans="1:6" x14ac:dyDescent="0.25">
      <c r="A24" t="s">
        <v>106</v>
      </c>
      <c r="B24" s="16">
        <v>0.35</v>
      </c>
      <c r="C24" t="s">
        <v>20</v>
      </c>
      <c r="D24" t="s">
        <v>93</v>
      </c>
      <c r="E24" t="s">
        <v>92</v>
      </c>
      <c r="F24" t="s">
        <v>101</v>
      </c>
    </row>
    <row r="25" spans="1:6" x14ac:dyDescent="0.25">
      <c r="A25" t="s">
        <v>107</v>
      </c>
      <c r="B25" s="16">
        <v>0.15</v>
      </c>
      <c r="C25" t="s">
        <v>20</v>
      </c>
      <c r="D25" t="s">
        <v>93</v>
      </c>
      <c r="E25" t="s">
        <v>92</v>
      </c>
      <c r="F25" t="s">
        <v>101</v>
      </c>
    </row>
    <row r="26" spans="1:6" x14ac:dyDescent="0.25">
      <c r="A26" t="s">
        <v>114</v>
      </c>
      <c r="B26" s="22">
        <f>SUM(B22:B25)</f>
        <v>1</v>
      </c>
    </row>
    <row r="27" spans="1:6" ht="15.75" x14ac:dyDescent="0.25">
      <c r="A27" s="28" t="s">
        <v>141</v>
      </c>
      <c r="B27" s="33"/>
      <c r="C27" s="29"/>
      <c r="D27" s="29"/>
      <c r="E27" s="29"/>
      <c r="F27" s="29"/>
    </row>
    <row r="28" spans="1:6" x14ac:dyDescent="0.25">
      <c r="A28" t="s">
        <v>95</v>
      </c>
      <c r="B28" s="16">
        <v>0.03</v>
      </c>
      <c r="C28" t="s">
        <v>24</v>
      </c>
      <c r="D28" t="s">
        <v>93</v>
      </c>
      <c r="E28" s="15" t="s">
        <v>94</v>
      </c>
      <c r="F28" t="s">
        <v>98</v>
      </c>
    </row>
    <row r="29" spans="1:6" x14ac:dyDescent="0.25">
      <c r="A29" t="s">
        <v>32</v>
      </c>
      <c r="B29" s="3">
        <v>0</v>
      </c>
      <c r="C29" t="s">
        <v>22</v>
      </c>
      <c r="D29" t="s">
        <v>93</v>
      </c>
      <c r="E29" t="s">
        <v>92</v>
      </c>
      <c r="F29" t="s">
        <v>98</v>
      </c>
    </row>
    <row r="30" spans="1:6" x14ac:dyDescent="0.25">
      <c r="A30" t="s">
        <v>33</v>
      </c>
      <c r="B30" s="17">
        <v>0.02</v>
      </c>
      <c r="C30" t="s">
        <v>24</v>
      </c>
      <c r="D30" t="s">
        <v>93</v>
      </c>
      <c r="E30" s="15" t="s">
        <v>97</v>
      </c>
      <c r="F30" t="s">
        <v>98</v>
      </c>
    </row>
    <row r="31" spans="1:6" ht="15.75" x14ac:dyDescent="0.25">
      <c r="A31" s="28" t="s">
        <v>142</v>
      </c>
      <c r="B31" s="33"/>
      <c r="C31" s="29"/>
      <c r="D31" s="29"/>
      <c r="E31" s="30"/>
      <c r="F31" s="29"/>
    </row>
    <row r="32" spans="1:6" x14ac:dyDescent="0.25">
      <c r="A32" t="s">
        <v>34</v>
      </c>
      <c r="B32" s="17">
        <v>0.35</v>
      </c>
      <c r="C32" t="s">
        <v>20</v>
      </c>
      <c r="D32" t="s">
        <v>93</v>
      </c>
      <c r="E32" s="15" t="s">
        <v>136</v>
      </c>
      <c r="F32" t="s">
        <v>127</v>
      </c>
    </row>
    <row r="33" spans="1:20" x14ac:dyDescent="0.25">
      <c r="A33" t="s">
        <v>35</v>
      </c>
      <c r="B33" s="3"/>
    </row>
    <row r="34" spans="1:20" x14ac:dyDescent="0.25">
      <c r="A34" t="s">
        <v>128</v>
      </c>
      <c r="B34" s="16">
        <v>0.5</v>
      </c>
      <c r="C34" t="s">
        <v>20</v>
      </c>
      <c r="D34" t="s">
        <v>93</v>
      </c>
      <c r="E34" s="15" t="s">
        <v>112</v>
      </c>
      <c r="F34" t="s">
        <v>127</v>
      </c>
    </row>
    <row r="35" spans="1:20" x14ac:dyDescent="0.25">
      <c r="A35" t="s">
        <v>129</v>
      </c>
      <c r="B35" s="3">
        <v>50</v>
      </c>
      <c r="C35" t="s">
        <v>31</v>
      </c>
      <c r="D35" t="s">
        <v>93</v>
      </c>
      <c r="E35" s="15" t="s">
        <v>136</v>
      </c>
      <c r="F35" t="s">
        <v>127</v>
      </c>
    </row>
    <row r="36" spans="1:20" x14ac:dyDescent="0.25">
      <c r="A36" t="s">
        <v>130</v>
      </c>
      <c r="B36" s="3">
        <v>10</v>
      </c>
      <c r="C36" t="s">
        <v>31</v>
      </c>
      <c r="D36" t="s">
        <v>93</v>
      </c>
      <c r="E36" s="15" t="s">
        <v>136</v>
      </c>
      <c r="F36" t="s">
        <v>127</v>
      </c>
    </row>
    <row r="37" spans="1:20" x14ac:dyDescent="0.25">
      <c r="A37" t="s">
        <v>131</v>
      </c>
      <c r="B37" s="3">
        <v>5</v>
      </c>
      <c r="C37" t="s">
        <v>31</v>
      </c>
      <c r="D37" t="s">
        <v>93</v>
      </c>
      <c r="E37" s="15" t="s">
        <v>136</v>
      </c>
      <c r="F37" t="s">
        <v>127</v>
      </c>
    </row>
    <row r="38" spans="1:20" ht="15.75" x14ac:dyDescent="0.25">
      <c r="A38" s="28" t="s">
        <v>143</v>
      </c>
      <c r="B38" s="33"/>
      <c r="C38" s="29"/>
      <c r="D38" s="29"/>
      <c r="E38" s="30"/>
      <c r="F38" s="29"/>
    </row>
    <row r="39" spans="1:20" x14ac:dyDescent="0.25">
      <c r="A39" t="s">
        <v>36</v>
      </c>
      <c r="B39" s="3">
        <v>12</v>
      </c>
      <c r="C39" t="s">
        <v>31</v>
      </c>
      <c r="D39" t="s">
        <v>93</v>
      </c>
      <c r="E39" s="15" t="s">
        <v>118</v>
      </c>
      <c r="F39" t="s">
        <v>126</v>
      </c>
    </row>
    <row r="40" spans="1:20" x14ac:dyDescent="0.25">
      <c r="A40" t="s">
        <v>37</v>
      </c>
      <c r="B40" s="17">
        <v>0.09</v>
      </c>
      <c r="C40" t="s">
        <v>24</v>
      </c>
      <c r="D40" t="s">
        <v>93</v>
      </c>
      <c r="E40" s="15" t="s">
        <v>117</v>
      </c>
      <c r="F40" t="s">
        <v>126</v>
      </c>
    </row>
    <row r="41" spans="1:20" x14ac:dyDescent="0.25">
      <c r="A41" t="s">
        <v>115</v>
      </c>
      <c r="B41" s="24">
        <f>B40/2</f>
        <v>4.4999999999999998E-2</v>
      </c>
      <c r="C41" t="s">
        <v>116</v>
      </c>
      <c r="D41" t="s">
        <v>135</v>
      </c>
      <c r="E41" t="s">
        <v>92</v>
      </c>
      <c r="F41" t="s">
        <v>126</v>
      </c>
    </row>
    <row r="42" spans="1:20" x14ac:dyDescent="0.25">
      <c r="A42" t="s">
        <v>124</v>
      </c>
      <c r="B42" s="3">
        <v>0</v>
      </c>
      <c r="C42" t="s">
        <v>125</v>
      </c>
      <c r="D42" t="s">
        <v>93</v>
      </c>
      <c r="E42" t="s">
        <v>92</v>
      </c>
      <c r="F42" t="s">
        <v>126</v>
      </c>
    </row>
    <row r="43" spans="1:20" x14ac:dyDescent="0.25">
      <c r="A43" t="s">
        <v>38</v>
      </c>
      <c r="B43" s="3">
        <v>1.35</v>
      </c>
      <c r="C43" t="s">
        <v>39</v>
      </c>
      <c r="D43" t="s">
        <v>93</v>
      </c>
      <c r="E43" s="15" t="s">
        <v>119</v>
      </c>
      <c r="F43" t="s">
        <v>126</v>
      </c>
    </row>
    <row r="44" spans="1:20" x14ac:dyDescent="0.25">
      <c r="A44" t="s">
        <v>40</v>
      </c>
      <c r="B44" s="3">
        <v>1.2</v>
      </c>
      <c r="C44" t="s">
        <v>39</v>
      </c>
      <c r="D44" t="s">
        <v>93</v>
      </c>
      <c r="E44" s="15" t="s">
        <v>120</v>
      </c>
      <c r="F44" t="s">
        <v>126</v>
      </c>
    </row>
    <row r="45" spans="1:20" x14ac:dyDescent="0.25">
      <c r="A45" t="s">
        <v>41</v>
      </c>
      <c r="B45" s="3">
        <v>1.1000000000000001</v>
      </c>
      <c r="C45" t="s">
        <v>39</v>
      </c>
      <c r="D45" t="s">
        <v>93</v>
      </c>
      <c r="E45" s="15" t="s">
        <v>119</v>
      </c>
      <c r="F45" t="s">
        <v>126</v>
      </c>
    </row>
    <row r="46" spans="1:20" x14ac:dyDescent="0.25">
      <c r="A46" t="s">
        <v>42</v>
      </c>
      <c r="B46" s="17">
        <v>0.7</v>
      </c>
      <c r="C46" t="s">
        <v>20</v>
      </c>
      <c r="D46" t="s">
        <v>93</v>
      </c>
      <c r="E46" s="15" t="s">
        <v>121</v>
      </c>
      <c r="F46" t="s">
        <v>126</v>
      </c>
      <c r="M46" s="12"/>
      <c r="T46" s="12"/>
    </row>
    <row r="47" spans="1:20" x14ac:dyDescent="0.25">
      <c r="A47" t="s">
        <v>43</v>
      </c>
      <c r="B47" s="3">
        <v>6</v>
      </c>
      <c r="C47" t="s">
        <v>29</v>
      </c>
      <c r="D47" t="s">
        <v>93</v>
      </c>
      <c r="E47" s="15" t="s">
        <v>122</v>
      </c>
      <c r="F47" t="s">
        <v>126</v>
      </c>
    </row>
    <row r="48" spans="1:20" x14ac:dyDescent="0.25">
      <c r="A48" t="s">
        <v>44</v>
      </c>
      <c r="B48" s="17">
        <v>1.4999999999999999E-2</v>
      </c>
      <c r="C48" t="s">
        <v>20</v>
      </c>
      <c r="D48" t="s">
        <v>93</v>
      </c>
      <c r="E48" s="15" t="s">
        <v>123</v>
      </c>
      <c r="F48" t="s">
        <v>126</v>
      </c>
    </row>
    <row r="49" spans="1:6" x14ac:dyDescent="0.25">
      <c r="A49" t="s">
        <v>45</v>
      </c>
      <c r="B49" s="17">
        <v>5.0000000000000001E-3</v>
      </c>
      <c r="C49" t="s">
        <v>20</v>
      </c>
      <c r="D49" t="s">
        <v>93</v>
      </c>
      <c r="E49" s="15" t="s">
        <v>123</v>
      </c>
      <c r="F49" t="s">
        <v>126</v>
      </c>
    </row>
    <row r="51" spans="1:6" x14ac:dyDescent="0.25">
      <c r="E51" s="11"/>
    </row>
    <row r="54" spans="1:6" x14ac:dyDescent="0.25">
      <c r="E54" s="12"/>
    </row>
  </sheetData>
  <hyperlinks>
    <hyperlink ref="E13" r:id="rId1"/>
    <hyperlink ref="E28" r:id="rId2"/>
    <hyperlink ref="E30" r:id="rId3"/>
    <hyperlink ref="E17" r:id="rId4" display="RENEWABLE POWER GENERATION COSTS IN 2024"/>
    <hyperlink ref="E18" r:id="rId5" display="RENEWABLE POWER GENERATION COSTS IN 2024"/>
    <hyperlink ref="E19" r:id="rId6" display="RENEWABLE POWER GENERATION COSTS IN 2024"/>
    <hyperlink ref="E9" r:id="rId7" display="IRENA: RENEWABLE ENERGY TECHNOLOGIES: COST ANALYSIS SERIES"/>
    <hyperlink ref="E20" r:id="rId8" display="IRENA: RENEWABLE ENERGY TECHNOLOGIES: COST ANALYSIS SERIES"/>
    <hyperlink ref="E39" r:id="rId9"/>
    <hyperlink ref="E40" r:id="rId10"/>
    <hyperlink ref="E43" r:id="rId11"/>
    <hyperlink ref="E44" r:id="rId12"/>
    <hyperlink ref="E45" r:id="rId13"/>
    <hyperlink ref="E46" r:id="rId14"/>
    <hyperlink ref="E47" r:id="rId15"/>
    <hyperlink ref="E48" r:id="rId16"/>
    <hyperlink ref="E49" r:id="rId17"/>
    <hyperlink ref="E10" r:id="rId18" display="RENEWABLE POWER GENERATION COSTS IN 2024"/>
    <hyperlink ref="E32" r:id="rId19"/>
    <hyperlink ref="E34" r:id="rId20" display="RENEWABLE POWER GENERATION COSTS IN 2024"/>
    <hyperlink ref="E35" r:id="rId21"/>
    <hyperlink ref="E36" r:id="rId22"/>
    <hyperlink ref="E37" r:id="rId23"/>
  </hyperlinks>
  <pageMargins left="0.75" right="0.75" top="1" bottom="1" header="0.5" footer="0.5"/>
  <pageSetup paperSize="9" orientation="portrait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6"/>
  <sheetViews>
    <sheetView topLeftCell="D1" zoomScale="85" zoomScaleNormal="85" workbookViewId="0">
      <selection activeCell="Q26" sqref="Q26"/>
    </sheetView>
  </sheetViews>
  <sheetFormatPr baseColWidth="10" defaultColWidth="9.140625" defaultRowHeight="15" x14ac:dyDescent="0.25"/>
  <cols>
    <col min="1" max="1" width="12.5703125" customWidth="1"/>
    <col min="2" max="2" width="17" customWidth="1"/>
    <col min="3" max="3" width="19.5703125" customWidth="1"/>
    <col min="4" max="4" width="20" customWidth="1"/>
    <col min="5" max="5" width="17.5703125" customWidth="1"/>
    <col min="6" max="6" width="20" customWidth="1"/>
    <col min="7" max="7" width="8.7109375" customWidth="1"/>
    <col min="8" max="8" width="13.140625" customWidth="1"/>
    <col min="11" max="11" width="25.28515625" customWidth="1"/>
    <col min="12" max="12" width="11.42578125" customWidth="1"/>
    <col min="13" max="13" width="13.85546875" customWidth="1"/>
    <col min="14" max="14" width="22.85546875" customWidth="1"/>
    <col min="15" max="15" width="18.140625" customWidth="1"/>
    <col min="16" max="16" width="14" customWidth="1"/>
  </cols>
  <sheetData>
    <row r="1" spans="1:16" ht="18.75" x14ac:dyDescent="0.3">
      <c r="A1" s="1" t="s">
        <v>47</v>
      </c>
      <c r="B1" s="1"/>
    </row>
    <row r="2" spans="1:16" x14ac:dyDescent="0.25">
      <c r="A2" t="s">
        <v>68</v>
      </c>
    </row>
    <row r="4" spans="1:16" x14ac:dyDescent="0.2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K4" s="9" t="s">
        <v>80</v>
      </c>
      <c r="L4" s="10">
        <f>_xlfn.PERCENTILE.INC(B5:B73,0.5)</f>
        <v>57.067690549336902</v>
      </c>
    </row>
    <row r="5" spans="1:16" x14ac:dyDescent="0.25">
      <c r="A5">
        <v>1957</v>
      </c>
      <c r="B5" s="7">
        <v>46.746287156300198</v>
      </c>
      <c r="C5" s="7">
        <v>38.243510003131497</v>
      </c>
      <c r="D5" s="7">
        <v>27.780806682050201</v>
      </c>
      <c r="E5" s="7">
        <v>45.918136716283499</v>
      </c>
      <c r="F5" t="s">
        <v>75</v>
      </c>
      <c r="K5" s="9" t="s">
        <v>81</v>
      </c>
      <c r="L5" s="10">
        <f>_xlfn.PERCENTILE.INC(B5:B73,0.1)</f>
        <v>45.020951030753402</v>
      </c>
    </row>
    <row r="6" spans="1:16" x14ac:dyDescent="0.25">
      <c r="A6">
        <v>1958</v>
      </c>
      <c r="B6" s="7">
        <v>46.587533852819902</v>
      </c>
      <c r="C6" s="7">
        <v>37.831046502277097</v>
      </c>
      <c r="D6" s="7">
        <v>29.523991696894399</v>
      </c>
      <c r="E6" s="7">
        <v>43.569024206358698</v>
      </c>
      <c r="F6" t="s">
        <v>75</v>
      </c>
      <c r="K6" s="9" t="s">
        <v>89</v>
      </c>
      <c r="L6" s="10">
        <f>_xlfn.PERCENTILE.INC(B58:B73,0.1)</f>
        <v>42.242583241253399</v>
      </c>
    </row>
    <row r="7" spans="1:16" x14ac:dyDescent="0.25">
      <c r="A7">
        <v>1959</v>
      </c>
      <c r="B7" s="7">
        <v>54.8142954443965</v>
      </c>
      <c r="C7" s="7">
        <v>47.8322633763391</v>
      </c>
      <c r="D7" s="7">
        <v>38.364044381441602</v>
      </c>
      <c r="E7" s="7">
        <v>54.468860631799203</v>
      </c>
      <c r="F7" t="s">
        <v>75</v>
      </c>
    </row>
    <row r="8" spans="1:16" x14ac:dyDescent="0.25">
      <c r="A8">
        <v>1960</v>
      </c>
      <c r="B8" s="7">
        <v>52.510989172797501</v>
      </c>
      <c r="C8" s="7">
        <v>44.948059002453597</v>
      </c>
      <c r="D8" s="7">
        <v>37.1808884476714</v>
      </c>
      <c r="E8" s="7">
        <v>50.735263233688002</v>
      </c>
      <c r="F8" t="s">
        <v>75</v>
      </c>
    </row>
    <row r="9" spans="1:16" x14ac:dyDescent="0.25">
      <c r="A9">
        <v>1961</v>
      </c>
      <c r="B9" s="7">
        <v>50.3998564866001</v>
      </c>
      <c r="C9" s="7">
        <v>43.452442179750001</v>
      </c>
      <c r="D9" s="7">
        <v>33.383384100899903</v>
      </c>
      <c r="E9" s="7">
        <v>50.283781470189901</v>
      </c>
      <c r="F9" t="s">
        <v>75</v>
      </c>
      <c r="K9" s="18" t="s">
        <v>88</v>
      </c>
      <c r="L9" s="18" t="s">
        <v>99</v>
      </c>
      <c r="N9" s="18" t="s">
        <v>87</v>
      </c>
      <c r="O9" s="18" t="s">
        <v>100</v>
      </c>
    </row>
    <row r="10" spans="1:16" x14ac:dyDescent="0.25">
      <c r="A10">
        <v>1962</v>
      </c>
      <c r="B10" s="7">
        <v>56.603088247549302</v>
      </c>
      <c r="C10" s="7">
        <v>50.697947748655203</v>
      </c>
      <c r="D10" s="7">
        <v>41.730336990145702</v>
      </c>
      <c r="E10" s="7">
        <v>56.545050739344198</v>
      </c>
      <c r="F10" t="s">
        <v>76</v>
      </c>
      <c r="K10" s="9" t="s">
        <v>82</v>
      </c>
      <c r="L10" s="13">
        <f>AVERAGE(B78:B215)</f>
        <v>0.65730072919080185</v>
      </c>
      <c r="N10" s="9" t="s">
        <v>82</v>
      </c>
      <c r="O10" s="13">
        <f>AVERAGE(B184:B215)</f>
        <v>0.67752597587365493</v>
      </c>
    </row>
    <row r="11" spans="1:16" x14ac:dyDescent="0.25">
      <c r="A11">
        <v>1963</v>
      </c>
      <c r="B11" s="7">
        <v>49.038594901326597</v>
      </c>
      <c r="C11" s="7">
        <v>41.085289104800601</v>
      </c>
      <c r="D11" s="7">
        <v>30.560678470619699</v>
      </c>
      <c r="E11" s="7">
        <v>47.797484749719402</v>
      </c>
      <c r="F11" t="s">
        <v>75</v>
      </c>
      <c r="K11" s="9" t="s">
        <v>83</v>
      </c>
      <c r="L11" s="13">
        <f>1-L10</f>
        <v>0.34269927080919815</v>
      </c>
      <c r="N11" s="19" t="s">
        <v>83</v>
      </c>
      <c r="O11" s="20">
        <f>1-O10</f>
        <v>0.32247402412634507</v>
      </c>
    </row>
    <row r="12" spans="1:16" x14ac:dyDescent="0.25">
      <c r="A12">
        <v>1964</v>
      </c>
      <c r="B12" s="7">
        <v>52.146271762003799</v>
      </c>
      <c r="C12" s="7">
        <v>45.496545129773899</v>
      </c>
      <c r="D12" s="7">
        <v>36.002427552703203</v>
      </c>
      <c r="E12" s="7">
        <v>52.146271762003799</v>
      </c>
      <c r="F12" t="s">
        <v>76</v>
      </c>
      <c r="L12" s="8"/>
      <c r="P12" s="8"/>
    </row>
    <row r="13" spans="1:16" x14ac:dyDescent="0.25">
      <c r="A13">
        <v>1965</v>
      </c>
      <c r="B13" s="7">
        <v>43.6965282689482</v>
      </c>
      <c r="C13" s="7">
        <v>34.7167572096889</v>
      </c>
      <c r="D13" s="7">
        <v>23.577402441180102</v>
      </c>
      <c r="E13" s="7">
        <v>42.735002172925</v>
      </c>
      <c r="F13" t="s">
        <v>75</v>
      </c>
    </row>
    <row r="14" spans="1:16" x14ac:dyDescent="0.25">
      <c r="A14">
        <v>1966</v>
      </c>
      <c r="B14" s="7">
        <v>60.269665661033002</v>
      </c>
      <c r="C14" s="7">
        <v>54.171043096696401</v>
      </c>
      <c r="D14" s="7">
        <v>46.861454101701398</v>
      </c>
      <c r="E14" s="7">
        <v>60.269665661033002</v>
      </c>
      <c r="F14" t="s">
        <v>76</v>
      </c>
    </row>
    <row r="15" spans="1:16" x14ac:dyDescent="0.25">
      <c r="A15">
        <v>1967</v>
      </c>
      <c r="B15" s="7">
        <v>52.214922157890797</v>
      </c>
      <c r="C15" s="7">
        <v>44.998625339525198</v>
      </c>
      <c r="D15" s="7">
        <v>35.594850912278403</v>
      </c>
      <c r="E15" s="7">
        <v>51.977191651804098</v>
      </c>
      <c r="F15" t="s">
        <v>75</v>
      </c>
      <c r="K15" s="13" t="s">
        <v>84</v>
      </c>
      <c r="L15" s="9" t="s">
        <v>82</v>
      </c>
      <c r="M15" s="9" t="s">
        <v>83</v>
      </c>
      <c r="N15" s="9" t="s">
        <v>85</v>
      </c>
    </row>
    <row r="16" spans="1:16" x14ac:dyDescent="0.25">
      <c r="A16">
        <v>1968</v>
      </c>
      <c r="B16" s="7">
        <v>45.352056721204697</v>
      </c>
      <c r="C16" s="7">
        <v>36.6957532397957</v>
      </c>
      <c r="D16" s="7">
        <v>27.7934951667782</v>
      </c>
      <c r="E16" s="7">
        <v>42.595831663201899</v>
      </c>
      <c r="F16" t="s">
        <v>75</v>
      </c>
      <c r="K16" s="9" t="s">
        <v>80</v>
      </c>
      <c r="L16" s="14">
        <f>L4*L10</f>
        <v>37.510634611314174</v>
      </c>
      <c r="M16" s="14">
        <f>L4*L11</f>
        <v>19.557055938022724</v>
      </c>
      <c r="N16" s="14">
        <f>SUM(L16:M16)</f>
        <v>57.067690549336902</v>
      </c>
    </row>
    <row r="17" spans="1:15" x14ac:dyDescent="0.25">
      <c r="A17">
        <v>1969</v>
      </c>
      <c r="B17" s="7">
        <v>34.712315535045903</v>
      </c>
      <c r="C17" s="7">
        <v>23.130426542271199</v>
      </c>
      <c r="D17" s="7">
        <v>17.168111782593801</v>
      </c>
      <c r="E17" s="7">
        <v>27.301911873279799</v>
      </c>
      <c r="F17" t="s">
        <v>75</v>
      </c>
      <c r="K17" s="9" t="s">
        <v>81</v>
      </c>
      <c r="L17" s="14">
        <f>L5*L10</f>
        <v>29.592303941377594</v>
      </c>
      <c r="M17" s="14">
        <f>L5*L11</f>
        <v>15.42864708937581</v>
      </c>
      <c r="N17" s="14">
        <f>SUM(L17:M17)</f>
        <v>45.020951030753402</v>
      </c>
    </row>
    <row r="18" spans="1:15" x14ac:dyDescent="0.25">
      <c r="A18">
        <v>1970</v>
      </c>
      <c r="B18" s="7">
        <v>49.9965947469559</v>
      </c>
      <c r="C18" s="7">
        <v>42.358489716886197</v>
      </c>
      <c r="D18" s="7">
        <v>33.483394479027602</v>
      </c>
      <c r="E18" s="7">
        <v>48.262164310017297</v>
      </c>
      <c r="F18" t="s">
        <v>75</v>
      </c>
      <c r="K18" s="9" t="s">
        <v>86</v>
      </c>
      <c r="L18" s="14">
        <f>L6*O10</f>
        <v>28.620447433954311</v>
      </c>
      <c r="M18" s="14">
        <f>L6*O11</f>
        <v>13.622135807299088</v>
      </c>
      <c r="N18" s="14">
        <f>SUM(L18:M18)</f>
        <v>42.242583241253399</v>
      </c>
    </row>
    <row r="19" spans="1:15" x14ac:dyDescent="0.25">
      <c r="A19">
        <v>1971</v>
      </c>
      <c r="B19" s="7">
        <v>38.421448747067998</v>
      </c>
      <c r="C19" s="7">
        <v>26.612520646473499</v>
      </c>
      <c r="D19" s="7">
        <v>18.000140122424199</v>
      </c>
      <c r="E19" s="7">
        <v>33.530112926663399</v>
      </c>
      <c r="F19" t="s">
        <v>75</v>
      </c>
    </row>
    <row r="20" spans="1:15" x14ac:dyDescent="0.25">
      <c r="A20">
        <v>1972</v>
      </c>
      <c r="B20" s="7">
        <v>49.803845786572502</v>
      </c>
      <c r="C20" s="7">
        <v>42.152812750630403</v>
      </c>
      <c r="D20" s="7">
        <v>31.794499611075398</v>
      </c>
      <c r="E20" s="7">
        <v>49.4517144060557</v>
      </c>
      <c r="F20" t="s">
        <v>75</v>
      </c>
    </row>
    <row r="21" spans="1:15" x14ac:dyDescent="0.25">
      <c r="A21">
        <v>1973</v>
      </c>
      <c r="B21" s="7">
        <v>60.187582479758703</v>
      </c>
      <c r="C21" s="7">
        <v>54.547898059319401</v>
      </c>
      <c r="D21" s="7">
        <v>46.950967981395699</v>
      </c>
      <c r="E21" s="7">
        <v>60.187582479758703</v>
      </c>
      <c r="F21" t="s">
        <v>76</v>
      </c>
    </row>
    <row r="22" spans="1:15" x14ac:dyDescent="0.25">
      <c r="A22">
        <v>1974</v>
      </c>
      <c r="B22" s="7">
        <v>57.036416990917097</v>
      </c>
      <c r="C22" s="7">
        <v>50.922644918488302</v>
      </c>
      <c r="D22" s="7">
        <v>42.984278206222001</v>
      </c>
      <c r="E22" s="7">
        <v>56.889090737980197</v>
      </c>
      <c r="F22" t="s">
        <v>76</v>
      </c>
    </row>
    <row r="23" spans="1:15" x14ac:dyDescent="0.25">
      <c r="A23">
        <v>1975</v>
      </c>
      <c r="B23" s="7">
        <v>57.067690549336902</v>
      </c>
      <c r="C23" s="7">
        <v>50.324018994609901</v>
      </c>
      <c r="D23" s="7">
        <v>41.220689492111603</v>
      </c>
      <c r="E23" s="7">
        <v>57.067690549336902</v>
      </c>
      <c r="F23" t="s">
        <v>75</v>
      </c>
    </row>
    <row r="24" spans="1:15" x14ac:dyDescent="0.25">
      <c r="A24">
        <v>1976</v>
      </c>
      <c r="B24" s="7">
        <v>46.814397418751</v>
      </c>
      <c r="C24" s="7">
        <v>39.099629775159002</v>
      </c>
      <c r="D24" s="7">
        <v>27.249855709054</v>
      </c>
      <c r="E24" s="7">
        <v>46.814397418751</v>
      </c>
      <c r="F24" t="s">
        <v>75</v>
      </c>
    </row>
    <row r="25" spans="1:15" x14ac:dyDescent="0.25">
      <c r="A25">
        <v>1977</v>
      </c>
      <c r="B25" s="7">
        <v>46.945041292153498</v>
      </c>
      <c r="C25" s="7">
        <v>38.659520734297601</v>
      </c>
      <c r="D25" s="7">
        <v>27.273245570228202</v>
      </c>
      <c r="E25" s="7">
        <v>46.885329641968497</v>
      </c>
      <c r="F25" t="s">
        <v>75</v>
      </c>
    </row>
    <row r="26" spans="1:15" x14ac:dyDescent="0.25">
      <c r="A26">
        <v>1978</v>
      </c>
      <c r="B26" s="7">
        <v>60.397966321898998</v>
      </c>
      <c r="C26" s="7">
        <v>54.686369578008502</v>
      </c>
      <c r="D26" s="7">
        <v>48.898207264078302</v>
      </c>
      <c r="E26" s="7">
        <v>60.338812719040597</v>
      </c>
      <c r="F26" t="s">
        <v>76</v>
      </c>
      <c r="N26" s="12"/>
    </row>
    <row r="27" spans="1:15" x14ac:dyDescent="0.25">
      <c r="A27">
        <v>1979</v>
      </c>
      <c r="B27" s="7">
        <v>65.547459637861905</v>
      </c>
      <c r="C27" s="7">
        <v>60.0571721302966</v>
      </c>
      <c r="D27" s="7">
        <v>54.419202087620697</v>
      </c>
      <c r="E27" s="7">
        <v>65.547459637861905</v>
      </c>
      <c r="F27" t="s">
        <v>76</v>
      </c>
    </row>
    <row r="28" spans="1:15" x14ac:dyDescent="0.25">
      <c r="A28">
        <v>1980</v>
      </c>
      <c r="B28" s="7">
        <v>68.947770936151699</v>
      </c>
      <c r="C28" s="7">
        <v>63.199788029738997</v>
      </c>
      <c r="D28" s="7">
        <v>57.206639927547798</v>
      </c>
      <c r="E28" s="7">
        <v>68.947770936151699</v>
      </c>
      <c r="F28" t="s">
        <v>76</v>
      </c>
    </row>
    <row r="29" spans="1:15" x14ac:dyDescent="0.25">
      <c r="A29">
        <v>1981</v>
      </c>
      <c r="B29" s="7">
        <v>64.715332947227694</v>
      </c>
      <c r="C29" s="7">
        <v>59.187214825154697</v>
      </c>
      <c r="D29" s="7">
        <v>53.494999933033597</v>
      </c>
      <c r="E29" s="7">
        <v>64.715332947227694</v>
      </c>
      <c r="F29" t="s">
        <v>76</v>
      </c>
      <c r="O29" s="11"/>
    </row>
    <row r="30" spans="1:15" x14ac:dyDescent="0.25">
      <c r="A30">
        <v>1982</v>
      </c>
      <c r="B30" s="7">
        <v>58.720626730821103</v>
      </c>
      <c r="C30" s="7">
        <v>51.929251813787701</v>
      </c>
      <c r="D30" s="7">
        <v>44.690675096846398</v>
      </c>
      <c r="E30" s="7">
        <v>58.720626730821103</v>
      </c>
      <c r="F30" t="s">
        <v>75</v>
      </c>
      <c r="M30" s="11"/>
    </row>
    <row r="31" spans="1:15" x14ac:dyDescent="0.25">
      <c r="A31">
        <v>1983</v>
      </c>
      <c r="B31" s="7">
        <v>75.329828376684802</v>
      </c>
      <c r="C31" s="7">
        <v>71.016124380128801</v>
      </c>
      <c r="D31" s="7">
        <v>66.373495519598805</v>
      </c>
      <c r="E31" s="7">
        <v>75.329828376684802</v>
      </c>
      <c r="F31" t="s">
        <v>76</v>
      </c>
    </row>
    <row r="32" spans="1:15" x14ac:dyDescent="0.25">
      <c r="A32">
        <v>1984</v>
      </c>
      <c r="B32" s="7">
        <v>71.812155317601693</v>
      </c>
      <c r="C32" s="7">
        <v>67.517253412305905</v>
      </c>
      <c r="D32" s="7">
        <v>62.8267593107945</v>
      </c>
      <c r="E32" s="7">
        <v>71.812155317601693</v>
      </c>
      <c r="F32" t="s">
        <v>76</v>
      </c>
    </row>
    <row r="33" spans="1:6" x14ac:dyDescent="0.25">
      <c r="A33">
        <v>1985</v>
      </c>
      <c r="B33" s="7">
        <v>73.613827266817907</v>
      </c>
      <c r="C33" s="7">
        <v>68.345598842056603</v>
      </c>
      <c r="D33" s="7">
        <v>62.8004769954659</v>
      </c>
      <c r="E33" s="7">
        <v>73.613827266817907</v>
      </c>
      <c r="F33" t="s">
        <v>76</v>
      </c>
    </row>
    <row r="34" spans="1:6" x14ac:dyDescent="0.25">
      <c r="A34">
        <v>1986</v>
      </c>
      <c r="B34" s="7">
        <v>65.482687084659702</v>
      </c>
      <c r="C34" s="7">
        <v>59.788199181213301</v>
      </c>
      <c r="D34" s="7">
        <v>53.806694877432399</v>
      </c>
      <c r="E34" s="7">
        <v>65.482687084659702</v>
      </c>
      <c r="F34" t="s">
        <v>76</v>
      </c>
    </row>
    <row r="35" spans="1:6" x14ac:dyDescent="0.25">
      <c r="A35">
        <v>1987</v>
      </c>
      <c r="B35" s="7">
        <v>75.839576707196898</v>
      </c>
      <c r="C35" s="7">
        <v>70.720149843376007</v>
      </c>
      <c r="D35" s="7">
        <v>65.246438381997805</v>
      </c>
      <c r="E35" s="7">
        <v>75.839576707196898</v>
      </c>
      <c r="F35" t="s">
        <v>76</v>
      </c>
    </row>
    <row r="36" spans="1:6" x14ac:dyDescent="0.25">
      <c r="A36">
        <v>1988</v>
      </c>
      <c r="B36" s="7">
        <v>79.971878683829999</v>
      </c>
      <c r="C36" s="7">
        <v>75.821005276125902</v>
      </c>
      <c r="D36" s="7">
        <v>71.616254743976697</v>
      </c>
      <c r="E36" s="7">
        <v>79.971878683829999</v>
      </c>
      <c r="F36" t="s">
        <v>76</v>
      </c>
    </row>
    <row r="37" spans="1:6" x14ac:dyDescent="0.25">
      <c r="A37">
        <v>1989</v>
      </c>
      <c r="B37" s="7">
        <v>65.228167279456102</v>
      </c>
      <c r="C37" s="7">
        <v>59.2344123825048</v>
      </c>
      <c r="D37" s="7">
        <v>52.890036023400299</v>
      </c>
      <c r="E37" s="7">
        <v>65.228167279456102</v>
      </c>
      <c r="F37" t="s">
        <v>76</v>
      </c>
    </row>
    <row r="38" spans="1:6" x14ac:dyDescent="0.25">
      <c r="A38">
        <v>1990</v>
      </c>
      <c r="B38" s="7">
        <v>58.419666227095199</v>
      </c>
      <c r="C38" s="7">
        <v>52.632019661646801</v>
      </c>
      <c r="D38" s="7">
        <v>45.405592987277899</v>
      </c>
      <c r="E38" s="7">
        <v>58.419666227095199</v>
      </c>
      <c r="F38" t="s">
        <v>76</v>
      </c>
    </row>
    <row r="39" spans="1:6" x14ac:dyDescent="0.25">
      <c r="A39">
        <v>1991</v>
      </c>
      <c r="B39" s="7">
        <v>60.2093463254973</v>
      </c>
      <c r="C39" s="7">
        <v>53.440130295333802</v>
      </c>
      <c r="D39" s="7">
        <v>46.357066949371301</v>
      </c>
      <c r="E39" s="7">
        <v>60.2093463254973</v>
      </c>
      <c r="F39" t="s">
        <v>75</v>
      </c>
    </row>
    <row r="40" spans="1:6" x14ac:dyDescent="0.25">
      <c r="A40">
        <v>1992</v>
      </c>
      <c r="B40" s="7">
        <v>68.162938756449606</v>
      </c>
      <c r="C40" s="7">
        <v>62.860635657568899</v>
      </c>
      <c r="D40" s="7">
        <v>57.041104330937898</v>
      </c>
      <c r="E40" s="7">
        <v>68.162938756449606</v>
      </c>
      <c r="F40" t="s">
        <v>76</v>
      </c>
    </row>
    <row r="41" spans="1:6" x14ac:dyDescent="0.25">
      <c r="A41">
        <v>1993</v>
      </c>
      <c r="B41" s="7">
        <v>66.989007492017905</v>
      </c>
      <c r="C41" s="7">
        <v>61.4848072783643</v>
      </c>
      <c r="D41" s="7">
        <v>55.8065215293961</v>
      </c>
      <c r="E41" s="7">
        <v>66.989007492017905</v>
      </c>
      <c r="F41" t="s">
        <v>76</v>
      </c>
    </row>
    <row r="42" spans="1:6" x14ac:dyDescent="0.25">
      <c r="A42">
        <v>1994</v>
      </c>
      <c r="B42" s="7">
        <v>60.951309309567598</v>
      </c>
      <c r="C42" s="7">
        <v>54.797293490763501</v>
      </c>
      <c r="D42" s="7">
        <v>48.158399752089402</v>
      </c>
      <c r="E42" s="7">
        <v>60.951309309567598</v>
      </c>
      <c r="F42" t="s">
        <v>76</v>
      </c>
    </row>
    <row r="43" spans="1:6" x14ac:dyDescent="0.25">
      <c r="A43">
        <v>1995</v>
      </c>
      <c r="B43" s="7">
        <v>61.237302983993203</v>
      </c>
      <c r="C43" s="7">
        <v>55.589716613408903</v>
      </c>
      <c r="D43" s="7">
        <v>48.049641220287597</v>
      </c>
      <c r="E43" s="7">
        <v>61.237302983993203</v>
      </c>
      <c r="F43" t="s">
        <v>76</v>
      </c>
    </row>
    <row r="44" spans="1:6" x14ac:dyDescent="0.25">
      <c r="A44">
        <v>1996</v>
      </c>
      <c r="B44" s="7">
        <v>53.637859719938902</v>
      </c>
      <c r="C44" s="7">
        <v>47.380959082940201</v>
      </c>
      <c r="D44" s="7">
        <v>38.569438806622102</v>
      </c>
      <c r="E44" s="7">
        <v>53.340584977865298</v>
      </c>
      <c r="F44" t="s">
        <v>75</v>
      </c>
    </row>
    <row r="45" spans="1:6" x14ac:dyDescent="0.25">
      <c r="A45">
        <v>1997</v>
      </c>
      <c r="B45" s="7">
        <v>41.533996774671401</v>
      </c>
      <c r="C45" s="7">
        <v>31.136831287369599</v>
      </c>
      <c r="D45" s="7">
        <v>23.751933229706701</v>
      </c>
      <c r="E45" s="7">
        <v>36.182710140361799</v>
      </c>
      <c r="F45" t="s">
        <v>75</v>
      </c>
    </row>
    <row r="46" spans="1:6" x14ac:dyDescent="0.25">
      <c r="A46">
        <v>1998</v>
      </c>
      <c r="B46" s="7">
        <v>57.340882618089601</v>
      </c>
      <c r="C46" s="7">
        <v>51.041767741417303</v>
      </c>
      <c r="D46" s="7">
        <v>42.530797268844303</v>
      </c>
      <c r="E46" s="7">
        <v>57.340882618089601</v>
      </c>
      <c r="F46" t="s">
        <v>76</v>
      </c>
    </row>
    <row r="47" spans="1:6" x14ac:dyDescent="0.25">
      <c r="A47">
        <v>1999</v>
      </c>
      <c r="B47" s="7">
        <v>49.404757654696297</v>
      </c>
      <c r="C47" s="7">
        <v>40.6762035489784</v>
      </c>
      <c r="D47" s="7">
        <v>34.098808609156301</v>
      </c>
      <c r="E47" s="7">
        <v>46.367661514846198</v>
      </c>
      <c r="F47" t="s">
        <v>75</v>
      </c>
    </row>
    <row r="48" spans="1:6" x14ac:dyDescent="0.25">
      <c r="A48">
        <v>2000</v>
      </c>
      <c r="B48" s="7">
        <v>54.111357296112999</v>
      </c>
      <c r="C48" s="7">
        <v>47.553154247218004</v>
      </c>
      <c r="D48" s="7">
        <v>39.101085343140703</v>
      </c>
      <c r="E48" s="7">
        <v>54.053989444699901</v>
      </c>
      <c r="F48" t="s">
        <v>75</v>
      </c>
    </row>
    <row r="49" spans="1:6" x14ac:dyDescent="0.25">
      <c r="A49">
        <v>2001</v>
      </c>
      <c r="B49" s="7">
        <v>60.850944497872803</v>
      </c>
      <c r="C49" s="7">
        <v>54.990214882057998</v>
      </c>
      <c r="D49" s="7">
        <v>48.540320679392998</v>
      </c>
      <c r="E49" s="7">
        <v>60.7921257234104</v>
      </c>
      <c r="F49" t="s">
        <v>76</v>
      </c>
    </row>
    <row r="50" spans="1:6" x14ac:dyDescent="0.25">
      <c r="A50">
        <v>2002</v>
      </c>
      <c r="B50" s="7">
        <v>63.068323228352298</v>
      </c>
      <c r="C50" s="7">
        <v>57.144292241216398</v>
      </c>
      <c r="D50" s="7">
        <v>51.004942492391599</v>
      </c>
      <c r="E50" s="7">
        <v>63.068323228352298</v>
      </c>
      <c r="F50" t="s">
        <v>76</v>
      </c>
    </row>
    <row r="51" spans="1:6" x14ac:dyDescent="0.25">
      <c r="A51">
        <v>2003</v>
      </c>
      <c r="B51" s="7">
        <v>65.949276034930094</v>
      </c>
      <c r="C51" s="7">
        <v>60.542028618864201</v>
      </c>
      <c r="D51" s="7">
        <v>55.006455266387398</v>
      </c>
      <c r="E51" s="7">
        <v>65.949276034930094</v>
      </c>
      <c r="F51" t="s">
        <v>76</v>
      </c>
    </row>
    <row r="52" spans="1:6" x14ac:dyDescent="0.25">
      <c r="A52">
        <v>2004</v>
      </c>
      <c r="B52" s="7">
        <v>63.225296947095998</v>
      </c>
      <c r="C52" s="7">
        <v>57.705794771390899</v>
      </c>
      <c r="D52" s="7">
        <v>51.546487164629397</v>
      </c>
      <c r="E52" s="7">
        <v>63.225296947095998</v>
      </c>
      <c r="F52" t="s">
        <v>76</v>
      </c>
    </row>
    <row r="53" spans="1:6" x14ac:dyDescent="0.25">
      <c r="A53">
        <v>2005</v>
      </c>
      <c r="B53" s="7">
        <v>53.086887847173202</v>
      </c>
      <c r="C53" s="7">
        <v>45.8002547212838</v>
      </c>
      <c r="D53" s="7">
        <v>37.793162564710997</v>
      </c>
      <c r="E53" s="7">
        <v>53.086887847173202</v>
      </c>
      <c r="F53" t="s">
        <v>75</v>
      </c>
    </row>
    <row r="54" spans="1:6" x14ac:dyDescent="0.25">
      <c r="A54">
        <v>2006</v>
      </c>
      <c r="B54" s="7">
        <v>71.844309418327001</v>
      </c>
      <c r="C54" s="7">
        <v>66.742430797987296</v>
      </c>
      <c r="D54" s="7">
        <v>61.381500419441203</v>
      </c>
      <c r="E54" s="7">
        <v>71.844309418327001</v>
      </c>
      <c r="F54" t="s">
        <v>76</v>
      </c>
    </row>
    <row r="55" spans="1:6" x14ac:dyDescent="0.25">
      <c r="A55">
        <v>2007</v>
      </c>
      <c r="B55" s="7">
        <v>69.0799996639618</v>
      </c>
      <c r="C55" s="7">
        <v>64.067546369008895</v>
      </c>
      <c r="D55" s="7">
        <v>58.795957608750697</v>
      </c>
      <c r="E55" s="7">
        <v>69.0799996639618</v>
      </c>
      <c r="F55" t="s">
        <v>76</v>
      </c>
    </row>
    <row r="56" spans="1:6" x14ac:dyDescent="0.25">
      <c r="A56">
        <v>2008</v>
      </c>
      <c r="B56" s="7">
        <v>67.999704332936403</v>
      </c>
      <c r="C56" s="7">
        <v>62.304410778278402</v>
      </c>
      <c r="D56" s="7">
        <v>56.205666311645402</v>
      </c>
      <c r="E56" s="7">
        <v>67.999704332936403</v>
      </c>
      <c r="F56" t="s">
        <v>76</v>
      </c>
    </row>
    <row r="57" spans="1:6" x14ac:dyDescent="0.25">
      <c r="A57">
        <v>2009</v>
      </c>
      <c r="B57" s="7">
        <v>68.989071432560394</v>
      </c>
      <c r="C57" s="7">
        <v>64.296922929090996</v>
      </c>
      <c r="D57" s="7">
        <v>59.3580669561604</v>
      </c>
      <c r="E57" s="7">
        <v>68.989071432560394</v>
      </c>
      <c r="F57" t="s">
        <v>76</v>
      </c>
    </row>
    <row r="58" spans="1:6" x14ac:dyDescent="0.25">
      <c r="A58">
        <v>2010</v>
      </c>
      <c r="B58" s="7">
        <v>59.706517781835501</v>
      </c>
      <c r="C58" s="7">
        <v>53.669958028110102</v>
      </c>
      <c r="D58" s="7">
        <v>46.093496213061499</v>
      </c>
      <c r="E58" s="7">
        <v>59.588545404514797</v>
      </c>
      <c r="F58" t="s">
        <v>76</v>
      </c>
    </row>
    <row r="59" spans="1:6" x14ac:dyDescent="0.25">
      <c r="A59">
        <v>2011</v>
      </c>
      <c r="B59" s="7">
        <v>42.503274756771901</v>
      </c>
      <c r="C59" s="7">
        <v>32.770556740674103</v>
      </c>
      <c r="D59" s="7">
        <v>23.755666059690601</v>
      </c>
      <c r="E59" s="7">
        <v>38.845565391444197</v>
      </c>
      <c r="F59" t="s">
        <v>75</v>
      </c>
    </row>
    <row r="60" spans="1:6" x14ac:dyDescent="0.25">
      <c r="A60">
        <v>2012</v>
      </c>
      <c r="B60" s="7">
        <v>50.373388888133299</v>
      </c>
      <c r="C60" s="7">
        <v>42.962113569374402</v>
      </c>
      <c r="D60" s="7">
        <v>32.469064897042003</v>
      </c>
      <c r="E60" s="7">
        <v>49.898373727585998</v>
      </c>
      <c r="F60" t="s">
        <v>75</v>
      </c>
    </row>
    <row r="61" spans="1:6" x14ac:dyDescent="0.25">
      <c r="A61">
        <v>2013</v>
      </c>
      <c r="B61" s="7">
        <v>48.9615006631524</v>
      </c>
      <c r="C61" s="7">
        <v>41.225904088984201</v>
      </c>
      <c r="D61" s="7">
        <v>30.711584738096999</v>
      </c>
      <c r="E61" s="7">
        <v>48.726058151105001</v>
      </c>
      <c r="F61" t="s">
        <v>75</v>
      </c>
    </row>
    <row r="62" spans="1:6" x14ac:dyDescent="0.25">
      <c r="A62">
        <v>2014</v>
      </c>
      <c r="B62" s="7">
        <v>50.205120291498503</v>
      </c>
      <c r="C62" s="7">
        <v>42.890874115772</v>
      </c>
      <c r="D62" s="7">
        <v>32.489473882722798</v>
      </c>
      <c r="E62" s="7">
        <v>49.971351921431001</v>
      </c>
      <c r="F62" t="s">
        <v>75</v>
      </c>
    </row>
    <row r="63" spans="1:6" x14ac:dyDescent="0.25">
      <c r="A63">
        <v>2015</v>
      </c>
      <c r="B63" s="7">
        <v>48.005693943516803</v>
      </c>
      <c r="C63" s="7">
        <v>38.220789404493601</v>
      </c>
      <c r="D63" s="7">
        <v>30.755655686166801</v>
      </c>
      <c r="E63" s="7">
        <v>44.327509517419699</v>
      </c>
      <c r="F63" t="s">
        <v>75</v>
      </c>
    </row>
    <row r="64" spans="1:6" x14ac:dyDescent="0.25">
      <c r="A64">
        <v>2016</v>
      </c>
      <c r="B64" s="7">
        <v>58.342661862728498</v>
      </c>
      <c r="C64" s="7">
        <v>51.971564179513798</v>
      </c>
      <c r="D64" s="7">
        <v>44.015579676215999</v>
      </c>
      <c r="E64" s="7">
        <v>58.117040983629799</v>
      </c>
      <c r="F64" t="s">
        <v>76</v>
      </c>
    </row>
    <row r="65" spans="1:10" x14ac:dyDescent="0.25">
      <c r="A65">
        <v>2017</v>
      </c>
      <c r="B65" s="7">
        <v>60.172632391878203</v>
      </c>
      <c r="C65" s="7">
        <v>54.4395657861511</v>
      </c>
      <c r="D65" s="7">
        <v>46.866294524985001</v>
      </c>
      <c r="E65" s="7">
        <v>60.172632391878203</v>
      </c>
      <c r="F65" t="s">
        <v>76</v>
      </c>
    </row>
    <row r="66" spans="1:10" x14ac:dyDescent="0.25">
      <c r="A66">
        <v>2018</v>
      </c>
      <c r="B66" s="7">
        <v>48.349099526906301</v>
      </c>
      <c r="C66" s="7">
        <v>40.523819843010898</v>
      </c>
      <c r="D66" s="7">
        <v>31.668655338937601</v>
      </c>
      <c r="E66" s="7">
        <v>46.461594363331102</v>
      </c>
      <c r="F66" t="s">
        <v>75</v>
      </c>
    </row>
    <row r="67" spans="1:10" x14ac:dyDescent="0.25">
      <c r="A67">
        <v>2019</v>
      </c>
      <c r="B67" s="7">
        <v>46.251550298874498</v>
      </c>
      <c r="C67" s="7">
        <v>38.488678693846801</v>
      </c>
      <c r="D67" s="7">
        <v>27.338703878277901</v>
      </c>
      <c r="E67" s="7">
        <v>46.251550298874498</v>
      </c>
      <c r="F67" t="s">
        <v>75</v>
      </c>
      <c r="J67" s="12"/>
    </row>
    <row r="68" spans="1:10" x14ac:dyDescent="0.25">
      <c r="A68">
        <v>2020</v>
      </c>
      <c r="B68" s="7">
        <v>41.981891725734897</v>
      </c>
      <c r="C68" s="7">
        <v>33.761635411439102</v>
      </c>
      <c r="D68" s="7">
        <v>21.654312278687598</v>
      </c>
      <c r="E68" s="7">
        <v>41.693322521956702</v>
      </c>
      <c r="F68" t="s">
        <v>75</v>
      </c>
    </row>
    <row r="69" spans="1:10" x14ac:dyDescent="0.25">
      <c r="A69">
        <v>2021</v>
      </c>
      <c r="B69" s="7">
        <v>49.345219585417901</v>
      </c>
      <c r="C69" s="7">
        <v>41.393647771826402</v>
      </c>
      <c r="D69" s="7">
        <v>29.706582798711199</v>
      </c>
      <c r="E69" s="7">
        <v>49.345219585417901</v>
      </c>
      <c r="F69" t="s">
        <v>75</v>
      </c>
    </row>
    <row r="70" spans="1:10" x14ac:dyDescent="0.25">
      <c r="A70">
        <v>2022</v>
      </c>
      <c r="B70" s="7">
        <v>41.018349883916798</v>
      </c>
      <c r="C70" s="7">
        <v>32.470643168010199</v>
      </c>
      <c r="D70" s="7">
        <v>21.647154527122801</v>
      </c>
      <c r="E70" s="7">
        <v>40.378039932750397</v>
      </c>
      <c r="F70" t="s">
        <v>75</v>
      </c>
    </row>
    <row r="71" spans="1:10" x14ac:dyDescent="0.25">
      <c r="A71">
        <v>2023</v>
      </c>
      <c r="B71" s="7">
        <v>50.6356147406823</v>
      </c>
      <c r="C71" s="7">
        <v>43.532409121760402</v>
      </c>
      <c r="D71" s="7">
        <v>32.166188442379202</v>
      </c>
      <c r="E71" s="7">
        <v>50.6356147406823</v>
      </c>
      <c r="F71" t="s">
        <v>75</v>
      </c>
    </row>
    <row r="72" spans="1:10" x14ac:dyDescent="0.25">
      <c r="A72">
        <v>2024</v>
      </c>
      <c r="B72" s="7">
        <v>60.758125072269401</v>
      </c>
      <c r="C72" s="7">
        <v>54.992568669305697</v>
      </c>
      <c r="D72" s="7">
        <v>48.974433011484201</v>
      </c>
      <c r="E72" s="7">
        <v>60.758125072269401</v>
      </c>
      <c r="F72" t="s">
        <v>76</v>
      </c>
    </row>
    <row r="73" spans="1:10" x14ac:dyDescent="0.25">
      <c r="A73">
        <v>2025</v>
      </c>
      <c r="B73" s="7">
        <v>64.940242761280302</v>
      </c>
      <c r="C73" s="7">
        <v>59.381767450873703</v>
      </c>
      <c r="D73" s="7">
        <v>53.738886591723499</v>
      </c>
      <c r="E73" s="7">
        <v>64.940242761280302</v>
      </c>
      <c r="F73" t="s">
        <v>76</v>
      </c>
    </row>
    <row r="74" spans="1:10" x14ac:dyDescent="0.25">
      <c r="C74" s="5"/>
      <c r="D74" s="5"/>
      <c r="E74" s="5"/>
      <c r="F74" s="5"/>
    </row>
    <row r="75" spans="1:10" x14ac:dyDescent="0.25">
      <c r="I75" s="11"/>
    </row>
    <row r="77" spans="1:10" x14ac:dyDescent="0.25">
      <c r="A77" t="s">
        <v>69</v>
      </c>
      <c r="B77" t="s">
        <v>90</v>
      </c>
      <c r="C77" t="s">
        <v>77</v>
      </c>
      <c r="D77" t="s">
        <v>78</v>
      </c>
      <c r="E77" t="s">
        <v>79</v>
      </c>
      <c r="F77" t="s">
        <v>70</v>
      </c>
      <c r="G77" t="s">
        <v>74</v>
      </c>
    </row>
    <row r="78" spans="1:10" x14ac:dyDescent="0.25">
      <c r="A78">
        <v>1957</v>
      </c>
      <c r="B78">
        <f>F78/LOOKUP(A78,$A$5:$A$73,$B$5:$B$73)</f>
        <v>0.66874792753744838</v>
      </c>
      <c r="C78">
        <v>1</v>
      </c>
      <c r="D78" s="6">
        <v>20729</v>
      </c>
      <c r="E78" s="6">
        <v>20910</v>
      </c>
      <c r="F78" s="8">
        <v>31.261482655846201</v>
      </c>
      <c r="G78" t="s">
        <v>75</v>
      </c>
      <c r="H78" s="8"/>
    </row>
    <row r="79" spans="1:10" x14ac:dyDescent="0.25">
      <c r="A79">
        <v>1957</v>
      </c>
      <c r="C79">
        <v>2</v>
      </c>
      <c r="D79" s="6">
        <v>20911</v>
      </c>
      <c r="E79" s="6">
        <v>21093</v>
      </c>
      <c r="F79" s="8">
        <v>15.484804500453899</v>
      </c>
      <c r="G79" t="s">
        <v>75</v>
      </c>
    </row>
    <row r="80" spans="1:10" x14ac:dyDescent="0.25">
      <c r="A80">
        <v>1958</v>
      </c>
      <c r="B80">
        <f>F80/LOOKUP(A80,$A$5:$A$73,$B$5:$B$73)</f>
        <v>0.71722198126027026</v>
      </c>
      <c r="C80">
        <v>1</v>
      </c>
      <c r="D80" s="6">
        <v>21094</v>
      </c>
      <c r="E80" s="6">
        <v>21275</v>
      </c>
      <c r="F80" s="8">
        <v>33.413603331949403</v>
      </c>
      <c r="G80" t="s">
        <v>75</v>
      </c>
      <c r="H80" s="8"/>
    </row>
    <row r="81" spans="1:10" x14ac:dyDescent="0.25">
      <c r="A81">
        <v>1958</v>
      </c>
      <c r="C81">
        <v>2</v>
      </c>
      <c r="D81" s="6">
        <v>21276</v>
      </c>
      <c r="E81" s="6">
        <v>21458</v>
      </c>
      <c r="F81" s="8">
        <v>13.1739305208704</v>
      </c>
      <c r="G81" t="s">
        <v>75</v>
      </c>
    </row>
    <row r="82" spans="1:10" x14ac:dyDescent="0.25">
      <c r="A82">
        <v>1959</v>
      </c>
      <c r="B82">
        <f>F82/LOOKUP(A82,$A$5:$A$73,$B$5:$B$73)</f>
        <v>0.69366109327338132</v>
      </c>
      <c r="C82">
        <v>1</v>
      </c>
      <c r="D82" s="6">
        <v>21459</v>
      </c>
      <c r="E82" s="6">
        <v>21640</v>
      </c>
      <c r="F82" s="8">
        <v>38.022544104970201</v>
      </c>
      <c r="G82" t="s">
        <v>75</v>
      </c>
      <c r="H82" s="8"/>
    </row>
    <row r="83" spans="1:10" x14ac:dyDescent="0.25">
      <c r="A83">
        <v>1959</v>
      </c>
      <c r="C83">
        <v>2</v>
      </c>
      <c r="D83" s="6">
        <v>21641</v>
      </c>
      <c r="E83" s="6">
        <v>21823</v>
      </c>
      <c r="F83" s="8">
        <v>16.791751339426298</v>
      </c>
      <c r="G83" t="s">
        <v>75</v>
      </c>
      <c r="J83" s="11"/>
    </row>
    <row r="84" spans="1:10" x14ac:dyDescent="0.25">
      <c r="A84">
        <v>1960</v>
      </c>
      <c r="B84">
        <f>F84/LOOKUP(A84,$A$5:$A$73,$B$5:$B$73)</f>
        <v>0.72411458803863915</v>
      </c>
      <c r="C84">
        <v>1</v>
      </c>
      <c r="D84" s="6">
        <v>21824</v>
      </c>
      <c r="E84" s="6">
        <v>22006</v>
      </c>
      <c r="F84" s="8">
        <v>38.023973292361703</v>
      </c>
      <c r="G84" t="s">
        <v>75</v>
      </c>
      <c r="H84" s="8"/>
    </row>
    <row r="85" spans="1:10" x14ac:dyDescent="0.25">
      <c r="A85">
        <v>1960</v>
      </c>
      <c r="C85">
        <v>2</v>
      </c>
      <c r="D85" s="6">
        <v>22007</v>
      </c>
      <c r="E85" s="6">
        <v>22189</v>
      </c>
      <c r="F85" s="8">
        <v>14.487015880435701</v>
      </c>
      <c r="G85" t="s">
        <v>75</v>
      </c>
    </row>
    <row r="86" spans="1:10" x14ac:dyDescent="0.25">
      <c r="A86">
        <v>1961</v>
      </c>
      <c r="B86">
        <f>F86/LOOKUP(A86,$A$5:$A$73,$B$5:$B$73)</f>
        <v>0.7050734484295389</v>
      </c>
      <c r="C86">
        <v>1</v>
      </c>
      <c r="D86" s="6">
        <v>22190</v>
      </c>
      <c r="E86" s="6">
        <v>22371</v>
      </c>
      <c r="F86" s="8">
        <v>35.535600613360998</v>
      </c>
      <c r="G86" t="s">
        <v>75</v>
      </c>
      <c r="H86" s="8"/>
    </row>
    <row r="87" spans="1:10" x14ac:dyDescent="0.25">
      <c r="A87">
        <v>1961</v>
      </c>
      <c r="C87" s="12">
        <v>2</v>
      </c>
      <c r="D87" s="6">
        <v>22372</v>
      </c>
      <c r="E87" s="6">
        <v>22554</v>
      </c>
      <c r="F87" s="8">
        <v>14.864255873238999</v>
      </c>
      <c r="G87" t="s">
        <v>75</v>
      </c>
    </row>
    <row r="88" spans="1:10" x14ac:dyDescent="0.25">
      <c r="A88">
        <v>1962</v>
      </c>
      <c r="B88">
        <f>F88/LOOKUP(A88,$A$5:$A$73,$B$5:$B$73)</f>
        <v>0.70521533605388342</v>
      </c>
      <c r="C88">
        <v>1</v>
      </c>
      <c r="D88" s="6">
        <v>22555</v>
      </c>
      <c r="E88" s="6">
        <v>22736</v>
      </c>
      <c r="F88" s="8">
        <v>39.9173659001831</v>
      </c>
      <c r="G88" t="s">
        <v>76</v>
      </c>
      <c r="H88" s="8"/>
    </row>
    <row r="89" spans="1:10" x14ac:dyDescent="0.25">
      <c r="A89">
        <v>1962</v>
      </c>
      <c r="C89">
        <v>2</v>
      </c>
      <c r="D89" s="6">
        <v>22737</v>
      </c>
      <c r="E89" s="6">
        <v>22919</v>
      </c>
      <c r="F89" s="8">
        <v>16.685722347366202</v>
      </c>
      <c r="G89" t="s">
        <v>76</v>
      </c>
    </row>
    <row r="90" spans="1:10" x14ac:dyDescent="0.25">
      <c r="A90">
        <v>1963</v>
      </c>
      <c r="B90">
        <f>F90/LOOKUP(A90,$A$5:$A$73,$B$5:$B$73)</f>
        <v>0.7081411672581851</v>
      </c>
      <c r="C90">
        <v>1</v>
      </c>
      <c r="D90" s="6">
        <v>22920</v>
      </c>
      <c r="E90" s="6">
        <v>23101</v>
      </c>
      <c r="F90" s="8">
        <v>34.726247834126703</v>
      </c>
      <c r="G90" t="s">
        <v>75</v>
      </c>
      <c r="H90" s="8"/>
    </row>
    <row r="91" spans="1:10" x14ac:dyDescent="0.25">
      <c r="A91">
        <v>1963</v>
      </c>
      <c r="C91">
        <v>2</v>
      </c>
      <c r="D91" s="6">
        <v>23102</v>
      </c>
      <c r="E91" s="6">
        <v>23284</v>
      </c>
      <c r="F91" s="8">
        <v>14.3123470671999</v>
      </c>
      <c r="G91" t="s">
        <v>75</v>
      </c>
    </row>
    <row r="92" spans="1:10" x14ac:dyDescent="0.25">
      <c r="A92">
        <v>1964</v>
      </c>
      <c r="B92">
        <f>F92/LOOKUP(A92,$A$5:$A$73,$B$5:$B$73)</f>
        <v>0.64768063472880544</v>
      </c>
      <c r="C92">
        <v>1</v>
      </c>
      <c r="D92" s="6">
        <v>23285</v>
      </c>
      <c r="E92" s="6">
        <v>23467</v>
      </c>
      <c r="F92" s="8">
        <v>33.774130393555403</v>
      </c>
      <c r="G92" t="s">
        <v>76</v>
      </c>
      <c r="H92" s="8"/>
    </row>
    <row r="93" spans="1:10" x14ac:dyDescent="0.25">
      <c r="A93">
        <v>1964</v>
      </c>
      <c r="C93">
        <v>2</v>
      </c>
      <c r="D93" s="6">
        <v>23468</v>
      </c>
      <c r="E93" s="6">
        <v>23650</v>
      </c>
      <c r="F93" s="8">
        <v>18.3721413684483</v>
      </c>
      <c r="G93" t="s">
        <v>76</v>
      </c>
    </row>
    <row r="94" spans="1:10" x14ac:dyDescent="0.25">
      <c r="A94">
        <v>1965</v>
      </c>
      <c r="B94">
        <f>F94/LOOKUP(A94,$A$5:$A$73,$B$5:$B$73)</f>
        <v>0.67156640118429367</v>
      </c>
      <c r="C94">
        <v>1</v>
      </c>
      <c r="D94" s="6">
        <v>23651</v>
      </c>
      <c r="E94" s="6">
        <v>23832</v>
      </c>
      <c r="F94" s="8">
        <v>29.345120233825298</v>
      </c>
      <c r="G94" t="s">
        <v>75</v>
      </c>
      <c r="H94" s="8"/>
    </row>
    <row r="95" spans="1:10" x14ac:dyDescent="0.25">
      <c r="A95">
        <v>1965</v>
      </c>
      <c r="C95">
        <v>2</v>
      </c>
      <c r="D95" s="6">
        <v>23833</v>
      </c>
      <c r="E95" s="6">
        <v>24015</v>
      </c>
      <c r="F95" s="8">
        <v>14.3514080351228</v>
      </c>
      <c r="G95" t="s">
        <v>75</v>
      </c>
      <c r="J95" s="12"/>
    </row>
    <row r="96" spans="1:10" x14ac:dyDescent="0.25">
      <c r="A96">
        <v>1966</v>
      </c>
      <c r="B96">
        <f>F96/LOOKUP(A96,$A$5:$A$73,$B$5:$B$73)</f>
        <v>0.66765868441140785</v>
      </c>
      <c r="C96">
        <v>1</v>
      </c>
      <c r="D96" s="6">
        <v>24016</v>
      </c>
      <c r="E96" s="6">
        <v>24197</v>
      </c>
      <c r="F96" s="8">
        <v>40.239565685160699</v>
      </c>
      <c r="G96" t="s">
        <v>76</v>
      </c>
      <c r="H96" s="8"/>
    </row>
    <row r="97" spans="1:8" x14ac:dyDescent="0.25">
      <c r="A97">
        <v>1966</v>
      </c>
      <c r="C97">
        <v>2</v>
      </c>
      <c r="D97" s="6">
        <v>24198</v>
      </c>
      <c r="E97" s="6">
        <v>24380</v>
      </c>
      <c r="F97" s="8">
        <v>20.0300999758723</v>
      </c>
      <c r="G97" t="s">
        <v>76</v>
      </c>
    </row>
    <row r="98" spans="1:8" x14ac:dyDescent="0.25">
      <c r="A98">
        <v>1967</v>
      </c>
      <c r="B98">
        <f>F98/LOOKUP(A98,$A$5:$A$73,$B$5:$B$73)</f>
        <v>0.68796550188948047</v>
      </c>
      <c r="C98">
        <v>1</v>
      </c>
      <c r="D98" s="6">
        <v>24381</v>
      </c>
      <c r="E98" s="6">
        <v>24562</v>
      </c>
      <c r="F98" s="8">
        <v>35.922065128473498</v>
      </c>
      <c r="G98" t="s">
        <v>75</v>
      </c>
      <c r="H98" s="8"/>
    </row>
    <row r="99" spans="1:8" x14ac:dyDescent="0.25">
      <c r="A99">
        <v>1967</v>
      </c>
      <c r="C99">
        <v>2</v>
      </c>
      <c r="D99" s="6">
        <v>24563</v>
      </c>
      <c r="E99" s="6">
        <v>24745</v>
      </c>
      <c r="F99" s="8">
        <v>16.292857029417199</v>
      </c>
      <c r="G99" t="s">
        <v>75</v>
      </c>
    </row>
    <row r="100" spans="1:8" x14ac:dyDescent="0.25">
      <c r="A100">
        <v>1968</v>
      </c>
      <c r="B100">
        <f>F100/LOOKUP(A100,$A$5:$A$73,$B$5:$B$73)</f>
        <v>0.70699608389277224</v>
      </c>
      <c r="C100">
        <v>1</v>
      </c>
      <c r="D100" s="6">
        <v>24746</v>
      </c>
      <c r="E100" s="6">
        <v>24928</v>
      </c>
      <c r="F100" s="8">
        <v>32.063726498374599</v>
      </c>
      <c r="G100" t="s">
        <v>75</v>
      </c>
      <c r="H100" s="8"/>
    </row>
    <row r="101" spans="1:8" x14ac:dyDescent="0.25">
      <c r="A101">
        <v>1968</v>
      </c>
      <c r="C101">
        <v>2</v>
      </c>
      <c r="D101" s="6">
        <v>24929</v>
      </c>
      <c r="E101" s="6">
        <v>25111</v>
      </c>
      <c r="F101" s="8">
        <v>13.28833022283</v>
      </c>
      <c r="G101" t="s">
        <v>75</v>
      </c>
    </row>
    <row r="102" spans="1:8" x14ac:dyDescent="0.25">
      <c r="A102">
        <v>1969</v>
      </c>
      <c r="B102">
        <f>F102/LOOKUP(A102,$A$5:$A$73,$B$5:$B$73)</f>
        <v>0.73202036984762042</v>
      </c>
      <c r="C102">
        <v>1</v>
      </c>
      <c r="D102" s="6">
        <v>25112</v>
      </c>
      <c r="E102" s="6">
        <v>25293</v>
      </c>
      <c r="F102" s="8">
        <v>25.4101220562316</v>
      </c>
      <c r="G102" t="s">
        <v>75</v>
      </c>
      <c r="H102" s="8"/>
    </row>
    <row r="103" spans="1:8" x14ac:dyDescent="0.25">
      <c r="A103">
        <v>1969</v>
      </c>
      <c r="C103">
        <v>2</v>
      </c>
      <c r="D103" s="6">
        <v>25294</v>
      </c>
      <c r="E103" s="6">
        <v>25476</v>
      </c>
      <c r="F103" s="8">
        <v>9.3021934788143401</v>
      </c>
      <c r="G103" t="s">
        <v>75</v>
      </c>
    </row>
    <row r="104" spans="1:8" x14ac:dyDescent="0.25">
      <c r="A104">
        <v>1970</v>
      </c>
      <c r="B104">
        <f>F104/LOOKUP(A104,$A$5:$A$73,$B$5:$B$73)</f>
        <v>0.67909878656853606</v>
      </c>
      <c r="C104">
        <v>1</v>
      </c>
      <c r="D104" s="6">
        <v>25477</v>
      </c>
      <c r="E104" s="6">
        <v>25658</v>
      </c>
      <c r="F104" s="8">
        <v>33.952626825216598</v>
      </c>
      <c r="G104" t="s">
        <v>75</v>
      </c>
      <c r="H104" s="8"/>
    </row>
    <row r="105" spans="1:8" x14ac:dyDescent="0.25">
      <c r="A105">
        <v>1970</v>
      </c>
      <c r="C105">
        <v>2</v>
      </c>
      <c r="D105" s="6">
        <v>25659</v>
      </c>
      <c r="E105" s="6">
        <v>25841</v>
      </c>
      <c r="F105" s="8">
        <v>16.043967921739299</v>
      </c>
      <c r="G105" t="s">
        <v>75</v>
      </c>
    </row>
    <row r="106" spans="1:8" x14ac:dyDescent="0.25">
      <c r="A106">
        <v>1971</v>
      </c>
      <c r="B106">
        <f>F106/LOOKUP(A106,$A$5:$A$73,$B$5:$B$73)</f>
        <v>0.67488371605579711</v>
      </c>
      <c r="C106">
        <v>1</v>
      </c>
      <c r="D106" s="6">
        <v>25842</v>
      </c>
      <c r="E106" s="6">
        <v>26023</v>
      </c>
      <c r="F106" s="8">
        <v>25.9300101066686</v>
      </c>
      <c r="G106" t="s">
        <v>75</v>
      </c>
      <c r="H106" s="8"/>
    </row>
    <row r="107" spans="1:8" x14ac:dyDescent="0.25">
      <c r="A107">
        <v>1971</v>
      </c>
      <c r="C107">
        <v>2</v>
      </c>
      <c r="D107" s="6">
        <v>26024</v>
      </c>
      <c r="E107" s="6">
        <v>26206</v>
      </c>
      <c r="F107" s="8">
        <v>12.4914386403994</v>
      </c>
      <c r="G107" t="s">
        <v>75</v>
      </c>
    </row>
    <row r="108" spans="1:8" x14ac:dyDescent="0.25">
      <c r="A108">
        <v>1972</v>
      </c>
      <c r="B108">
        <f>F108/LOOKUP(A108,$A$5:$A$73,$B$5:$B$73)</f>
        <v>0.70523042807398773</v>
      </c>
      <c r="C108">
        <v>1</v>
      </c>
      <c r="D108" s="6">
        <v>26207</v>
      </c>
      <c r="E108" s="6">
        <v>26389</v>
      </c>
      <c r="F108" s="8">
        <v>35.123187483795398</v>
      </c>
      <c r="G108" t="s">
        <v>75</v>
      </c>
      <c r="H108" s="8"/>
    </row>
    <row r="109" spans="1:8" x14ac:dyDescent="0.25">
      <c r="A109">
        <v>1972</v>
      </c>
      <c r="C109">
        <v>2</v>
      </c>
      <c r="D109" s="6">
        <v>26390</v>
      </c>
      <c r="E109" s="6">
        <v>26572</v>
      </c>
      <c r="F109" s="8">
        <v>14.6806583027771</v>
      </c>
      <c r="G109" t="s">
        <v>75</v>
      </c>
    </row>
    <row r="110" spans="1:8" x14ac:dyDescent="0.25">
      <c r="A110">
        <v>1973</v>
      </c>
      <c r="B110">
        <f>F110/LOOKUP(A110,$A$5:$A$73,$B$5:$B$73)</f>
        <v>0.61930212133935725</v>
      </c>
      <c r="C110">
        <v>1</v>
      </c>
      <c r="D110" s="6">
        <v>26573</v>
      </c>
      <c r="E110" s="6">
        <v>26754</v>
      </c>
      <c r="F110" s="8">
        <v>37.2742975080021</v>
      </c>
      <c r="G110" t="s">
        <v>76</v>
      </c>
      <c r="H110" s="8"/>
    </row>
    <row r="111" spans="1:8" x14ac:dyDescent="0.25">
      <c r="A111">
        <v>1973</v>
      </c>
      <c r="C111">
        <v>2</v>
      </c>
      <c r="D111" s="6">
        <v>26755</v>
      </c>
      <c r="E111" s="6">
        <v>26937</v>
      </c>
      <c r="F111" s="8">
        <v>22.9132849717566</v>
      </c>
      <c r="G111" t="s">
        <v>76</v>
      </c>
    </row>
    <row r="112" spans="1:8" x14ac:dyDescent="0.25">
      <c r="A112">
        <v>1974</v>
      </c>
      <c r="B112">
        <f>F112/LOOKUP(A112,$A$5:$A$73,$B$5:$B$73)</f>
        <v>0.67143984564374237</v>
      </c>
      <c r="C112">
        <v>1</v>
      </c>
      <c r="D112" s="6">
        <v>26938</v>
      </c>
      <c r="E112" s="6">
        <v>27119</v>
      </c>
      <c r="F112" s="8">
        <v>38.296523020453499</v>
      </c>
      <c r="G112" t="s">
        <v>76</v>
      </c>
      <c r="H112" s="8"/>
    </row>
    <row r="113" spans="1:8" x14ac:dyDescent="0.25">
      <c r="A113">
        <v>1974</v>
      </c>
      <c r="C113">
        <v>2</v>
      </c>
      <c r="D113" s="6">
        <v>27120</v>
      </c>
      <c r="E113" s="6">
        <v>27302</v>
      </c>
      <c r="F113" s="8">
        <v>18.739893970463601</v>
      </c>
      <c r="G113" t="s">
        <v>76</v>
      </c>
    </row>
    <row r="114" spans="1:8" x14ac:dyDescent="0.25">
      <c r="A114">
        <v>1975</v>
      </c>
      <c r="B114">
        <f>F114/LOOKUP(A114,$A$5:$A$73,$B$5:$B$73)</f>
        <v>0.67459261114924196</v>
      </c>
      <c r="C114">
        <v>1</v>
      </c>
      <c r="D114" s="6">
        <v>27303</v>
      </c>
      <c r="E114" s="6">
        <v>27484</v>
      </c>
      <c r="F114" s="8">
        <v>38.4974423799341</v>
      </c>
      <c r="G114" t="s">
        <v>75</v>
      </c>
      <c r="H114" s="8"/>
    </row>
    <row r="115" spans="1:8" x14ac:dyDescent="0.25">
      <c r="A115">
        <v>1975</v>
      </c>
      <c r="C115">
        <v>2</v>
      </c>
      <c r="D115" s="6">
        <v>27485</v>
      </c>
      <c r="E115" s="6">
        <v>27667</v>
      </c>
      <c r="F115" s="8">
        <v>18.570248169402699</v>
      </c>
      <c r="G115" t="s">
        <v>75</v>
      </c>
    </row>
    <row r="116" spans="1:8" x14ac:dyDescent="0.25">
      <c r="A116">
        <v>1976</v>
      </c>
      <c r="B116">
        <f>F116/LOOKUP(A116,$A$5:$A$73,$B$5:$B$73)</f>
        <v>0.70192758098146446</v>
      </c>
      <c r="C116">
        <v>1</v>
      </c>
      <c r="D116" s="6">
        <v>27668</v>
      </c>
      <c r="E116" s="6">
        <v>27850</v>
      </c>
      <c r="F116" s="8">
        <v>32.860316735248801</v>
      </c>
      <c r="G116" t="s">
        <v>75</v>
      </c>
      <c r="H116" s="8"/>
    </row>
    <row r="117" spans="1:8" x14ac:dyDescent="0.25">
      <c r="A117">
        <v>1976</v>
      </c>
      <c r="C117">
        <v>2</v>
      </c>
      <c r="D117" s="6">
        <v>27851</v>
      </c>
      <c r="E117" s="6">
        <v>28033</v>
      </c>
      <c r="F117" s="8">
        <v>13.954080683502101</v>
      </c>
      <c r="G117" t="s">
        <v>75</v>
      </c>
    </row>
    <row r="118" spans="1:8" x14ac:dyDescent="0.25">
      <c r="A118">
        <v>1977</v>
      </c>
      <c r="B118">
        <f>F118/LOOKUP(A118,$A$5:$A$73,$B$5:$B$73)</f>
        <v>0.63655700845303009</v>
      </c>
      <c r="C118">
        <v>1</v>
      </c>
      <c r="D118" s="6">
        <v>28034</v>
      </c>
      <c r="E118" s="6">
        <v>28215</v>
      </c>
      <c r="F118" s="8">
        <v>29.883195046637201</v>
      </c>
      <c r="G118" t="s">
        <v>75</v>
      </c>
      <c r="H118" s="8"/>
    </row>
    <row r="119" spans="1:8" x14ac:dyDescent="0.25">
      <c r="A119">
        <v>1977</v>
      </c>
      <c r="C119">
        <v>2</v>
      </c>
      <c r="D119" s="6">
        <v>28216</v>
      </c>
      <c r="E119" s="6">
        <v>28398</v>
      </c>
      <c r="F119" s="8">
        <v>17.0618462455162</v>
      </c>
      <c r="G119" t="s">
        <v>75</v>
      </c>
    </row>
    <row r="120" spans="1:8" x14ac:dyDescent="0.25">
      <c r="A120">
        <v>1978</v>
      </c>
      <c r="B120">
        <f>F120/LOOKUP(A120,$A$5:$A$73,$B$5:$B$73)</f>
        <v>0.66854945210164696</v>
      </c>
      <c r="C120">
        <v>1</v>
      </c>
      <c r="D120" s="6">
        <v>28399</v>
      </c>
      <c r="E120" s="6">
        <v>28580</v>
      </c>
      <c r="F120" s="8">
        <v>40.3790272925593</v>
      </c>
      <c r="G120" t="s">
        <v>76</v>
      </c>
      <c r="H120" s="8"/>
    </row>
    <row r="121" spans="1:8" x14ac:dyDescent="0.25">
      <c r="A121">
        <v>1978</v>
      </c>
      <c r="C121">
        <v>2</v>
      </c>
      <c r="D121" s="6">
        <v>28581</v>
      </c>
      <c r="E121" s="6">
        <v>28763</v>
      </c>
      <c r="F121" s="8">
        <v>20.018939029339599</v>
      </c>
      <c r="G121" t="s">
        <v>76</v>
      </c>
    </row>
    <row r="122" spans="1:8" x14ac:dyDescent="0.25">
      <c r="A122">
        <v>1979</v>
      </c>
      <c r="B122">
        <f>F122/LOOKUP(A122,$A$5:$A$73,$B$5:$B$73)</f>
        <v>0.63494881610156906</v>
      </c>
      <c r="C122">
        <v>1</v>
      </c>
      <c r="D122" s="6">
        <v>28764</v>
      </c>
      <c r="E122" s="6">
        <v>28945</v>
      </c>
      <c r="F122" s="8">
        <v>41.619281895525802</v>
      </c>
      <c r="G122" t="s">
        <v>76</v>
      </c>
      <c r="H122" s="8"/>
    </row>
    <row r="123" spans="1:8" x14ac:dyDescent="0.25">
      <c r="A123">
        <v>1979</v>
      </c>
      <c r="C123">
        <v>2</v>
      </c>
      <c r="D123" s="6">
        <v>28946</v>
      </c>
      <c r="E123" s="6">
        <v>29128</v>
      </c>
      <c r="F123" s="8">
        <v>23.928177742336</v>
      </c>
      <c r="G123" t="s">
        <v>76</v>
      </c>
    </row>
    <row r="124" spans="1:8" x14ac:dyDescent="0.25">
      <c r="A124">
        <v>1980</v>
      </c>
      <c r="B124">
        <f>F124/LOOKUP(A124,$A$5:$A$73,$B$5:$B$73)</f>
        <v>0.58300180278626812</v>
      </c>
      <c r="C124">
        <v>1</v>
      </c>
      <c r="D124" s="6">
        <v>29129</v>
      </c>
      <c r="E124" s="6">
        <v>29311</v>
      </c>
      <c r="F124" s="8">
        <v>40.1966747538711</v>
      </c>
      <c r="G124" t="s">
        <v>76</v>
      </c>
      <c r="H124" s="8"/>
    </row>
    <row r="125" spans="1:8" x14ac:dyDescent="0.25">
      <c r="A125">
        <v>1980</v>
      </c>
      <c r="C125">
        <v>2</v>
      </c>
      <c r="D125" s="6">
        <v>29312</v>
      </c>
      <c r="E125" s="6">
        <v>29494</v>
      </c>
      <c r="F125" s="8">
        <v>28.751096182280602</v>
      </c>
      <c r="G125" t="s">
        <v>76</v>
      </c>
    </row>
    <row r="126" spans="1:8" x14ac:dyDescent="0.25">
      <c r="A126">
        <v>1981</v>
      </c>
      <c r="B126">
        <f>F126/LOOKUP(A126,$A$5:$A$73,$B$5:$B$73)</f>
        <v>0.62961678240838581</v>
      </c>
      <c r="C126">
        <v>1</v>
      </c>
      <c r="D126" s="6">
        <v>29495</v>
      </c>
      <c r="E126" s="6">
        <v>29676</v>
      </c>
      <c r="F126" s="8">
        <v>40.7458597027209</v>
      </c>
      <c r="G126" t="s">
        <v>76</v>
      </c>
      <c r="H126" s="8"/>
    </row>
    <row r="127" spans="1:8" x14ac:dyDescent="0.25">
      <c r="A127">
        <v>1981</v>
      </c>
      <c r="C127">
        <v>2</v>
      </c>
      <c r="D127" s="6">
        <v>29677</v>
      </c>
      <c r="E127" s="6">
        <v>29859</v>
      </c>
      <c r="F127" s="8">
        <v>23.969473244506801</v>
      </c>
      <c r="G127" t="s">
        <v>76</v>
      </c>
    </row>
    <row r="128" spans="1:8" x14ac:dyDescent="0.25">
      <c r="A128">
        <v>1982</v>
      </c>
      <c r="B128">
        <f>F128/LOOKUP(A128,$A$5:$A$73,$B$5:$B$73)</f>
        <v>0.63626391866535448</v>
      </c>
      <c r="C128">
        <v>1</v>
      </c>
      <c r="D128" s="6">
        <v>29860</v>
      </c>
      <c r="E128" s="6">
        <v>30041</v>
      </c>
      <c r="F128" s="8">
        <v>37.361816070237801</v>
      </c>
      <c r="G128" t="s">
        <v>75</v>
      </c>
      <c r="H128" s="8"/>
    </row>
    <row r="129" spans="1:8" x14ac:dyDescent="0.25">
      <c r="A129">
        <v>1982</v>
      </c>
      <c r="C129">
        <v>2</v>
      </c>
      <c r="D129" s="6">
        <v>30042</v>
      </c>
      <c r="E129" s="6">
        <v>30224</v>
      </c>
      <c r="F129" s="8">
        <v>21.358810660583298</v>
      </c>
      <c r="G129" t="s">
        <v>75</v>
      </c>
    </row>
    <row r="130" spans="1:8" x14ac:dyDescent="0.25">
      <c r="A130">
        <v>1983</v>
      </c>
      <c r="B130">
        <f>F130/LOOKUP(A130,$A$5:$A$73,$B$5:$B$73)</f>
        <v>0.54953653225270127</v>
      </c>
      <c r="C130">
        <v>1</v>
      </c>
      <c r="D130" s="6">
        <v>30225</v>
      </c>
      <c r="E130" s="6">
        <v>30406</v>
      </c>
      <c r="F130" s="8">
        <v>41.396492661314497</v>
      </c>
      <c r="G130" t="s">
        <v>76</v>
      </c>
      <c r="H130" s="8"/>
    </row>
    <row r="131" spans="1:8" x14ac:dyDescent="0.25">
      <c r="A131">
        <v>1983</v>
      </c>
      <c r="C131">
        <v>2</v>
      </c>
      <c r="D131" s="6">
        <v>30407</v>
      </c>
      <c r="E131" s="6">
        <v>30589</v>
      </c>
      <c r="F131" s="8">
        <v>33.933335715370298</v>
      </c>
      <c r="G131" t="s">
        <v>76</v>
      </c>
    </row>
    <row r="132" spans="1:8" x14ac:dyDescent="0.25">
      <c r="A132">
        <v>1984</v>
      </c>
      <c r="B132">
        <f>F132/LOOKUP(A132,$A$5:$A$73,$B$5:$B$73)</f>
        <v>0.60172832934692411</v>
      </c>
      <c r="C132">
        <v>1</v>
      </c>
      <c r="D132" s="6">
        <v>30590</v>
      </c>
      <c r="E132" s="6">
        <v>30772</v>
      </c>
      <c r="F132" s="8">
        <v>43.211408246062298</v>
      </c>
      <c r="G132" t="s">
        <v>76</v>
      </c>
      <c r="H132" s="8"/>
    </row>
    <row r="133" spans="1:8" x14ac:dyDescent="0.25">
      <c r="A133">
        <v>1984</v>
      </c>
      <c r="C133">
        <v>2</v>
      </c>
      <c r="D133" s="6">
        <v>30773</v>
      </c>
      <c r="E133" s="6">
        <v>30955</v>
      </c>
      <c r="F133" s="8">
        <v>28.600747071539399</v>
      </c>
      <c r="G133" t="s">
        <v>76</v>
      </c>
    </row>
    <row r="134" spans="1:8" x14ac:dyDescent="0.25">
      <c r="A134">
        <v>1985</v>
      </c>
      <c r="B134">
        <f>F134/LOOKUP(A134,$A$5:$A$73,$B$5:$B$73)</f>
        <v>0.5712979602554269</v>
      </c>
      <c r="C134">
        <v>1</v>
      </c>
      <c r="D134" s="6">
        <v>30956</v>
      </c>
      <c r="E134" s="6">
        <v>31137</v>
      </c>
      <c r="F134" s="8">
        <v>42.0554293641284</v>
      </c>
      <c r="G134" t="s">
        <v>76</v>
      </c>
      <c r="H134" s="8"/>
    </row>
    <row r="135" spans="1:8" x14ac:dyDescent="0.25">
      <c r="A135">
        <v>1985</v>
      </c>
      <c r="C135">
        <v>2</v>
      </c>
      <c r="D135" s="6">
        <v>31138</v>
      </c>
      <c r="E135" s="6">
        <v>31320</v>
      </c>
      <c r="F135" s="8">
        <v>31.5583979026894</v>
      </c>
      <c r="G135" t="s">
        <v>76</v>
      </c>
    </row>
    <row r="136" spans="1:8" x14ac:dyDescent="0.25">
      <c r="A136">
        <v>1986</v>
      </c>
      <c r="B136">
        <f>F136/LOOKUP(A136,$A$5:$A$73,$B$5:$B$73)</f>
        <v>0.60222528970027422</v>
      </c>
      <c r="C136">
        <v>1</v>
      </c>
      <c r="D136" s="6">
        <v>31321</v>
      </c>
      <c r="E136" s="6">
        <v>31502</v>
      </c>
      <c r="F136" s="8">
        <v>39.435330199911597</v>
      </c>
      <c r="G136" t="s">
        <v>76</v>
      </c>
      <c r="H136" s="8"/>
    </row>
    <row r="137" spans="1:8" x14ac:dyDescent="0.25">
      <c r="A137">
        <v>1986</v>
      </c>
      <c r="C137">
        <v>2</v>
      </c>
      <c r="D137" s="6">
        <v>31503</v>
      </c>
      <c r="E137" s="6">
        <v>31685</v>
      </c>
      <c r="F137" s="8">
        <v>26.047356884748101</v>
      </c>
      <c r="G137" t="s">
        <v>76</v>
      </c>
    </row>
    <row r="138" spans="1:8" x14ac:dyDescent="0.25">
      <c r="A138">
        <v>1987</v>
      </c>
      <c r="B138">
        <f>F138/LOOKUP(A138,$A$5:$A$73,$B$5:$B$73)</f>
        <v>0.54594258038179833</v>
      </c>
      <c r="C138">
        <v>1</v>
      </c>
      <c r="D138" s="6">
        <v>31686</v>
      </c>
      <c r="E138" s="6">
        <v>31867</v>
      </c>
      <c r="F138" s="8">
        <v>41.404054202590402</v>
      </c>
      <c r="G138" t="s">
        <v>76</v>
      </c>
      <c r="H138" s="8"/>
    </row>
    <row r="139" spans="1:8" x14ac:dyDescent="0.25">
      <c r="A139">
        <v>1987</v>
      </c>
      <c r="C139">
        <v>2</v>
      </c>
      <c r="D139" s="6">
        <v>31868</v>
      </c>
      <c r="E139" s="6">
        <v>32050</v>
      </c>
      <c r="F139" s="8">
        <v>34.435522504606503</v>
      </c>
      <c r="G139" t="s">
        <v>76</v>
      </c>
    </row>
    <row r="140" spans="1:8" x14ac:dyDescent="0.25">
      <c r="A140">
        <v>1988</v>
      </c>
      <c r="B140">
        <f>F140/LOOKUP(A140,$A$5:$A$73,$B$5:$B$73)</f>
        <v>0.54156681536048668</v>
      </c>
      <c r="C140">
        <v>1</v>
      </c>
      <c r="D140" s="6">
        <v>32051</v>
      </c>
      <c r="E140" s="6">
        <v>32233</v>
      </c>
      <c r="F140" s="8">
        <v>43.310115657197002</v>
      </c>
      <c r="G140" t="s">
        <v>76</v>
      </c>
      <c r="H140" s="8"/>
    </row>
    <row r="141" spans="1:8" x14ac:dyDescent="0.25">
      <c r="A141">
        <v>1988</v>
      </c>
      <c r="C141">
        <v>2</v>
      </c>
      <c r="D141" s="6">
        <v>32234</v>
      </c>
      <c r="E141" s="6">
        <v>32416</v>
      </c>
      <c r="F141" s="8">
        <v>36.661763026632997</v>
      </c>
      <c r="G141" t="s">
        <v>76</v>
      </c>
    </row>
    <row r="142" spans="1:8" x14ac:dyDescent="0.25">
      <c r="A142">
        <v>1989</v>
      </c>
      <c r="B142">
        <f>F142/LOOKUP(A142,$A$5:$A$73,$B$5:$B$73)</f>
        <v>0.63657896506511091</v>
      </c>
      <c r="C142">
        <v>1</v>
      </c>
      <c r="D142" s="6">
        <v>32417</v>
      </c>
      <c r="E142" s="6">
        <v>32598</v>
      </c>
      <c r="F142" s="8">
        <v>41.522879219850097</v>
      </c>
      <c r="G142" t="s">
        <v>76</v>
      </c>
      <c r="H142" s="8"/>
    </row>
    <row r="143" spans="1:8" x14ac:dyDescent="0.25">
      <c r="A143">
        <v>1989</v>
      </c>
      <c r="C143">
        <v>2</v>
      </c>
      <c r="D143" s="6">
        <v>32599</v>
      </c>
      <c r="E143" s="6">
        <v>32781</v>
      </c>
      <c r="F143" s="8">
        <v>23.705288059605898</v>
      </c>
      <c r="G143" t="s">
        <v>76</v>
      </c>
    </row>
    <row r="144" spans="1:8" x14ac:dyDescent="0.25">
      <c r="A144">
        <v>1990</v>
      </c>
      <c r="B144">
        <f>F144/LOOKUP(A144,$A$5:$A$73,$B$5:$B$73)</f>
        <v>0.69020752966095844</v>
      </c>
      <c r="C144">
        <v>1</v>
      </c>
      <c r="D144" s="6">
        <v>32782</v>
      </c>
      <c r="E144" s="6">
        <v>32963</v>
      </c>
      <c r="F144" s="8">
        <v>40.321693510221102</v>
      </c>
      <c r="G144" t="s">
        <v>76</v>
      </c>
      <c r="H144" s="8"/>
    </row>
    <row r="145" spans="1:8" x14ac:dyDescent="0.25">
      <c r="A145">
        <v>1990</v>
      </c>
      <c r="C145">
        <v>2</v>
      </c>
      <c r="D145" s="6">
        <v>32964</v>
      </c>
      <c r="E145" s="6">
        <v>33146</v>
      </c>
      <c r="F145" s="8">
        <v>18.097972716874001</v>
      </c>
      <c r="G145" t="s">
        <v>76</v>
      </c>
    </row>
    <row r="146" spans="1:8" x14ac:dyDescent="0.25">
      <c r="A146">
        <v>1991</v>
      </c>
      <c r="B146">
        <f>F146/LOOKUP(A146,$A$5:$A$73,$B$5:$B$73)</f>
        <v>0.60425485936922441</v>
      </c>
      <c r="C146">
        <v>1</v>
      </c>
      <c r="D146" s="6">
        <v>33147</v>
      </c>
      <c r="E146" s="6">
        <v>33328</v>
      </c>
      <c r="F146" s="8">
        <v>36.381790096626297</v>
      </c>
      <c r="G146" t="s">
        <v>75</v>
      </c>
      <c r="H146" s="8"/>
    </row>
    <row r="147" spans="1:8" x14ac:dyDescent="0.25">
      <c r="A147">
        <v>1991</v>
      </c>
      <c r="C147">
        <v>2</v>
      </c>
      <c r="D147" s="6">
        <v>33329</v>
      </c>
      <c r="E147" s="6">
        <v>33511</v>
      </c>
      <c r="F147" s="8">
        <v>23.827556228871</v>
      </c>
      <c r="G147" t="s">
        <v>75</v>
      </c>
    </row>
    <row r="148" spans="1:8" x14ac:dyDescent="0.25">
      <c r="A148">
        <v>1992</v>
      </c>
      <c r="B148">
        <f>F148/LOOKUP(A148,$A$5:$A$73,$B$5:$B$73)</f>
        <v>0.59810852996029507</v>
      </c>
      <c r="C148">
        <v>1</v>
      </c>
      <c r="D148" s="6">
        <v>33512</v>
      </c>
      <c r="E148" s="6">
        <v>33694</v>
      </c>
      <c r="F148" s="8">
        <v>40.768835097393698</v>
      </c>
      <c r="G148" t="s">
        <v>76</v>
      </c>
      <c r="H148" s="8"/>
    </row>
    <row r="149" spans="1:8" x14ac:dyDescent="0.25">
      <c r="A149">
        <v>1992</v>
      </c>
      <c r="C149">
        <v>2</v>
      </c>
      <c r="D149" s="6">
        <v>33695</v>
      </c>
      <c r="E149" s="6">
        <v>33877</v>
      </c>
      <c r="F149" s="8">
        <v>27.394103659055901</v>
      </c>
      <c r="G149" t="s">
        <v>76</v>
      </c>
    </row>
    <row r="150" spans="1:8" x14ac:dyDescent="0.25">
      <c r="A150">
        <v>1993</v>
      </c>
      <c r="B150">
        <f>F150/LOOKUP(A150,$A$5:$A$73,$B$5:$B$73)</f>
        <v>0.60914888896715758</v>
      </c>
      <c r="C150">
        <v>1</v>
      </c>
      <c r="D150" s="6">
        <v>33878</v>
      </c>
      <c r="E150" s="6">
        <v>34059</v>
      </c>
      <c r="F150" s="8">
        <v>40.806279486775303</v>
      </c>
      <c r="G150" t="s">
        <v>76</v>
      </c>
      <c r="H150" s="8"/>
    </row>
    <row r="151" spans="1:8" x14ac:dyDescent="0.25">
      <c r="A151">
        <v>1993</v>
      </c>
      <c r="C151">
        <v>2</v>
      </c>
      <c r="D151" s="6">
        <v>34060</v>
      </c>
      <c r="E151" s="6">
        <v>34242</v>
      </c>
      <c r="F151" s="8">
        <v>26.182728005242499</v>
      </c>
      <c r="G151" t="s">
        <v>76</v>
      </c>
    </row>
    <row r="152" spans="1:8" x14ac:dyDescent="0.25">
      <c r="A152">
        <v>1994</v>
      </c>
      <c r="B152">
        <f>F152/LOOKUP(A152,$A$5:$A$73,$B$5:$B$73)</f>
        <v>0.65660279369736674</v>
      </c>
      <c r="C152">
        <v>1</v>
      </c>
      <c r="D152" s="6">
        <v>34243</v>
      </c>
      <c r="E152" s="6">
        <v>34424</v>
      </c>
      <c r="F152" s="8">
        <v>40.020799972174402</v>
      </c>
      <c r="G152" t="s">
        <v>76</v>
      </c>
      <c r="H152" s="8"/>
    </row>
    <row r="153" spans="1:8" x14ac:dyDescent="0.25">
      <c r="A153">
        <v>1994</v>
      </c>
      <c r="C153">
        <v>2</v>
      </c>
      <c r="D153" s="6">
        <v>34425</v>
      </c>
      <c r="E153" s="6">
        <v>34607</v>
      </c>
      <c r="F153" s="8">
        <v>20.9305093373932</v>
      </c>
      <c r="G153" t="s">
        <v>76</v>
      </c>
    </row>
    <row r="154" spans="1:8" x14ac:dyDescent="0.25">
      <c r="A154">
        <v>1995</v>
      </c>
      <c r="B154">
        <f>F154/LOOKUP(A154,$A$5:$A$73,$B$5:$B$73)</f>
        <v>0.64044611664372597</v>
      </c>
      <c r="C154">
        <v>1</v>
      </c>
      <c r="D154" s="6">
        <v>34608</v>
      </c>
      <c r="E154" s="6">
        <v>34789</v>
      </c>
      <c r="F154" s="8">
        <v>39.2191928898337</v>
      </c>
      <c r="G154" t="s">
        <v>76</v>
      </c>
      <c r="H154" s="8"/>
    </row>
    <row r="155" spans="1:8" x14ac:dyDescent="0.25">
      <c r="A155">
        <v>1995</v>
      </c>
      <c r="C155">
        <v>2</v>
      </c>
      <c r="D155" s="6">
        <v>34790</v>
      </c>
      <c r="E155" s="6">
        <v>34972</v>
      </c>
      <c r="F155" s="8">
        <v>22.0181100941595</v>
      </c>
      <c r="G155" t="s">
        <v>76</v>
      </c>
    </row>
    <row r="156" spans="1:8" x14ac:dyDescent="0.25">
      <c r="A156">
        <v>1996</v>
      </c>
      <c r="B156">
        <f>F156/LOOKUP(A156,$A$5:$A$73,$B$5:$B$73)</f>
        <v>0.72303567607952235</v>
      </c>
      <c r="C156">
        <v>1</v>
      </c>
      <c r="D156" s="6">
        <v>34973</v>
      </c>
      <c r="E156" s="6">
        <v>35155</v>
      </c>
      <c r="F156" s="8">
        <v>38.782086166064602</v>
      </c>
      <c r="G156" t="s">
        <v>75</v>
      </c>
      <c r="H156" s="8"/>
    </row>
    <row r="157" spans="1:8" x14ac:dyDescent="0.25">
      <c r="A157">
        <v>1996</v>
      </c>
      <c r="C157">
        <v>2</v>
      </c>
      <c r="D157" s="6">
        <v>35156</v>
      </c>
      <c r="E157" s="6">
        <v>35338</v>
      </c>
      <c r="F157" s="8">
        <v>14.855773553874201</v>
      </c>
      <c r="G157" t="s">
        <v>75</v>
      </c>
    </row>
    <row r="158" spans="1:8" x14ac:dyDescent="0.25">
      <c r="A158">
        <v>1997</v>
      </c>
      <c r="B158">
        <f>F158/LOOKUP(A158,$A$5:$A$73,$B$5:$B$73)</f>
        <v>0.70211910994698423</v>
      </c>
      <c r="C158">
        <v>1</v>
      </c>
      <c r="D158" s="6">
        <v>35339</v>
      </c>
      <c r="E158" s="6">
        <v>35520</v>
      </c>
      <c r="F158" s="8">
        <v>29.161812847973199</v>
      </c>
      <c r="G158" t="s">
        <v>75</v>
      </c>
      <c r="H158" s="8"/>
    </row>
    <row r="159" spans="1:8" x14ac:dyDescent="0.25">
      <c r="A159">
        <v>1997</v>
      </c>
      <c r="C159">
        <v>2</v>
      </c>
      <c r="D159" s="6">
        <v>35521</v>
      </c>
      <c r="E159" s="6">
        <v>35703</v>
      </c>
      <c r="F159" s="8">
        <v>12.372183926698099</v>
      </c>
      <c r="G159" t="s">
        <v>75</v>
      </c>
    </row>
    <row r="160" spans="1:8" x14ac:dyDescent="0.25">
      <c r="A160">
        <v>1998</v>
      </c>
      <c r="B160">
        <f>F160/LOOKUP(A160,$A$5:$A$73,$B$5:$B$73)</f>
        <v>0.63751722584200798</v>
      </c>
      <c r="C160">
        <v>1</v>
      </c>
      <c r="D160" s="6">
        <v>35704</v>
      </c>
      <c r="E160" s="6">
        <v>35885</v>
      </c>
      <c r="F160" s="8">
        <v>36.555800414016701</v>
      </c>
      <c r="G160" t="s">
        <v>76</v>
      </c>
      <c r="H160" s="8"/>
    </row>
    <row r="161" spans="1:8" x14ac:dyDescent="0.25">
      <c r="A161">
        <v>1998</v>
      </c>
      <c r="C161">
        <v>2</v>
      </c>
      <c r="D161" s="6">
        <v>35886</v>
      </c>
      <c r="E161" s="6">
        <v>36068</v>
      </c>
      <c r="F161" s="8">
        <v>20.7850822040728</v>
      </c>
      <c r="G161" t="s">
        <v>76</v>
      </c>
    </row>
    <row r="162" spans="1:8" x14ac:dyDescent="0.25">
      <c r="A162">
        <v>1999</v>
      </c>
      <c r="B162">
        <f>F162/LOOKUP(A162,$A$5:$A$73,$B$5:$B$73)</f>
        <v>0.72154321506132757</v>
      </c>
      <c r="C162">
        <v>1</v>
      </c>
      <c r="D162" s="6">
        <v>36069</v>
      </c>
      <c r="E162" s="6">
        <v>36250</v>
      </c>
      <c r="F162" s="8">
        <v>35.647667677495299</v>
      </c>
      <c r="G162" t="s">
        <v>75</v>
      </c>
      <c r="H162" s="8"/>
    </row>
    <row r="163" spans="1:8" x14ac:dyDescent="0.25">
      <c r="A163">
        <v>1999</v>
      </c>
      <c r="C163">
        <v>2</v>
      </c>
      <c r="D163" s="6">
        <v>36251</v>
      </c>
      <c r="E163" s="6">
        <v>36433</v>
      </c>
      <c r="F163" s="8">
        <v>13.757089977201</v>
      </c>
      <c r="G163" t="s">
        <v>75</v>
      </c>
    </row>
    <row r="164" spans="1:8" x14ac:dyDescent="0.25">
      <c r="A164">
        <v>2000</v>
      </c>
      <c r="B164">
        <f>F164/LOOKUP(A164,$A$5:$A$73,$B$5:$B$73)</f>
        <v>0.69415635771550832</v>
      </c>
      <c r="C164">
        <v>1</v>
      </c>
      <c r="D164" s="6">
        <v>36434</v>
      </c>
      <c r="E164" s="6">
        <v>36616</v>
      </c>
      <c r="F164" s="8">
        <v>37.561742691712297</v>
      </c>
      <c r="G164" t="s">
        <v>75</v>
      </c>
      <c r="H164" s="8"/>
    </row>
    <row r="165" spans="1:8" x14ac:dyDescent="0.25">
      <c r="A165">
        <v>2000</v>
      </c>
      <c r="C165">
        <v>2</v>
      </c>
      <c r="D165" s="6">
        <v>36617</v>
      </c>
      <c r="E165" s="6">
        <v>36799</v>
      </c>
      <c r="F165" s="8">
        <v>16.549614604400599</v>
      </c>
      <c r="G165" t="s">
        <v>75</v>
      </c>
    </row>
    <row r="166" spans="1:8" x14ac:dyDescent="0.25">
      <c r="A166">
        <v>2001</v>
      </c>
      <c r="B166">
        <f>F166/LOOKUP(A166,$A$5:$A$73,$B$5:$B$73)</f>
        <v>0.65998165602508618</v>
      </c>
      <c r="C166">
        <v>1</v>
      </c>
      <c r="D166" s="6">
        <v>36800</v>
      </c>
      <c r="E166" s="6">
        <v>36981</v>
      </c>
      <c r="F166" s="8">
        <v>40.160507120396701</v>
      </c>
      <c r="G166" t="s">
        <v>76</v>
      </c>
      <c r="H166" s="8"/>
    </row>
    <row r="167" spans="1:8" x14ac:dyDescent="0.25">
      <c r="A167">
        <v>2001</v>
      </c>
      <c r="C167">
        <v>2</v>
      </c>
      <c r="D167" s="6">
        <v>36982</v>
      </c>
      <c r="E167" s="6">
        <v>37164</v>
      </c>
      <c r="F167" s="8">
        <v>20.690437377476002</v>
      </c>
      <c r="G167" t="s">
        <v>76</v>
      </c>
    </row>
    <row r="168" spans="1:8" x14ac:dyDescent="0.25">
      <c r="A168">
        <v>2002</v>
      </c>
      <c r="B168">
        <f>F168/LOOKUP(A168,$A$5:$A$73,$B$5:$B$73)</f>
        <v>0.64144402273220713</v>
      </c>
      <c r="C168">
        <v>1</v>
      </c>
      <c r="D168" s="6">
        <v>37165</v>
      </c>
      <c r="E168" s="6">
        <v>37346</v>
      </c>
      <c r="F168" s="8">
        <v>40.454798958569398</v>
      </c>
      <c r="G168" t="s">
        <v>76</v>
      </c>
      <c r="H168" s="8"/>
    </row>
    <row r="169" spans="1:8" x14ac:dyDescent="0.25">
      <c r="A169">
        <v>2002</v>
      </c>
      <c r="C169">
        <v>2</v>
      </c>
      <c r="D169" s="6">
        <v>37347</v>
      </c>
      <c r="E169" s="6">
        <v>37529</v>
      </c>
      <c r="F169" s="8">
        <v>22.6135242697829</v>
      </c>
      <c r="G169" t="s">
        <v>76</v>
      </c>
    </row>
    <row r="170" spans="1:8" x14ac:dyDescent="0.25">
      <c r="A170">
        <v>2003</v>
      </c>
      <c r="B170">
        <f>F170/LOOKUP(A170,$A$5:$A$73,$B$5:$B$73)</f>
        <v>0.61234322114926476</v>
      </c>
      <c r="C170">
        <v>1</v>
      </c>
      <c r="D170" s="6">
        <v>37530</v>
      </c>
      <c r="E170" s="6">
        <v>37711</v>
      </c>
      <c r="F170" s="8">
        <v>40.383592119691102</v>
      </c>
      <c r="G170" t="s">
        <v>76</v>
      </c>
      <c r="H170" s="8"/>
    </row>
    <row r="171" spans="1:8" x14ac:dyDescent="0.25">
      <c r="A171">
        <v>2003</v>
      </c>
      <c r="C171">
        <v>2</v>
      </c>
      <c r="D171" s="6">
        <v>37712</v>
      </c>
      <c r="E171" s="6">
        <v>37894</v>
      </c>
      <c r="F171" s="8">
        <v>25.5656839152389</v>
      </c>
      <c r="G171" t="s">
        <v>76</v>
      </c>
    </row>
    <row r="172" spans="1:8" x14ac:dyDescent="0.25">
      <c r="A172">
        <v>2004</v>
      </c>
      <c r="B172">
        <f>F172/LOOKUP(A172,$A$5:$A$73,$B$5:$B$73)</f>
        <v>0.65056213859488621</v>
      </c>
      <c r="C172">
        <v>1</v>
      </c>
      <c r="D172" s="6">
        <v>37895</v>
      </c>
      <c r="E172" s="6">
        <v>38077</v>
      </c>
      <c r="F172" s="8">
        <v>41.131984395199503</v>
      </c>
      <c r="G172" t="s">
        <v>76</v>
      </c>
      <c r="H172" s="8"/>
    </row>
    <row r="173" spans="1:8" x14ac:dyDescent="0.25">
      <c r="A173">
        <v>2004</v>
      </c>
      <c r="C173">
        <v>2</v>
      </c>
      <c r="D173" s="6">
        <v>38078</v>
      </c>
      <c r="E173" s="6">
        <v>38260</v>
      </c>
      <c r="F173" s="8">
        <v>22.0933125518964</v>
      </c>
      <c r="G173" t="s">
        <v>76</v>
      </c>
    </row>
    <row r="174" spans="1:8" x14ac:dyDescent="0.25">
      <c r="A174">
        <v>2005</v>
      </c>
      <c r="B174">
        <f>F174/LOOKUP(A174,$A$5:$A$73,$B$5:$B$73)</f>
        <v>0.63878174978097924</v>
      </c>
      <c r="C174">
        <v>1</v>
      </c>
      <c r="D174" s="6">
        <v>38261</v>
      </c>
      <c r="E174" s="6">
        <v>38442</v>
      </c>
      <c r="F174" s="8">
        <v>33.910935109443898</v>
      </c>
      <c r="G174" t="s">
        <v>75</v>
      </c>
      <c r="H174" s="8"/>
    </row>
    <row r="175" spans="1:8" x14ac:dyDescent="0.25">
      <c r="A175">
        <v>2005</v>
      </c>
      <c r="C175">
        <v>2</v>
      </c>
      <c r="D175" s="6">
        <v>38443</v>
      </c>
      <c r="E175" s="6">
        <v>38625</v>
      </c>
      <c r="F175" s="8">
        <v>19.175952737729201</v>
      </c>
      <c r="G175" t="s">
        <v>75</v>
      </c>
    </row>
    <row r="176" spans="1:8" x14ac:dyDescent="0.25">
      <c r="A176">
        <v>2006</v>
      </c>
      <c r="B176">
        <f>F176/LOOKUP(A176,$A$5:$A$73,$B$5:$B$73)</f>
        <v>0.58158870520849237</v>
      </c>
      <c r="C176">
        <v>1</v>
      </c>
      <c r="D176" s="6">
        <v>38626</v>
      </c>
      <c r="E176" s="6">
        <v>38807</v>
      </c>
      <c r="F176" s="8">
        <v>41.783838891203096</v>
      </c>
      <c r="G176" t="s">
        <v>76</v>
      </c>
      <c r="H176" s="8"/>
    </row>
    <row r="177" spans="1:8" x14ac:dyDescent="0.25">
      <c r="A177">
        <v>2006</v>
      </c>
      <c r="C177">
        <v>2</v>
      </c>
      <c r="D177" s="6">
        <v>38808</v>
      </c>
      <c r="E177" s="6">
        <v>38990</v>
      </c>
      <c r="F177" s="8">
        <v>30.060470527123801</v>
      </c>
      <c r="G177" t="s">
        <v>76</v>
      </c>
    </row>
    <row r="178" spans="1:8" x14ac:dyDescent="0.25">
      <c r="A178">
        <v>2007</v>
      </c>
      <c r="B178">
        <f>F178/LOOKUP(A178,$A$5:$A$73,$B$5:$B$73)</f>
        <v>0.62121509766998551</v>
      </c>
      <c r="C178">
        <v>1</v>
      </c>
      <c r="D178" s="6">
        <v>38991</v>
      </c>
      <c r="E178" s="6">
        <v>39172</v>
      </c>
      <c r="F178" s="8">
        <v>42.913538738290598</v>
      </c>
      <c r="G178" t="s">
        <v>76</v>
      </c>
      <c r="H178" s="8"/>
    </row>
    <row r="179" spans="1:8" x14ac:dyDescent="0.25">
      <c r="A179">
        <v>2007</v>
      </c>
      <c r="C179">
        <v>2</v>
      </c>
      <c r="D179" s="6">
        <v>39173</v>
      </c>
      <c r="E179" s="6">
        <v>39355</v>
      </c>
      <c r="F179" s="8">
        <v>26.166460925671199</v>
      </c>
      <c r="G179" t="s">
        <v>76</v>
      </c>
    </row>
    <row r="180" spans="1:8" x14ac:dyDescent="0.25">
      <c r="A180">
        <v>2008</v>
      </c>
      <c r="B180">
        <f>F180/LOOKUP(A180,$A$5:$A$73,$B$5:$B$73)</f>
        <v>0.61382306924615526</v>
      </c>
      <c r="C180">
        <v>1</v>
      </c>
      <c r="D180" s="6">
        <v>39356</v>
      </c>
      <c r="E180" s="6">
        <v>39538</v>
      </c>
      <c r="F180" s="8">
        <v>41.739787221474103</v>
      </c>
      <c r="G180" t="s">
        <v>76</v>
      </c>
      <c r="H180" s="8"/>
    </row>
    <row r="181" spans="1:8" x14ac:dyDescent="0.25">
      <c r="A181">
        <v>2008</v>
      </c>
      <c r="C181">
        <v>2</v>
      </c>
      <c r="D181" s="6">
        <v>39539</v>
      </c>
      <c r="E181" s="6">
        <v>39721</v>
      </c>
      <c r="F181" s="8">
        <v>26.2599171114623</v>
      </c>
      <c r="G181" t="s">
        <v>76</v>
      </c>
    </row>
    <row r="182" spans="1:8" x14ac:dyDescent="0.25">
      <c r="A182">
        <v>2009</v>
      </c>
      <c r="B182">
        <f>F182/LOOKUP(A182,$A$5:$A$73,$B$5:$B$73)</f>
        <v>0.61610217633886677</v>
      </c>
      <c r="C182">
        <v>1</v>
      </c>
      <c r="D182" s="6">
        <v>39722</v>
      </c>
      <c r="E182" s="6">
        <v>39903</v>
      </c>
      <c r="F182" s="8">
        <v>42.504317053198001</v>
      </c>
      <c r="G182" t="s">
        <v>76</v>
      </c>
      <c r="H182" s="8"/>
    </row>
    <row r="183" spans="1:8" x14ac:dyDescent="0.25">
      <c r="A183">
        <v>2009</v>
      </c>
      <c r="C183">
        <v>2</v>
      </c>
      <c r="D183" s="6">
        <v>39904</v>
      </c>
      <c r="E183" s="6">
        <v>40086</v>
      </c>
      <c r="F183" s="8">
        <v>26.4847543793623</v>
      </c>
      <c r="G183" t="s">
        <v>76</v>
      </c>
    </row>
    <row r="184" spans="1:8" x14ac:dyDescent="0.25">
      <c r="A184">
        <v>2010</v>
      </c>
      <c r="B184">
        <f>F184/LOOKUP(A184,$A$5:$A$73,$B$5:$B$73)</f>
        <v>0.64872529041791938</v>
      </c>
      <c r="C184">
        <v>1</v>
      </c>
      <c r="D184" s="6">
        <v>40087</v>
      </c>
      <c r="E184" s="6">
        <v>40268</v>
      </c>
      <c r="F184" s="8">
        <v>38.733128087863903</v>
      </c>
      <c r="G184" t="s">
        <v>76</v>
      </c>
      <c r="H184" s="8"/>
    </row>
    <row r="185" spans="1:8" x14ac:dyDescent="0.25">
      <c r="A185">
        <v>2010</v>
      </c>
      <c r="C185">
        <v>2</v>
      </c>
      <c r="D185" s="6">
        <v>40269</v>
      </c>
      <c r="E185" s="6">
        <v>40451</v>
      </c>
      <c r="F185" s="8">
        <v>20.973389693971601</v>
      </c>
      <c r="G185" t="s">
        <v>76</v>
      </c>
    </row>
    <row r="186" spans="1:8" x14ac:dyDescent="0.25">
      <c r="A186">
        <v>2011</v>
      </c>
      <c r="B186">
        <f>F186/LOOKUP(A186,$A$5:$A$73,$B$5:$B$73)</f>
        <v>0.67890208979705358</v>
      </c>
      <c r="C186">
        <v>1</v>
      </c>
      <c r="D186" s="6">
        <v>40452</v>
      </c>
      <c r="E186" s="6">
        <v>40633</v>
      </c>
      <c r="F186" s="8">
        <v>28.855562055590799</v>
      </c>
      <c r="G186" t="s">
        <v>75</v>
      </c>
      <c r="H186" s="8"/>
    </row>
    <row r="187" spans="1:8" x14ac:dyDescent="0.25">
      <c r="A187">
        <v>2011</v>
      </c>
      <c r="C187">
        <v>2</v>
      </c>
      <c r="D187" s="6">
        <v>40634</v>
      </c>
      <c r="E187" s="6">
        <v>40816</v>
      </c>
      <c r="F187" s="8">
        <v>13.647712701181099</v>
      </c>
      <c r="G187" t="s">
        <v>75</v>
      </c>
    </row>
    <row r="188" spans="1:8" x14ac:dyDescent="0.25">
      <c r="A188">
        <v>2012</v>
      </c>
      <c r="B188">
        <f>F188/LOOKUP(A188,$A$5:$A$73,$B$5:$B$73)</f>
        <v>0.68191899965986658</v>
      </c>
      <c r="C188">
        <v>1</v>
      </c>
      <c r="D188" s="6">
        <v>40817</v>
      </c>
      <c r="E188" s="6">
        <v>40999</v>
      </c>
      <c r="F188" s="8">
        <v>34.350570960073298</v>
      </c>
      <c r="G188" t="s">
        <v>75</v>
      </c>
      <c r="H188" s="8"/>
    </row>
    <row r="189" spans="1:8" x14ac:dyDescent="0.25">
      <c r="A189">
        <v>2012</v>
      </c>
      <c r="C189">
        <v>2</v>
      </c>
      <c r="D189" s="6">
        <v>41000</v>
      </c>
      <c r="E189" s="6">
        <v>41182</v>
      </c>
      <c r="F189" s="8">
        <v>16.022817928059901</v>
      </c>
      <c r="G189" t="s">
        <v>75</v>
      </c>
    </row>
    <row r="190" spans="1:8" x14ac:dyDescent="0.25">
      <c r="A190">
        <v>2013</v>
      </c>
      <c r="B190">
        <f>F190/LOOKUP(A190,$A$5:$A$73,$B$5:$B$73)</f>
        <v>0.70622840585908997</v>
      </c>
      <c r="C190">
        <v>1</v>
      </c>
      <c r="D190" s="6">
        <v>41183</v>
      </c>
      <c r="E190" s="6">
        <v>41364</v>
      </c>
      <c r="F190" s="8">
        <v>34.578002561806898</v>
      </c>
      <c r="G190" t="s">
        <v>75</v>
      </c>
      <c r="H190" s="8"/>
    </row>
    <row r="191" spans="1:8" x14ac:dyDescent="0.25">
      <c r="A191">
        <v>2013</v>
      </c>
      <c r="C191">
        <v>2</v>
      </c>
      <c r="D191" s="6">
        <v>41365</v>
      </c>
      <c r="E191" s="6">
        <v>41547</v>
      </c>
      <c r="F191" s="8">
        <v>14.3834981013455</v>
      </c>
      <c r="G191" t="s">
        <v>75</v>
      </c>
    </row>
    <row r="192" spans="1:8" x14ac:dyDescent="0.25">
      <c r="A192">
        <v>2014</v>
      </c>
      <c r="B192">
        <f>F192/LOOKUP(A192,$A$5:$A$73,$B$5:$B$73)</f>
        <v>0.69617319490128005</v>
      </c>
      <c r="C192">
        <v>1</v>
      </c>
      <c r="D192" s="6">
        <v>41548</v>
      </c>
      <c r="E192" s="6">
        <v>41729</v>
      </c>
      <c r="F192" s="8">
        <v>34.951458993735599</v>
      </c>
      <c r="G192" t="s">
        <v>75</v>
      </c>
      <c r="H192" s="8"/>
    </row>
    <row r="193" spans="1:8" x14ac:dyDescent="0.25">
      <c r="A193">
        <v>2014</v>
      </c>
      <c r="C193">
        <v>2</v>
      </c>
      <c r="D193" s="6">
        <v>41730</v>
      </c>
      <c r="E193" s="6">
        <v>41912</v>
      </c>
      <c r="F193" s="8">
        <v>15.2536612977629</v>
      </c>
      <c r="G193" t="s">
        <v>75</v>
      </c>
    </row>
    <row r="194" spans="1:8" x14ac:dyDescent="0.25">
      <c r="A194">
        <v>2015</v>
      </c>
      <c r="B194">
        <f>F194/LOOKUP(A194,$A$5:$A$73,$B$5:$B$73)</f>
        <v>0.70564411622212841</v>
      </c>
      <c r="C194">
        <v>1</v>
      </c>
      <c r="D194" s="6">
        <v>41913</v>
      </c>
      <c r="E194" s="6">
        <v>42094</v>
      </c>
      <c r="F194" s="8">
        <v>33.874935476402896</v>
      </c>
      <c r="G194" t="s">
        <v>75</v>
      </c>
      <c r="H194" s="8"/>
    </row>
    <row r="195" spans="1:8" x14ac:dyDescent="0.25">
      <c r="A195">
        <v>2015</v>
      </c>
      <c r="C195">
        <v>2</v>
      </c>
      <c r="D195" s="6">
        <v>42095</v>
      </c>
      <c r="E195" s="6">
        <v>42277</v>
      </c>
      <c r="F195" s="8">
        <v>14.1307584671138</v>
      </c>
      <c r="G195" t="s">
        <v>75</v>
      </c>
    </row>
    <row r="196" spans="1:8" x14ac:dyDescent="0.25">
      <c r="A196">
        <v>2016</v>
      </c>
      <c r="B196">
        <f>F196/LOOKUP(A196,$A$5:$A$73,$B$5:$B$73)</f>
        <v>0.63025271978770592</v>
      </c>
      <c r="C196">
        <v>1</v>
      </c>
      <c r="D196" s="6">
        <v>42278</v>
      </c>
      <c r="E196" s="6">
        <v>42460</v>
      </c>
      <c r="F196" s="8">
        <v>36.770621318639101</v>
      </c>
      <c r="G196" t="s">
        <v>76</v>
      </c>
      <c r="H196" s="8"/>
    </row>
    <row r="197" spans="1:8" x14ac:dyDescent="0.25">
      <c r="A197">
        <v>2016</v>
      </c>
      <c r="C197">
        <v>2</v>
      </c>
      <c r="D197" s="6">
        <v>42461</v>
      </c>
      <c r="E197" s="6">
        <v>42643</v>
      </c>
      <c r="F197" s="8">
        <v>21.572040544089401</v>
      </c>
      <c r="G197" t="s">
        <v>76</v>
      </c>
    </row>
    <row r="198" spans="1:8" x14ac:dyDescent="0.25">
      <c r="A198">
        <v>2017</v>
      </c>
      <c r="B198">
        <f>F198/LOOKUP(A198,$A$5:$A$73,$B$5:$B$73)</f>
        <v>0.67589698796727404</v>
      </c>
      <c r="C198">
        <v>1</v>
      </c>
      <c r="D198" s="6">
        <v>42644</v>
      </c>
      <c r="E198" s="6">
        <v>42825</v>
      </c>
      <c r="F198" s="8">
        <v>40.670500991732503</v>
      </c>
      <c r="G198" t="s">
        <v>76</v>
      </c>
      <c r="H198" s="8"/>
    </row>
    <row r="199" spans="1:8" x14ac:dyDescent="0.25">
      <c r="A199">
        <v>2017</v>
      </c>
      <c r="C199">
        <v>2</v>
      </c>
      <c r="D199" s="6">
        <v>42826</v>
      </c>
      <c r="E199" s="6">
        <v>43008</v>
      </c>
      <c r="F199" s="8">
        <v>19.5021314001457</v>
      </c>
      <c r="G199" t="s">
        <v>76</v>
      </c>
    </row>
    <row r="200" spans="1:8" x14ac:dyDescent="0.25">
      <c r="A200">
        <v>2018</v>
      </c>
      <c r="B200">
        <f>F200/LOOKUP(A200,$A$5:$A$73,$B$5:$B$73)</f>
        <v>0.70395595157076818</v>
      </c>
      <c r="C200">
        <v>1</v>
      </c>
      <c r="D200" s="6">
        <v>43009</v>
      </c>
      <c r="E200" s="6">
        <v>43190</v>
      </c>
      <c r="F200" s="8">
        <v>34.035636365053101</v>
      </c>
      <c r="G200" t="s">
        <v>75</v>
      </c>
      <c r="H200" s="8"/>
    </row>
    <row r="201" spans="1:8" x14ac:dyDescent="0.25">
      <c r="A201">
        <v>2018</v>
      </c>
      <c r="C201">
        <v>2</v>
      </c>
      <c r="D201" s="6">
        <v>43191</v>
      </c>
      <c r="E201" s="6">
        <v>43373</v>
      </c>
      <c r="F201" s="8">
        <v>14.3134631618532</v>
      </c>
      <c r="G201" t="s">
        <v>75</v>
      </c>
    </row>
    <row r="202" spans="1:8" x14ac:dyDescent="0.25">
      <c r="A202">
        <v>2019</v>
      </c>
      <c r="B202">
        <f>F202/LOOKUP(A202,$A$5:$A$73,$B$5:$B$73)</f>
        <v>0.68367086135489974</v>
      </c>
      <c r="C202">
        <v>1</v>
      </c>
      <c r="D202" s="6">
        <v>43374</v>
      </c>
      <c r="E202" s="6">
        <v>43555</v>
      </c>
      <c r="F202" s="8">
        <v>31.620837231831</v>
      </c>
      <c r="G202" t="s">
        <v>75</v>
      </c>
      <c r="H202" s="8"/>
    </row>
    <row r="203" spans="1:8" x14ac:dyDescent="0.25">
      <c r="A203">
        <v>2019</v>
      </c>
      <c r="C203">
        <v>2</v>
      </c>
      <c r="D203" s="6">
        <v>43556</v>
      </c>
      <c r="E203" s="6">
        <v>43738</v>
      </c>
      <c r="F203" s="8">
        <v>14.6307130670435</v>
      </c>
      <c r="G203" t="s">
        <v>75</v>
      </c>
    </row>
    <row r="204" spans="1:8" x14ac:dyDescent="0.25">
      <c r="A204">
        <v>2020</v>
      </c>
      <c r="B204">
        <f>F204/LOOKUP(A204,$A$5:$A$73,$B$5:$B$73)</f>
        <v>0.68921843593354648</v>
      </c>
      <c r="C204">
        <v>1</v>
      </c>
      <c r="D204" s="6">
        <v>43739</v>
      </c>
      <c r="E204" s="6">
        <v>43921</v>
      </c>
      <c r="F204" s="8">
        <v>28.934693752742501</v>
      </c>
      <c r="G204" t="s">
        <v>75</v>
      </c>
      <c r="H204" s="8"/>
    </row>
    <row r="205" spans="1:8" x14ac:dyDescent="0.25">
      <c r="A205">
        <v>2020</v>
      </c>
      <c r="C205">
        <v>2</v>
      </c>
      <c r="D205" s="6">
        <v>43922</v>
      </c>
      <c r="E205" s="6">
        <v>44104</v>
      </c>
      <c r="F205" s="8">
        <v>13.047197972992301</v>
      </c>
      <c r="G205" t="s">
        <v>75</v>
      </c>
    </row>
    <row r="206" spans="1:8" x14ac:dyDescent="0.25">
      <c r="A206">
        <v>2021</v>
      </c>
      <c r="B206">
        <f>F206/LOOKUP(A206,$A$5:$A$73,$B$5:$B$73)</f>
        <v>0.6952258388601873</v>
      </c>
      <c r="C206">
        <v>1</v>
      </c>
      <c r="D206" s="6">
        <v>44105</v>
      </c>
      <c r="E206" s="6">
        <v>44286</v>
      </c>
      <c r="F206" s="8">
        <v>34.306071680012302</v>
      </c>
      <c r="G206" t="s">
        <v>75</v>
      </c>
      <c r="H206" s="8"/>
    </row>
    <row r="207" spans="1:8" x14ac:dyDescent="0.25">
      <c r="A207">
        <v>2021</v>
      </c>
      <c r="C207">
        <v>2</v>
      </c>
      <c r="D207" s="6">
        <v>44287</v>
      </c>
      <c r="E207" s="6">
        <v>44469</v>
      </c>
      <c r="F207" s="8">
        <v>15.0391479054055</v>
      </c>
      <c r="G207" t="s">
        <v>75</v>
      </c>
    </row>
    <row r="208" spans="1:8" x14ac:dyDescent="0.25">
      <c r="A208">
        <v>2022</v>
      </c>
      <c r="B208">
        <f>F208/LOOKUP(A208,$A$5:$A$73,$B$5:$B$73)</f>
        <v>0.70091171061243507</v>
      </c>
      <c r="C208">
        <v>1</v>
      </c>
      <c r="D208" s="6">
        <v>44470</v>
      </c>
      <c r="E208" s="6">
        <v>44651</v>
      </c>
      <c r="F208" s="8">
        <v>28.750241783635499</v>
      </c>
      <c r="G208" t="s">
        <v>75</v>
      </c>
      <c r="H208" s="8"/>
    </row>
    <row r="209" spans="1:8" x14ac:dyDescent="0.25">
      <c r="A209">
        <v>2022</v>
      </c>
      <c r="C209">
        <v>2</v>
      </c>
      <c r="D209" s="6">
        <v>44652</v>
      </c>
      <c r="E209" s="6">
        <v>44834</v>
      </c>
      <c r="F209" s="8">
        <v>12.2681081002812</v>
      </c>
      <c r="G209" t="s">
        <v>75</v>
      </c>
    </row>
    <row r="210" spans="1:8" x14ac:dyDescent="0.25">
      <c r="A210">
        <v>2023</v>
      </c>
      <c r="B210">
        <f>F210/LOOKUP(A210,$A$5:$A$73,$B$5:$B$73)</f>
        <v>0.67459472075755089</v>
      </c>
      <c r="C210">
        <v>1</v>
      </c>
      <c r="D210" s="6">
        <v>44835</v>
      </c>
      <c r="E210" s="6">
        <v>45016</v>
      </c>
      <c r="F210" s="8">
        <v>34.158518386377501</v>
      </c>
      <c r="G210" t="s">
        <v>75</v>
      </c>
      <c r="H210" s="8"/>
    </row>
    <row r="211" spans="1:8" x14ac:dyDescent="0.25">
      <c r="A211">
        <v>2023</v>
      </c>
      <c r="C211">
        <v>2</v>
      </c>
      <c r="D211" s="6">
        <v>45017</v>
      </c>
      <c r="E211" s="6">
        <v>45199</v>
      </c>
      <c r="F211" s="8">
        <v>16.477096354304798</v>
      </c>
      <c r="G211" t="s">
        <v>75</v>
      </c>
    </row>
    <row r="212" spans="1:8" x14ac:dyDescent="0.25">
      <c r="A212">
        <v>2024</v>
      </c>
      <c r="B212">
        <f>F212/LOOKUP(A212,$A$5:$A$73,$B$5:$B$73)</f>
        <v>0.63989468572307651</v>
      </c>
      <c r="C212">
        <v>1</v>
      </c>
      <c r="D212" s="6">
        <v>45200</v>
      </c>
      <c r="E212" s="6">
        <v>45382</v>
      </c>
      <c r="F212" s="8">
        <v>38.878801348243201</v>
      </c>
      <c r="G212" t="s">
        <v>76</v>
      </c>
      <c r="H212" s="8"/>
    </row>
    <row r="213" spans="1:8" x14ac:dyDescent="0.25">
      <c r="A213">
        <v>2024</v>
      </c>
      <c r="C213">
        <v>2</v>
      </c>
      <c r="D213" s="6">
        <v>45383</v>
      </c>
      <c r="E213" s="6">
        <v>45565</v>
      </c>
      <c r="F213" s="8">
        <v>21.879323724026101</v>
      </c>
      <c r="G213" t="s">
        <v>76</v>
      </c>
    </row>
    <row r="214" spans="1:8" x14ac:dyDescent="0.25">
      <c r="A214">
        <v>2025</v>
      </c>
      <c r="B214">
        <f>F214/LOOKUP(A214,$A$5:$A$73,$B$5:$B$73)</f>
        <v>0.62920160455369745</v>
      </c>
      <c r="C214">
        <v>1</v>
      </c>
      <c r="D214" s="6">
        <v>45566</v>
      </c>
      <c r="E214" s="6">
        <v>45747</v>
      </c>
      <c r="F214" s="8">
        <v>40.860504945504204</v>
      </c>
      <c r="G214" t="s">
        <v>76</v>
      </c>
      <c r="H214" s="8"/>
    </row>
    <row r="215" spans="1:8" x14ac:dyDescent="0.25">
      <c r="A215">
        <v>2025</v>
      </c>
      <c r="C215">
        <v>2</v>
      </c>
      <c r="D215" s="6">
        <v>45748</v>
      </c>
      <c r="E215" s="6">
        <v>45930</v>
      </c>
      <c r="F215" s="8">
        <v>24.079737815775999</v>
      </c>
      <c r="G215" t="s">
        <v>76</v>
      </c>
    </row>
    <row r="216" spans="1:8" x14ac:dyDescent="0.25">
      <c r="D216" s="6"/>
      <c r="E216" s="6"/>
      <c r="F216" s="5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48</v>
      </c>
    </row>
    <row r="2" spans="1:1" x14ac:dyDescent="0.25">
      <c r="A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50</v>
      </c>
    </row>
    <row r="2" spans="1:1" x14ac:dyDescent="0.25">
      <c r="A2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52</v>
      </c>
    </row>
    <row r="2" spans="1:1" x14ac:dyDescent="0.25">
      <c r="A2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54</v>
      </c>
    </row>
    <row r="2" spans="1:1" x14ac:dyDescent="0.25">
      <c r="A2" t="s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56</v>
      </c>
    </row>
    <row r="2" spans="1:1" x14ac:dyDescent="0.25">
      <c r="A2" t="s">
        <v>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58</v>
      </c>
    </row>
    <row r="2" spans="1:1" x14ac:dyDescent="0.25">
      <c r="A2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60</v>
      </c>
    </row>
    <row r="2" spans="1:1" x14ac:dyDescent="0.25">
      <c r="A2" t="s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62</v>
      </c>
    </row>
    <row r="2" spans="1:1" x14ac:dyDescent="0.25">
      <c r="A2" t="s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64</v>
      </c>
    </row>
    <row r="2" spans="1:1" x14ac:dyDescent="0.25">
      <c r="A2" t="s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cols>
    <col min="1" max="1" width="34" customWidth="1"/>
  </cols>
  <sheetData>
    <row r="1" spans="1:1" ht="18.75" x14ac:dyDescent="0.3">
      <c r="A1" s="1" t="s">
        <v>66</v>
      </c>
    </row>
    <row r="2" spans="1:1" x14ac:dyDescent="0.25">
      <c r="A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</vt:i4>
      </vt:variant>
    </vt:vector>
  </HeadingPairs>
  <TitlesOfParts>
    <vt:vector size="15" baseType="lpstr">
      <vt:lpstr>Cover</vt:lpstr>
      <vt:lpstr>Inputs</vt:lpstr>
      <vt:lpstr>Data_Energy</vt:lpstr>
      <vt:lpstr>Timeline</vt:lpstr>
      <vt:lpstr>Construction</vt:lpstr>
      <vt:lpstr>Operations</vt:lpstr>
      <vt:lpstr>Tax</vt:lpstr>
      <vt:lpstr>Debt</vt:lpstr>
      <vt:lpstr>Cashflow</vt:lpstr>
      <vt:lpstr>Ratios</vt:lpstr>
      <vt:lpstr>Returns</vt:lpstr>
      <vt:lpstr>Sensitivities</vt:lpstr>
      <vt:lpstr>Checks</vt:lpstr>
      <vt:lpstr>Data_Energy!annual_energy_1</vt:lpstr>
      <vt:lpstr>Data_Energy!semiannual_energy_1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2026-10-22T22:38:33Z</dcterms:created>
  <dcterms:modified xsi:type="dcterms:W3CDTF">2026-10-26T15:50:07Z</dcterms:modified>
</cp:coreProperties>
</file>