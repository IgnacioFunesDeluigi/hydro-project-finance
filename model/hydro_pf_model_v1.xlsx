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firstSheet="3" activeTab="6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C21" i="7" l="1"/>
  <c r="E22" i="7" l="1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BC22" i="7"/>
  <c r="BD22" i="7"/>
  <c r="BE22" i="7"/>
  <c r="BF22" i="7"/>
  <c r="BG22" i="7"/>
  <c r="BH22" i="7"/>
  <c r="BI22" i="7"/>
  <c r="BJ22" i="7"/>
  <c r="BK22" i="7"/>
  <c r="BL22" i="7"/>
  <c r="BM22" i="7"/>
  <c r="BN22" i="7"/>
  <c r="BO22" i="7"/>
  <c r="BP22" i="7"/>
  <c r="BQ22" i="7"/>
  <c r="BR22" i="7"/>
  <c r="BS22" i="7"/>
  <c r="BT22" i="7"/>
  <c r="BU22" i="7"/>
  <c r="D22" i="7"/>
  <c r="E21" i="7"/>
  <c r="I21" i="7"/>
  <c r="J21" i="7"/>
  <c r="K21" i="7"/>
  <c r="L21" i="7"/>
  <c r="M21" i="7"/>
  <c r="N21" i="7"/>
  <c r="O21" i="7"/>
  <c r="P21" i="7"/>
  <c r="Q21" i="7"/>
  <c r="U21" i="7"/>
  <c r="V21" i="7"/>
  <c r="W21" i="7"/>
  <c r="X21" i="7"/>
  <c r="Y21" i="7"/>
  <c r="Z21" i="7"/>
  <c r="AA21" i="7"/>
  <c r="AB21" i="7"/>
  <c r="AC21" i="7"/>
  <c r="AG21" i="7"/>
  <c r="AH21" i="7"/>
  <c r="AI21" i="7"/>
  <c r="AJ21" i="7"/>
  <c r="AK21" i="7"/>
  <c r="AL21" i="7"/>
  <c r="AM21" i="7"/>
  <c r="AN21" i="7"/>
  <c r="AO21" i="7"/>
  <c r="AS21" i="7"/>
  <c r="AT21" i="7"/>
  <c r="AU21" i="7"/>
  <c r="AV21" i="7"/>
  <c r="AW21" i="7"/>
  <c r="AX21" i="7"/>
  <c r="AY21" i="7"/>
  <c r="AZ21" i="7"/>
  <c r="BA21" i="7"/>
  <c r="BE21" i="7"/>
  <c r="BF21" i="7"/>
  <c r="BG21" i="7"/>
  <c r="BH21" i="7"/>
  <c r="BI21" i="7"/>
  <c r="BJ21" i="7"/>
  <c r="BK21" i="7"/>
  <c r="BL21" i="7"/>
  <c r="BM21" i="7"/>
  <c r="BQ21" i="7"/>
  <c r="BR21" i="7"/>
  <c r="BS21" i="7"/>
  <c r="BT21" i="7"/>
  <c r="BU21" i="7"/>
  <c r="D21" i="7"/>
  <c r="C20" i="7"/>
  <c r="E19" i="7"/>
  <c r="F19" i="7"/>
  <c r="F21" i="7" s="1"/>
  <c r="G19" i="7"/>
  <c r="G21" i="7" s="1"/>
  <c r="H19" i="7"/>
  <c r="H21" i="7" s="1"/>
  <c r="I19" i="7"/>
  <c r="J19" i="7"/>
  <c r="K19" i="7"/>
  <c r="L19" i="7"/>
  <c r="M19" i="7"/>
  <c r="N19" i="7"/>
  <c r="O19" i="7"/>
  <c r="P19" i="7"/>
  <c r="Q19" i="7"/>
  <c r="R19" i="7"/>
  <c r="R21" i="7" s="1"/>
  <c r="S19" i="7"/>
  <c r="S21" i="7" s="1"/>
  <c r="T19" i="7"/>
  <c r="T21" i="7" s="1"/>
  <c r="U19" i="7"/>
  <c r="V19" i="7"/>
  <c r="W19" i="7"/>
  <c r="X19" i="7"/>
  <c r="Y19" i="7"/>
  <c r="Z19" i="7"/>
  <c r="AA19" i="7"/>
  <c r="AB19" i="7"/>
  <c r="AC19" i="7"/>
  <c r="AD19" i="7"/>
  <c r="AD21" i="7" s="1"/>
  <c r="AE19" i="7"/>
  <c r="AE21" i="7" s="1"/>
  <c r="AF19" i="7"/>
  <c r="AF21" i="7" s="1"/>
  <c r="AG19" i="7"/>
  <c r="AH19" i="7"/>
  <c r="AI19" i="7"/>
  <c r="AJ19" i="7"/>
  <c r="AK19" i="7"/>
  <c r="AL19" i="7"/>
  <c r="AM19" i="7"/>
  <c r="AN19" i="7"/>
  <c r="AO19" i="7"/>
  <c r="AP19" i="7"/>
  <c r="AP21" i="7" s="1"/>
  <c r="AQ19" i="7"/>
  <c r="AQ21" i="7" s="1"/>
  <c r="AR19" i="7"/>
  <c r="AR21" i="7" s="1"/>
  <c r="AS19" i="7"/>
  <c r="AT19" i="7"/>
  <c r="AU19" i="7"/>
  <c r="AV19" i="7"/>
  <c r="AW19" i="7"/>
  <c r="AX19" i="7"/>
  <c r="AY19" i="7"/>
  <c r="AZ19" i="7"/>
  <c r="BA19" i="7"/>
  <c r="BB19" i="7"/>
  <c r="BB21" i="7" s="1"/>
  <c r="BC19" i="7"/>
  <c r="BC21" i="7" s="1"/>
  <c r="BD19" i="7"/>
  <c r="BD21" i="7" s="1"/>
  <c r="BE19" i="7"/>
  <c r="BF19" i="7"/>
  <c r="BG19" i="7"/>
  <c r="BH19" i="7"/>
  <c r="BI19" i="7"/>
  <c r="BJ19" i="7"/>
  <c r="BK19" i="7"/>
  <c r="BL19" i="7"/>
  <c r="BM19" i="7"/>
  <c r="BN19" i="7"/>
  <c r="BN21" i="7" s="1"/>
  <c r="BO19" i="7"/>
  <c r="BO21" i="7" s="1"/>
  <c r="BP19" i="7"/>
  <c r="BP21" i="7" s="1"/>
  <c r="BQ19" i="7"/>
  <c r="BR19" i="7"/>
  <c r="BS19" i="7"/>
  <c r="BT19" i="7"/>
  <c r="BU19" i="7"/>
  <c r="D19" i="7"/>
  <c r="C19" i="7" l="1"/>
  <c r="C10" i="7"/>
  <c r="D14" i="2" l="1"/>
  <c r="C11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A8" i="7"/>
  <c r="B7" i="7"/>
  <c r="C7" i="7"/>
  <c r="D7" i="7"/>
  <c r="D9" i="7" s="1"/>
  <c r="E7" i="7"/>
  <c r="E9" i="7" s="1"/>
  <c r="F7" i="7"/>
  <c r="F9" i="7" s="1"/>
  <c r="G7" i="7"/>
  <c r="G9" i="7" s="1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P9" i="7" s="1"/>
  <c r="BQ7" i="7"/>
  <c r="BQ9" i="7" s="1"/>
  <c r="BR7" i="7"/>
  <c r="BR9" i="7" s="1"/>
  <c r="BS7" i="7"/>
  <c r="BS9" i="7" s="1"/>
  <c r="BT7" i="7"/>
  <c r="BT9" i="7" s="1"/>
  <c r="BU7" i="7"/>
  <c r="BU9" i="7" s="1"/>
  <c r="A7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A6" i="7"/>
  <c r="AN9" i="7" l="1"/>
  <c r="AN14" i="7" s="1"/>
  <c r="AB9" i="7"/>
  <c r="AB14" i="7" s="1"/>
  <c r="AZ9" i="7"/>
  <c r="AZ14" i="7" s="1"/>
  <c r="BL9" i="7"/>
  <c r="BL14" i="7" s="1"/>
  <c r="H13" i="7"/>
  <c r="P9" i="7"/>
  <c r="O9" i="7"/>
  <c r="M9" i="7"/>
  <c r="L9" i="7"/>
  <c r="BK9" i="7"/>
  <c r="BK14" i="7" s="1"/>
  <c r="AL9" i="7"/>
  <c r="AL14" i="7" s="1"/>
  <c r="AW9" i="7"/>
  <c r="AW14" i="7" s="1"/>
  <c r="AI9" i="7"/>
  <c r="AI14" i="7" s="1"/>
  <c r="K9" i="7"/>
  <c r="AA9" i="7"/>
  <c r="AX9" i="7"/>
  <c r="AX14" i="7" s="1"/>
  <c r="AK9" i="7"/>
  <c r="AK14" i="7" s="1"/>
  <c r="V9" i="7"/>
  <c r="J9" i="7"/>
  <c r="AM9" i="7"/>
  <c r="AM14" i="7" s="1"/>
  <c r="BJ9" i="7"/>
  <c r="BJ14" i="7" s="1"/>
  <c r="N9" i="7"/>
  <c r="BI9" i="7"/>
  <c r="BI14" i="7" s="1"/>
  <c r="BH9" i="7"/>
  <c r="BH14" i="7" s="1"/>
  <c r="BG9" i="7"/>
  <c r="BG14" i="7" s="1"/>
  <c r="BE9" i="7"/>
  <c r="BE14" i="7" s="1"/>
  <c r="I9" i="7"/>
  <c r="Y9" i="7"/>
  <c r="AJ9" i="7"/>
  <c r="AJ14" i="7" s="1"/>
  <c r="AU9" i="7"/>
  <c r="AU14" i="7" s="1"/>
  <c r="BF9" i="7"/>
  <c r="BF14" i="7" s="1"/>
  <c r="AS9" i="7"/>
  <c r="AS14" i="7" s="1"/>
  <c r="AV9" i="7"/>
  <c r="AV14" i="7" s="1"/>
  <c r="AT9" i="7"/>
  <c r="AT14" i="7" s="1"/>
  <c r="AG9" i="7"/>
  <c r="AG14" i="7" s="1"/>
  <c r="AY9" i="7"/>
  <c r="AY14" i="7" s="1"/>
  <c r="Z9" i="7"/>
  <c r="X9" i="7"/>
  <c r="W9" i="7"/>
  <c r="AH9" i="7"/>
  <c r="AH14" i="7" s="1"/>
  <c r="U9" i="7"/>
  <c r="BO13" i="7"/>
  <c r="BD9" i="7"/>
  <c r="BD14" i="7" s="1"/>
  <c r="AR9" i="7"/>
  <c r="AR14" i="7" s="1"/>
  <c r="AF9" i="7"/>
  <c r="AF14" i="7" s="1"/>
  <c r="T9" i="7"/>
  <c r="H9" i="7"/>
  <c r="BO9" i="7"/>
  <c r="BO14" i="7" s="1"/>
  <c r="BC9" i="7"/>
  <c r="BC14" i="7" s="1"/>
  <c r="AQ9" i="7"/>
  <c r="AQ14" i="7" s="1"/>
  <c r="AE9" i="7"/>
  <c r="AE14" i="7" s="1"/>
  <c r="S9" i="7"/>
  <c r="BN9" i="7"/>
  <c r="BN14" i="7" s="1"/>
  <c r="BB9" i="7"/>
  <c r="BB14" i="7" s="1"/>
  <c r="AP9" i="7"/>
  <c r="AP14" i="7" s="1"/>
  <c r="AD9" i="7"/>
  <c r="AD14" i="7" s="1"/>
  <c r="R9" i="7"/>
  <c r="BA9" i="7"/>
  <c r="BA14" i="7" s="1"/>
  <c r="AD13" i="7"/>
  <c r="AC13" i="7"/>
  <c r="AO9" i="7"/>
  <c r="AO14" i="7" s="1"/>
  <c r="S13" i="7"/>
  <c r="AC9" i="7"/>
  <c r="AC14" i="7" s="1"/>
  <c r="Q9" i="7"/>
  <c r="BM9" i="7"/>
  <c r="BM14" i="7" s="1"/>
  <c r="BN13" i="7"/>
  <c r="G13" i="7"/>
  <c r="F13" i="7"/>
  <c r="BA13" i="7"/>
  <c r="E13" i="7"/>
  <c r="BM13" i="7"/>
  <c r="AQ13" i="7"/>
  <c r="AP13" i="7"/>
  <c r="AO13" i="7"/>
  <c r="R13" i="7"/>
  <c r="Q13" i="7"/>
  <c r="BC13" i="7"/>
  <c r="BB13" i="7"/>
  <c r="AE13" i="7"/>
  <c r="AZ13" i="7"/>
  <c r="AZ15" i="7" s="1"/>
  <c r="AA13" i="7"/>
  <c r="AL13" i="7"/>
  <c r="BU13" i="7"/>
  <c r="AW13" i="7"/>
  <c r="BG13" i="7"/>
  <c r="BL13" i="7"/>
  <c r="BL15" i="7" s="1"/>
  <c r="AB13" i="7"/>
  <c r="P13" i="7"/>
  <c r="AM13" i="7"/>
  <c r="D13" i="7"/>
  <c r="BJ13" i="7"/>
  <c r="BT13" i="7"/>
  <c r="AV13" i="7"/>
  <c r="AV15" i="7" s="1"/>
  <c r="X13" i="7"/>
  <c r="AI13" i="7"/>
  <c r="BF13" i="7"/>
  <c r="BF15" i="7" s="1"/>
  <c r="AT13" i="7"/>
  <c r="AH13" i="7"/>
  <c r="V13" i="7"/>
  <c r="J13" i="7"/>
  <c r="AN13" i="7"/>
  <c r="BK13" i="7"/>
  <c r="O13" i="7"/>
  <c r="AX13" i="7"/>
  <c r="N13" i="7"/>
  <c r="Y13" i="7"/>
  <c r="M13" i="7"/>
  <c r="BH13" i="7"/>
  <c r="AJ13" i="7"/>
  <c r="L13" i="7"/>
  <c r="BS13" i="7"/>
  <c r="W13" i="7"/>
  <c r="BR13" i="7"/>
  <c r="BQ13" i="7"/>
  <c r="BE13" i="7"/>
  <c r="AS13" i="7"/>
  <c r="AS15" i="7" s="1"/>
  <c r="AG13" i="7"/>
  <c r="U13" i="7"/>
  <c r="I13" i="7"/>
  <c r="C12" i="7"/>
  <c r="AY13" i="7"/>
  <c r="Z13" i="7"/>
  <c r="BI13" i="7"/>
  <c r="AK13" i="7"/>
  <c r="AK15" i="7" s="1"/>
  <c r="AU13" i="7"/>
  <c r="K13" i="7"/>
  <c r="BP13" i="7"/>
  <c r="BD13" i="7"/>
  <c r="BD15" i="7" s="1"/>
  <c r="AR13" i="7"/>
  <c r="AR15" i="7" s="1"/>
  <c r="AF13" i="7"/>
  <c r="T13" i="7"/>
  <c r="E23" i="6"/>
  <c r="F23" i="6"/>
  <c r="G23" i="6"/>
  <c r="H23" i="6"/>
  <c r="H24" i="6" s="1"/>
  <c r="I23" i="6"/>
  <c r="I24" i="6" s="1"/>
  <c r="J23" i="6"/>
  <c r="J24" i="6" s="1"/>
  <c r="K23" i="6"/>
  <c r="K25" i="6" s="1"/>
  <c r="L23" i="6"/>
  <c r="L24" i="6" s="1"/>
  <c r="M23" i="6"/>
  <c r="M24" i="6" s="1"/>
  <c r="N23" i="6"/>
  <c r="N24" i="6" s="1"/>
  <c r="O23" i="6"/>
  <c r="O24" i="6" s="1"/>
  <c r="P23" i="6"/>
  <c r="P24" i="6" s="1"/>
  <c r="Q23" i="6"/>
  <c r="R23" i="6"/>
  <c r="S23" i="6"/>
  <c r="T23" i="6"/>
  <c r="T24" i="6" s="1"/>
  <c r="U23" i="6"/>
  <c r="U24" i="6" s="1"/>
  <c r="V23" i="6"/>
  <c r="V24" i="6" s="1"/>
  <c r="W23" i="6"/>
  <c r="W25" i="6" s="1"/>
  <c r="X23" i="6"/>
  <c r="X25" i="6" s="1"/>
  <c r="Y23" i="6"/>
  <c r="Y25" i="6" s="1"/>
  <c r="Z23" i="6"/>
  <c r="Z25" i="6" s="1"/>
  <c r="AA23" i="6"/>
  <c r="AA25" i="6" s="1"/>
  <c r="AB23" i="6"/>
  <c r="AB25" i="6" s="1"/>
  <c r="AC23" i="6"/>
  <c r="AD23" i="6"/>
  <c r="AE23" i="6"/>
  <c r="AF23" i="6"/>
  <c r="AF24" i="6" s="1"/>
  <c r="AG23" i="6"/>
  <c r="AG24" i="6" s="1"/>
  <c r="AH23" i="6"/>
  <c r="AH24" i="6" s="1"/>
  <c r="AI23" i="6"/>
  <c r="AI25" i="6" s="1"/>
  <c r="AJ23" i="6"/>
  <c r="AJ25" i="6" s="1"/>
  <c r="AK23" i="6"/>
  <c r="AK25" i="6" s="1"/>
  <c r="AL23" i="6"/>
  <c r="AL25" i="6" s="1"/>
  <c r="AM23" i="6"/>
  <c r="AM25" i="6" s="1"/>
  <c r="AN23" i="6"/>
  <c r="AN25" i="6" s="1"/>
  <c r="AO23" i="6"/>
  <c r="AP23" i="6"/>
  <c r="AQ23" i="6"/>
  <c r="AR23" i="6"/>
  <c r="AR24" i="6" s="1"/>
  <c r="AS23" i="6"/>
  <c r="AS24" i="6" s="1"/>
  <c r="AT23" i="6"/>
  <c r="AT24" i="6" s="1"/>
  <c r="AU23" i="6"/>
  <c r="AU25" i="6" s="1"/>
  <c r="AV23" i="6"/>
  <c r="AV24" i="6" s="1"/>
  <c r="AW23" i="6"/>
  <c r="AW25" i="6" s="1"/>
  <c r="AX23" i="6"/>
  <c r="AX24" i="6" s="1"/>
  <c r="AY23" i="6"/>
  <c r="AY25" i="6" s="1"/>
  <c r="AZ23" i="6"/>
  <c r="AZ24" i="6" s="1"/>
  <c r="BA23" i="6"/>
  <c r="BB23" i="6"/>
  <c r="BC23" i="6"/>
  <c r="BD23" i="6"/>
  <c r="BD24" i="6" s="1"/>
  <c r="BE23" i="6"/>
  <c r="BE24" i="6" s="1"/>
  <c r="BF23" i="6"/>
  <c r="BF24" i="6" s="1"/>
  <c r="BG23" i="6"/>
  <c r="BG25" i="6" s="1"/>
  <c r="BH23" i="6"/>
  <c r="BH25" i="6" s="1"/>
  <c r="BI23" i="6"/>
  <c r="BI25" i="6" s="1"/>
  <c r="BJ23" i="6"/>
  <c r="BJ25" i="6" s="1"/>
  <c r="BK23" i="6"/>
  <c r="BK25" i="6" s="1"/>
  <c r="BL23" i="6"/>
  <c r="BL24" i="6" s="1"/>
  <c r="BM23" i="6"/>
  <c r="BN23" i="6"/>
  <c r="BO23" i="6"/>
  <c r="BP23" i="6"/>
  <c r="BP24" i="6" s="1"/>
  <c r="BQ23" i="6"/>
  <c r="BQ24" i="6" s="1"/>
  <c r="BR23" i="6"/>
  <c r="BR24" i="6" s="1"/>
  <c r="BS23" i="6"/>
  <c r="BS25" i="6" s="1"/>
  <c r="BT23" i="6"/>
  <c r="BT25" i="6" s="1"/>
  <c r="BU23" i="6"/>
  <c r="BU25" i="6" s="1"/>
  <c r="E24" i="6"/>
  <c r="F24" i="6"/>
  <c r="G24" i="6"/>
  <c r="Q24" i="6"/>
  <c r="R24" i="6"/>
  <c r="S24" i="6"/>
  <c r="AC24" i="6"/>
  <c r="AD24" i="6"/>
  <c r="AE24" i="6"/>
  <c r="AO24" i="6"/>
  <c r="AP24" i="6"/>
  <c r="AQ24" i="6"/>
  <c r="BA24" i="6"/>
  <c r="BB24" i="6"/>
  <c r="BC24" i="6"/>
  <c r="BM24" i="6"/>
  <c r="BN24" i="6"/>
  <c r="BO24" i="6"/>
  <c r="E25" i="6"/>
  <c r="F25" i="6"/>
  <c r="G25" i="6"/>
  <c r="H25" i="6"/>
  <c r="I25" i="6"/>
  <c r="J25" i="6"/>
  <c r="Q25" i="6"/>
  <c r="R25" i="6"/>
  <c r="S25" i="6"/>
  <c r="T25" i="6"/>
  <c r="U25" i="6"/>
  <c r="V25" i="6"/>
  <c r="AC25" i="6"/>
  <c r="AD25" i="6"/>
  <c r="AE25" i="6"/>
  <c r="AF25" i="6"/>
  <c r="AG25" i="6"/>
  <c r="AH25" i="6"/>
  <c r="AO25" i="6"/>
  <c r="AP25" i="6"/>
  <c r="AQ25" i="6"/>
  <c r="AR25" i="6"/>
  <c r="AS25" i="6"/>
  <c r="AT25" i="6"/>
  <c r="BA25" i="6"/>
  <c r="BB25" i="6"/>
  <c r="BC25" i="6"/>
  <c r="BD25" i="6"/>
  <c r="BE25" i="6"/>
  <c r="BF25" i="6"/>
  <c r="BM25" i="6"/>
  <c r="BN25" i="6"/>
  <c r="BO25" i="6"/>
  <c r="BP25" i="6"/>
  <c r="BQ25" i="6"/>
  <c r="BR25" i="6"/>
  <c r="D25" i="6"/>
  <c r="D24" i="6"/>
  <c r="D23" i="6"/>
  <c r="AO15" i="7" l="1"/>
  <c r="AI15" i="7"/>
  <c r="AV25" i="7"/>
  <c r="BD25" i="7"/>
  <c r="BG15" i="7"/>
  <c r="AS25" i="7"/>
  <c r="AN15" i="7"/>
  <c r="AZ25" i="7"/>
  <c r="AR25" i="7"/>
  <c r="AK25" i="7"/>
  <c r="BL25" i="7"/>
  <c r="BF25" i="7"/>
  <c r="AB15" i="7"/>
  <c r="AD15" i="7"/>
  <c r="AF15" i="7"/>
  <c r="AU15" i="7"/>
  <c r="BJ15" i="7"/>
  <c r="AW15" i="7"/>
  <c r="AL15" i="7"/>
  <c r="AG15" i="7"/>
  <c r="BO15" i="7"/>
  <c r="AM15" i="7"/>
  <c r="BI15" i="7"/>
  <c r="BH15" i="7"/>
  <c r="BA15" i="7"/>
  <c r="AY15" i="7"/>
  <c r="AT15" i="7"/>
  <c r="AP15" i="7"/>
  <c r="AJ15" i="7"/>
  <c r="AC15" i="7"/>
  <c r="AH15" i="7"/>
  <c r="AX15" i="7"/>
  <c r="AQ15" i="7"/>
  <c r="BE15" i="7"/>
  <c r="BK15" i="7"/>
  <c r="BC15" i="7"/>
  <c r="BM15" i="7"/>
  <c r="AE15" i="7"/>
  <c r="BB15" i="7"/>
  <c r="BN15" i="7"/>
  <c r="L14" i="7"/>
  <c r="L15" i="7" s="1"/>
  <c r="X14" i="7"/>
  <c r="X15" i="7" s="1"/>
  <c r="BT14" i="7"/>
  <c r="BT15" i="7" s="1"/>
  <c r="AA14" i="7"/>
  <c r="AA15" i="7" s="1"/>
  <c r="G14" i="7"/>
  <c r="G15" i="7" s="1"/>
  <c r="H14" i="7"/>
  <c r="H15" i="7" s="1"/>
  <c r="BR14" i="7"/>
  <c r="BR15" i="7" s="1"/>
  <c r="K14" i="7"/>
  <c r="K15" i="7" s="1"/>
  <c r="M14" i="7"/>
  <c r="M15" i="7" s="1"/>
  <c r="Y14" i="7"/>
  <c r="Y15" i="7" s="1"/>
  <c r="BU14" i="7"/>
  <c r="BU15" i="7" s="1"/>
  <c r="BQ14" i="7"/>
  <c r="BQ15" i="7" s="1"/>
  <c r="V14" i="7"/>
  <c r="V15" i="7" s="1"/>
  <c r="N14" i="7"/>
  <c r="N15" i="7" s="1"/>
  <c r="Z14" i="7"/>
  <c r="Z15" i="7" s="1"/>
  <c r="D14" i="7"/>
  <c r="D15" i="7" s="1"/>
  <c r="O14" i="7"/>
  <c r="O15" i="7" s="1"/>
  <c r="J14" i="7"/>
  <c r="J15" i="7" s="1"/>
  <c r="P14" i="7"/>
  <c r="P15" i="7" s="1"/>
  <c r="BP14" i="7"/>
  <c r="BP15" i="7" s="1"/>
  <c r="E14" i="7"/>
  <c r="E15" i="7" s="1"/>
  <c r="Q14" i="7"/>
  <c r="Q15" i="7" s="1"/>
  <c r="S14" i="7"/>
  <c r="S15" i="7" s="1"/>
  <c r="T14" i="7"/>
  <c r="T15" i="7" s="1"/>
  <c r="W14" i="7"/>
  <c r="W15" i="7" s="1"/>
  <c r="BS14" i="7"/>
  <c r="BS15" i="7" s="1"/>
  <c r="F14" i="7"/>
  <c r="F15" i="7" s="1"/>
  <c r="R14" i="7"/>
  <c r="R15" i="7" s="1"/>
  <c r="I14" i="7"/>
  <c r="I15" i="7" s="1"/>
  <c r="U14" i="7"/>
  <c r="U15" i="7" s="1"/>
  <c r="C13" i="7"/>
  <c r="AA24" i="6"/>
  <c r="AM24" i="6"/>
  <c r="BJ24" i="6"/>
  <c r="Z24" i="6"/>
  <c r="AZ25" i="6"/>
  <c r="BI24" i="6"/>
  <c r="AJ24" i="6"/>
  <c r="AB24" i="6"/>
  <c r="AY24" i="6"/>
  <c r="AL24" i="6"/>
  <c r="BL25" i="6"/>
  <c r="AW24" i="6"/>
  <c r="O25" i="6"/>
  <c r="W24" i="6"/>
  <c r="AN24" i="6"/>
  <c r="BK24" i="6"/>
  <c r="P25" i="6"/>
  <c r="Y24" i="6"/>
  <c r="BH24" i="6"/>
  <c r="X24" i="6"/>
  <c r="AX25" i="6"/>
  <c r="N25" i="6"/>
  <c r="AI24" i="6"/>
  <c r="M25" i="6"/>
  <c r="BU24" i="6"/>
  <c r="BT24" i="6"/>
  <c r="BS24" i="6"/>
  <c r="BG24" i="6"/>
  <c r="AU24" i="6"/>
  <c r="K24" i="6"/>
  <c r="AV25" i="6"/>
  <c r="L25" i="6"/>
  <c r="AK24" i="6"/>
  <c r="C24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L22" i="6"/>
  <c r="BM22" i="6"/>
  <c r="BN22" i="6"/>
  <c r="BO22" i="6"/>
  <c r="BP22" i="6"/>
  <c r="BQ22" i="6"/>
  <c r="BR22" i="6"/>
  <c r="BS22" i="6"/>
  <c r="BT22" i="6"/>
  <c r="BU22" i="6"/>
  <c r="A22" i="6"/>
  <c r="AG25" i="7" l="1"/>
  <c r="AN25" i="7"/>
  <c r="W25" i="7"/>
  <c r="Y25" i="7"/>
  <c r="AA25" i="7"/>
  <c r="F25" i="7"/>
  <c r="BS25" i="7"/>
  <c r="BJ25" i="7"/>
  <c r="BQ25" i="7"/>
  <c r="BN25" i="7"/>
  <c r="AU25" i="7"/>
  <c r="BD28" i="7" s="1"/>
  <c r="Q25" i="7"/>
  <c r="AD25" i="7"/>
  <c r="BM25" i="7"/>
  <c r="BT25" i="7"/>
  <c r="AL25" i="7"/>
  <c r="X25" i="7"/>
  <c r="AW25" i="7"/>
  <c r="V25" i="7"/>
  <c r="T25" i="7"/>
  <c r="AC28" i="7" s="1"/>
  <c r="BU25" i="7"/>
  <c r="BB25" i="7"/>
  <c r="AT25" i="7"/>
  <c r="AE25" i="7"/>
  <c r="M25" i="7"/>
  <c r="AB25" i="7"/>
  <c r="BP25" i="7"/>
  <c r="K25" i="7"/>
  <c r="BC25" i="7"/>
  <c r="BL28" i="7" s="1"/>
  <c r="BH25" i="7"/>
  <c r="BQ28" i="7" s="1"/>
  <c r="P25" i="7"/>
  <c r="BR25" i="7"/>
  <c r="BK25" i="7"/>
  <c r="BI25" i="7"/>
  <c r="AI25" i="7"/>
  <c r="R25" i="7"/>
  <c r="AX25" i="7"/>
  <c r="Z25" i="7"/>
  <c r="AH25" i="7"/>
  <c r="N25" i="7"/>
  <c r="AC25" i="7"/>
  <c r="L25" i="7"/>
  <c r="AJ25" i="7"/>
  <c r="BG25" i="7"/>
  <c r="AP25" i="7"/>
  <c r="S25" i="7"/>
  <c r="AF25" i="7"/>
  <c r="AY25" i="7"/>
  <c r="E25" i="7"/>
  <c r="BA25" i="7"/>
  <c r="U25" i="7"/>
  <c r="AD28" i="7" s="1"/>
  <c r="J25" i="7"/>
  <c r="H25" i="7"/>
  <c r="BE25" i="7"/>
  <c r="AM25" i="7"/>
  <c r="AO25" i="7"/>
  <c r="I25" i="7"/>
  <c r="O25" i="7"/>
  <c r="G25" i="7"/>
  <c r="AQ25" i="7"/>
  <c r="BO25" i="7"/>
  <c r="D26" i="7"/>
  <c r="D31" i="7" s="1"/>
  <c r="D32" i="7" s="1"/>
  <c r="D25" i="7"/>
  <c r="C14" i="7"/>
  <c r="C15" i="7" s="1"/>
  <c r="C17" i="7" s="1"/>
  <c r="D15" i="6"/>
  <c r="Y28" i="7" l="1"/>
  <c r="AL28" i="7"/>
  <c r="S28" i="7"/>
  <c r="U28" i="7"/>
  <c r="AQ28" i="7"/>
  <c r="W28" i="7"/>
  <c r="AI28" i="7"/>
  <c r="BG28" i="7"/>
  <c r="BJ28" i="7"/>
  <c r="BI28" i="7"/>
  <c r="BH28" i="7"/>
  <c r="BF28" i="7"/>
  <c r="AG28" i="7"/>
  <c r="P28" i="7"/>
  <c r="R28" i="7"/>
  <c r="AK28" i="7"/>
  <c r="AU28" i="7"/>
  <c r="O28" i="7"/>
  <c r="N28" i="7"/>
  <c r="T28" i="7"/>
  <c r="AB28" i="7"/>
  <c r="AA28" i="7"/>
  <c r="V28" i="7"/>
  <c r="AJ28" i="7"/>
  <c r="BS28" i="7"/>
  <c r="X28" i="7"/>
  <c r="AY28" i="7"/>
  <c r="AR28" i="7"/>
  <c r="BO28" i="7"/>
  <c r="BU28" i="7"/>
  <c r="AH28" i="7"/>
  <c r="AE28" i="7"/>
  <c r="BP28" i="7"/>
  <c r="AM28" i="7"/>
  <c r="AF28" i="7"/>
  <c r="AZ28" i="7"/>
  <c r="AX28" i="7"/>
  <c r="AT28" i="7"/>
  <c r="AV28" i="7"/>
  <c r="AN28" i="7"/>
  <c r="BT28" i="7"/>
  <c r="BB28" i="7"/>
  <c r="BC28" i="7"/>
  <c r="BA28" i="7"/>
  <c r="AW28" i="7"/>
  <c r="BR28" i="7"/>
  <c r="BM28" i="7"/>
  <c r="AS28" i="7"/>
  <c r="Q28" i="7"/>
  <c r="BK28" i="7"/>
  <c r="Z28" i="7"/>
  <c r="AO28" i="7"/>
  <c r="AP28" i="7"/>
  <c r="BN28" i="7"/>
  <c r="BE28" i="7"/>
  <c r="E28" i="7"/>
  <c r="F28" i="7"/>
  <c r="G28" i="7"/>
  <c r="H28" i="7"/>
  <c r="I28" i="7"/>
  <c r="J28" i="7"/>
  <c r="K28" i="7"/>
  <c r="L28" i="7"/>
  <c r="M28" i="7"/>
  <c r="D28" i="7"/>
  <c r="D27" i="7"/>
  <c r="C25" i="7"/>
  <c r="D33" i="7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L15" i="6"/>
  <c r="BM15" i="6"/>
  <c r="BN15" i="6"/>
  <c r="BO15" i="6"/>
  <c r="BP15" i="6"/>
  <c r="BQ15" i="6"/>
  <c r="BR15" i="6"/>
  <c r="BS15" i="6"/>
  <c r="BT15" i="6"/>
  <c r="BU15" i="6"/>
  <c r="E15" i="6"/>
  <c r="D29" i="7" l="1"/>
  <c r="E24" i="7" s="1"/>
  <c r="J16" i="6"/>
  <c r="L16" i="6"/>
  <c r="M16" i="6"/>
  <c r="N16" i="6"/>
  <c r="O16" i="6"/>
  <c r="P16" i="6"/>
  <c r="Q16" i="6"/>
  <c r="R16" i="6"/>
  <c r="V16" i="6"/>
  <c r="W16" i="6"/>
  <c r="X16" i="6"/>
  <c r="Y16" i="6"/>
  <c r="Z16" i="6"/>
  <c r="AA16" i="6"/>
  <c r="AB16" i="6"/>
  <c r="AC16" i="6"/>
  <c r="AD16" i="6"/>
  <c r="AH16" i="6"/>
  <c r="AI16" i="6"/>
  <c r="AJ16" i="6"/>
  <c r="AK16" i="6"/>
  <c r="AL16" i="6"/>
  <c r="AM16" i="6"/>
  <c r="AN16" i="6"/>
  <c r="AO16" i="6"/>
  <c r="AP16" i="6"/>
  <c r="AT16" i="6"/>
  <c r="AU16" i="6"/>
  <c r="AV16" i="6"/>
  <c r="AW16" i="6"/>
  <c r="AX16" i="6"/>
  <c r="AY16" i="6"/>
  <c r="AZ16" i="6"/>
  <c r="BA16" i="6"/>
  <c r="BB16" i="6"/>
  <c r="BF16" i="6"/>
  <c r="BG16" i="6"/>
  <c r="BH16" i="6"/>
  <c r="BI16" i="6"/>
  <c r="BJ16" i="6"/>
  <c r="BK16" i="6"/>
  <c r="BL16" i="6"/>
  <c r="BM16" i="6"/>
  <c r="BN16" i="6"/>
  <c r="BR16" i="6"/>
  <c r="BS16" i="6"/>
  <c r="BT16" i="6"/>
  <c r="BU16" i="6"/>
  <c r="E16" i="6"/>
  <c r="F16" i="6"/>
  <c r="G16" i="6"/>
  <c r="H16" i="6"/>
  <c r="I16" i="6"/>
  <c r="K16" i="6"/>
  <c r="S16" i="6"/>
  <c r="T16" i="6"/>
  <c r="U16" i="6"/>
  <c r="AE16" i="6"/>
  <c r="AF16" i="6"/>
  <c r="AG16" i="6"/>
  <c r="AQ16" i="6"/>
  <c r="AR16" i="6"/>
  <c r="AS16" i="6"/>
  <c r="BC16" i="6"/>
  <c r="BD16" i="6"/>
  <c r="BE16" i="6"/>
  <c r="BO16" i="6"/>
  <c r="BP16" i="6"/>
  <c r="BQ16" i="6"/>
  <c r="D16" i="6"/>
  <c r="C10" i="6"/>
  <c r="C12" i="6" s="1"/>
  <c r="D30" i="7" l="1"/>
  <c r="E26" i="7"/>
  <c r="E31" i="7" s="1"/>
  <c r="E32" i="7" s="1"/>
  <c r="E27" i="7"/>
  <c r="I13" i="6"/>
  <c r="I14" i="6" s="1"/>
  <c r="I26" i="6" s="1"/>
  <c r="U13" i="6"/>
  <c r="U14" i="6" s="1"/>
  <c r="U26" i="6" s="1"/>
  <c r="AG13" i="6"/>
  <c r="AG14" i="6" s="1"/>
  <c r="AG26" i="6" s="1"/>
  <c r="AS13" i="6"/>
  <c r="AS14" i="6" s="1"/>
  <c r="AS26" i="6" s="1"/>
  <c r="BE13" i="6"/>
  <c r="BE14" i="6" s="1"/>
  <c r="BE26" i="6" s="1"/>
  <c r="BQ13" i="6"/>
  <c r="BQ14" i="6" s="1"/>
  <c r="BQ26" i="6" s="1"/>
  <c r="AM13" i="6"/>
  <c r="AM14" i="6" s="1"/>
  <c r="AM26" i="6" s="1"/>
  <c r="BA13" i="6"/>
  <c r="BA14" i="6" s="1"/>
  <c r="BA26" i="6" s="1"/>
  <c r="AQ13" i="6"/>
  <c r="AQ14" i="6" s="1"/>
  <c r="AQ26" i="6" s="1"/>
  <c r="W13" i="6"/>
  <c r="W14" i="6" s="1"/>
  <c r="W26" i="6" s="1"/>
  <c r="AU13" i="6"/>
  <c r="AU14" i="6" s="1"/>
  <c r="AU26" i="6" s="1"/>
  <c r="BG13" i="6"/>
  <c r="BG14" i="6" s="1"/>
  <c r="BG26" i="6" s="1"/>
  <c r="E13" i="6"/>
  <c r="E14" i="6" s="1"/>
  <c r="E26" i="6" s="1"/>
  <c r="BO13" i="6"/>
  <c r="BO14" i="6" s="1"/>
  <c r="BO26" i="6" s="1"/>
  <c r="K13" i="6"/>
  <c r="K14" i="6" s="1"/>
  <c r="K26" i="6" s="1"/>
  <c r="AI13" i="6"/>
  <c r="AI14" i="6" s="1"/>
  <c r="AI26" i="6" s="1"/>
  <c r="BS13" i="6"/>
  <c r="BS14" i="6" s="1"/>
  <c r="BS26" i="6" s="1"/>
  <c r="BK13" i="6"/>
  <c r="BK14" i="6" s="1"/>
  <c r="BK26" i="6" s="1"/>
  <c r="Q13" i="6"/>
  <c r="Q14" i="6" s="1"/>
  <c r="Q26" i="6" s="1"/>
  <c r="BC13" i="6"/>
  <c r="BC14" i="6" s="1"/>
  <c r="BC26" i="6" s="1"/>
  <c r="Y13" i="6"/>
  <c r="Y14" i="6" s="1"/>
  <c r="Y26" i="6" s="1"/>
  <c r="AK13" i="6"/>
  <c r="AK14" i="6" s="1"/>
  <c r="AK26" i="6" s="1"/>
  <c r="AW13" i="6"/>
  <c r="AW14" i="6" s="1"/>
  <c r="AW26" i="6" s="1"/>
  <c r="BI13" i="6"/>
  <c r="BI14" i="6" s="1"/>
  <c r="BI26" i="6" s="1"/>
  <c r="BU13" i="6"/>
  <c r="BU14" i="6" s="1"/>
  <c r="BU26" i="6" s="1"/>
  <c r="AY13" i="6"/>
  <c r="AY14" i="6" s="1"/>
  <c r="AY26" i="6" s="1"/>
  <c r="AC13" i="6"/>
  <c r="AC14" i="6" s="1"/>
  <c r="AC26" i="6" s="1"/>
  <c r="G13" i="6"/>
  <c r="G14" i="6" s="1"/>
  <c r="G26" i="6" s="1"/>
  <c r="M13" i="6"/>
  <c r="M14" i="6" s="1"/>
  <c r="M26" i="6" s="1"/>
  <c r="AA13" i="6"/>
  <c r="AA14" i="6" s="1"/>
  <c r="AA26" i="6" s="1"/>
  <c r="AO13" i="6"/>
  <c r="AO14" i="6" s="1"/>
  <c r="AO26" i="6" s="1"/>
  <c r="AE13" i="6"/>
  <c r="AE14" i="6" s="1"/>
  <c r="AE26" i="6" s="1"/>
  <c r="O13" i="6"/>
  <c r="O14" i="6" s="1"/>
  <c r="O26" i="6" s="1"/>
  <c r="BM13" i="6"/>
  <c r="BM14" i="6" s="1"/>
  <c r="BM26" i="6" s="1"/>
  <c r="S13" i="6"/>
  <c r="S14" i="6" s="1"/>
  <c r="S26" i="6" s="1"/>
  <c r="C11" i="6"/>
  <c r="E17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BM9" i="6"/>
  <c r="BN9" i="6"/>
  <c r="BO9" i="6"/>
  <c r="BP9" i="6"/>
  <c r="BQ9" i="6"/>
  <c r="BR9" i="6"/>
  <c r="BS9" i="6"/>
  <c r="BT9" i="6"/>
  <c r="BU9" i="6"/>
  <c r="A9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L8" i="6"/>
  <c r="BM8" i="6"/>
  <c r="BN8" i="6"/>
  <c r="BO8" i="6"/>
  <c r="BP8" i="6"/>
  <c r="BQ8" i="6"/>
  <c r="BR8" i="6"/>
  <c r="BS8" i="6"/>
  <c r="BT8" i="6"/>
  <c r="BU8" i="6"/>
  <c r="A8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BM7" i="6"/>
  <c r="BN7" i="6"/>
  <c r="BO7" i="6"/>
  <c r="BP7" i="6"/>
  <c r="BQ7" i="6"/>
  <c r="BR7" i="6"/>
  <c r="BS7" i="6"/>
  <c r="BT7" i="6"/>
  <c r="BU7" i="6"/>
  <c r="A7" i="6"/>
  <c r="BT6" i="6"/>
  <c r="BU6" i="6"/>
  <c r="BR6" i="6"/>
  <c r="BS6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BM6" i="6"/>
  <c r="BN6" i="6"/>
  <c r="BO6" i="6"/>
  <c r="BP6" i="6"/>
  <c r="BQ6" i="6"/>
  <c r="A6" i="6"/>
  <c r="E29" i="7" l="1"/>
  <c r="F24" i="7" s="1"/>
  <c r="E30" i="7"/>
  <c r="E33" i="7"/>
  <c r="E27" i="6"/>
  <c r="E28" i="6" s="1"/>
  <c r="AN13" i="6"/>
  <c r="AN14" i="6" s="1"/>
  <c r="AN26" i="6" s="1"/>
  <c r="AP13" i="6"/>
  <c r="AP14" i="6" s="1"/>
  <c r="AP26" i="6" s="1"/>
  <c r="J13" i="6"/>
  <c r="J14" i="6" s="1"/>
  <c r="J26" i="6" s="1"/>
  <c r="V13" i="6"/>
  <c r="V14" i="6" s="1"/>
  <c r="AH13" i="6"/>
  <c r="AH14" i="6" s="1"/>
  <c r="AT13" i="6"/>
  <c r="AT14" i="6" s="1"/>
  <c r="BF13" i="6"/>
  <c r="BF14" i="6" s="1"/>
  <c r="BR13" i="6"/>
  <c r="BR14" i="6" s="1"/>
  <c r="D13" i="6"/>
  <c r="D14" i="6" s="1"/>
  <c r="P13" i="6"/>
  <c r="P14" i="6" s="1"/>
  <c r="F13" i="6"/>
  <c r="F14" i="6" s="1"/>
  <c r="L13" i="6"/>
  <c r="L14" i="6" s="1"/>
  <c r="X13" i="6"/>
  <c r="X14" i="6" s="1"/>
  <c r="X26" i="6" s="1"/>
  <c r="AJ13" i="6"/>
  <c r="AJ14" i="6" s="1"/>
  <c r="AJ26" i="6" s="1"/>
  <c r="AV13" i="6"/>
  <c r="AV14" i="6" s="1"/>
  <c r="AV26" i="6" s="1"/>
  <c r="BH13" i="6"/>
  <c r="BH14" i="6" s="1"/>
  <c r="BT13" i="6"/>
  <c r="BT14" i="6" s="1"/>
  <c r="Z13" i="6"/>
  <c r="Z14" i="6" s="1"/>
  <c r="AX13" i="6"/>
  <c r="AX14" i="6" s="1"/>
  <c r="AX26" i="6" s="1"/>
  <c r="AB13" i="6"/>
  <c r="AB14" i="6" s="1"/>
  <c r="AB26" i="6" s="1"/>
  <c r="BB13" i="6"/>
  <c r="BB14" i="6" s="1"/>
  <c r="BP13" i="6"/>
  <c r="BP14" i="6" s="1"/>
  <c r="N13" i="6"/>
  <c r="N14" i="6" s="1"/>
  <c r="AL13" i="6"/>
  <c r="AL14" i="6" s="1"/>
  <c r="BJ13" i="6"/>
  <c r="BJ14" i="6" s="1"/>
  <c r="BJ26" i="6" s="1"/>
  <c r="AZ13" i="6"/>
  <c r="AZ14" i="6" s="1"/>
  <c r="AZ26" i="6" s="1"/>
  <c r="R13" i="6"/>
  <c r="R14" i="6" s="1"/>
  <c r="R26" i="6" s="1"/>
  <c r="BL13" i="6"/>
  <c r="BL14" i="6" s="1"/>
  <c r="BL26" i="6" s="1"/>
  <c r="AD13" i="6"/>
  <c r="AD14" i="6" s="1"/>
  <c r="AD26" i="6" s="1"/>
  <c r="AR13" i="6"/>
  <c r="AR14" i="6" s="1"/>
  <c r="BN13" i="6"/>
  <c r="BN14" i="6" s="1"/>
  <c r="H13" i="6"/>
  <c r="H14" i="6" s="1"/>
  <c r="H26" i="6" s="1"/>
  <c r="T13" i="6"/>
  <c r="T14" i="6" s="1"/>
  <c r="AF13" i="6"/>
  <c r="AF14" i="6" s="1"/>
  <c r="BD13" i="6"/>
  <c r="BD14" i="6" s="1"/>
  <c r="BU17" i="6"/>
  <c r="BU27" i="6" s="1"/>
  <c r="BU28" i="6" s="1"/>
  <c r="BS17" i="6"/>
  <c r="BS27" i="6" s="1"/>
  <c r="BS28" i="6" s="1"/>
  <c r="BI17" i="6"/>
  <c r="BI27" i="6" s="1"/>
  <c r="BI28" i="6" s="1"/>
  <c r="BG17" i="6"/>
  <c r="BG27" i="6" s="1"/>
  <c r="BG28" i="6" s="1"/>
  <c r="W17" i="6"/>
  <c r="W27" i="6" s="1"/>
  <c r="W28" i="6" s="1"/>
  <c r="AW17" i="6"/>
  <c r="AW27" i="6" s="1"/>
  <c r="AW28" i="6" s="1"/>
  <c r="M17" i="6"/>
  <c r="M27" i="6" s="1"/>
  <c r="M28" i="6" s="1"/>
  <c r="AU17" i="6"/>
  <c r="AU27" i="6" s="1"/>
  <c r="AU28" i="6" s="1"/>
  <c r="K17" i="6"/>
  <c r="K27" i="6" s="1"/>
  <c r="K28" i="6" s="1"/>
  <c r="BQ17" i="6"/>
  <c r="BQ27" i="6" s="1"/>
  <c r="BQ28" i="6" s="1"/>
  <c r="BE17" i="6"/>
  <c r="BE27" i="6" s="1"/>
  <c r="BE28" i="6" s="1"/>
  <c r="AS17" i="6"/>
  <c r="AS27" i="6" s="1"/>
  <c r="AS28" i="6" s="1"/>
  <c r="AG17" i="6"/>
  <c r="AG27" i="6" s="1"/>
  <c r="AG28" i="6" s="1"/>
  <c r="U17" i="6"/>
  <c r="U27" i="6" s="1"/>
  <c r="U28" i="6" s="1"/>
  <c r="I17" i="6"/>
  <c r="I27" i="6" s="1"/>
  <c r="I28" i="6" s="1"/>
  <c r="BO17" i="6"/>
  <c r="BO27" i="6" s="1"/>
  <c r="BO28" i="6" s="1"/>
  <c r="BC17" i="6"/>
  <c r="BC27" i="6" s="1"/>
  <c r="BC28" i="6" s="1"/>
  <c r="AQ17" i="6"/>
  <c r="AQ27" i="6" s="1"/>
  <c r="AQ28" i="6" s="1"/>
  <c r="AE17" i="6"/>
  <c r="AE27" i="6" s="1"/>
  <c r="AE28" i="6" s="1"/>
  <c r="S17" i="6"/>
  <c r="S27" i="6" s="1"/>
  <c r="S28" i="6" s="1"/>
  <c r="G17" i="6"/>
  <c r="G27" i="6" s="1"/>
  <c r="G28" i="6" s="1"/>
  <c r="O17" i="6"/>
  <c r="O27" i="6" s="1"/>
  <c r="O28" i="6" s="1"/>
  <c r="BM17" i="6"/>
  <c r="BM27" i="6" s="1"/>
  <c r="BM28" i="6" s="1"/>
  <c r="BA17" i="6"/>
  <c r="BA27" i="6" s="1"/>
  <c r="BA28" i="6" s="1"/>
  <c r="AO17" i="6"/>
  <c r="AO27" i="6" s="1"/>
  <c r="AO28" i="6" s="1"/>
  <c r="AC17" i="6"/>
  <c r="AC27" i="6" s="1"/>
  <c r="AC28" i="6" s="1"/>
  <c r="Q17" i="6"/>
  <c r="Q27" i="6" s="1"/>
  <c r="Q28" i="6" s="1"/>
  <c r="AI17" i="6"/>
  <c r="AI27" i="6" s="1"/>
  <c r="AI28" i="6" s="1"/>
  <c r="AK17" i="6"/>
  <c r="AK27" i="6" s="1"/>
  <c r="AK28" i="6" s="1"/>
  <c r="Y17" i="6"/>
  <c r="Y27" i="6" s="1"/>
  <c r="Y28" i="6" s="1"/>
  <c r="BK17" i="6"/>
  <c r="BK27" i="6" s="1"/>
  <c r="BK28" i="6" s="1"/>
  <c r="AY17" i="6"/>
  <c r="AY27" i="6" s="1"/>
  <c r="AY28" i="6" s="1"/>
  <c r="AM17" i="6"/>
  <c r="AM27" i="6" s="1"/>
  <c r="AM28" i="6" s="1"/>
  <c r="AA17" i="6"/>
  <c r="AA27" i="6" s="1"/>
  <c r="AA28" i="6" s="1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D24" i="4"/>
  <c r="F26" i="7" l="1"/>
  <c r="F31" i="7" s="1"/>
  <c r="F32" i="7" s="1"/>
  <c r="D26" i="6"/>
  <c r="C25" i="6"/>
  <c r="AP17" i="6"/>
  <c r="AJ17" i="6"/>
  <c r="AV17" i="6"/>
  <c r="AZ17" i="6"/>
  <c r="AZ27" i="6" s="1"/>
  <c r="AZ28" i="6" s="1"/>
  <c r="AX17" i="6"/>
  <c r="AX27" i="6" s="1"/>
  <c r="AX28" i="6" s="1"/>
  <c r="R17" i="6"/>
  <c r="J17" i="6"/>
  <c r="J27" i="6" s="1"/>
  <c r="J28" i="6" s="1"/>
  <c r="D17" i="6"/>
  <c r="N17" i="6"/>
  <c r="N26" i="6"/>
  <c r="N27" i="6" s="1"/>
  <c r="N28" i="6" s="1"/>
  <c r="F17" i="6"/>
  <c r="F26" i="6"/>
  <c r="F27" i="6" s="1"/>
  <c r="F28" i="6" s="1"/>
  <c r="BP17" i="6"/>
  <c r="BP26" i="6"/>
  <c r="BP27" i="6" s="1"/>
  <c r="BP28" i="6" s="1"/>
  <c r="Z17" i="6"/>
  <c r="Z26" i="6"/>
  <c r="AF17" i="6"/>
  <c r="AF26" i="6"/>
  <c r="AF27" i="6" s="1"/>
  <c r="AF28" i="6" s="1"/>
  <c r="T17" i="6"/>
  <c r="T26" i="6"/>
  <c r="T27" i="6" s="1"/>
  <c r="T28" i="6" s="1"/>
  <c r="H17" i="6"/>
  <c r="H27" i="6" s="1"/>
  <c r="H28" i="6" s="1"/>
  <c r="BR17" i="6"/>
  <c r="BR26" i="6"/>
  <c r="BR27" i="6" s="1"/>
  <c r="BR28" i="6" s="1"/>
  <c r="AT17" i="6"/>
  <c r="AT26" i="6"/>
  <c r="BT17" i="6"/>
  <c r="BT26" i="6"/>
  <c r="BT27" i="6" s="1"/>
  <c r="BT28" i="6" s="1"/>
  <c r="AH17" i="6"/>
  <c r="AH26" i="6"/>
  <c r="AH27" i="6" s="1"/>
  <c r="AH28" i="6" s="1"/>
  <c r="L17" i="6"/>
  <c r="L26" i="6"/>
  <c r="BN17" i="6"/>
  <c r="BN26" i="6"/>
  <c r="BN27" i="6" s="1"/>
  <c r="BN28" i="6" s="1"/>
  <c r="X17" i="6"/>
  <c r="X27" i="6" s="1"/>
  <c r="X28" i="6" s="1"/>
  <c r="V17" i="6"/>
  <c r="V26" i="6"/>
  <c r="V27" i="6" s="1"/>
  <c r="V28" i="6" s="1"/>
  <c r="AL17" i="6"/>
  <c r="AL26" i="6"/>
  <c r="AL27" i="6" s="1"/>
  <c r="AL28" i="6" s="1"/>
  <c r="BD17" i="6"/>
  <c r="BD26" i="6"/>
  <c r="BD27" i="6" s="1"/>
  <c r="BD28" i="6" s="1"/>
  <c r="P17" i="6"/>
  <c r="P26" i="6"/>
  <c r="P27" i="6" s="1"/>
  <c r="P28" i="6" s="1"/>
  <c r="BF17" i="6"/>
  <c r="BF26" i="6"/>
  <c r="BF27" i="6" s="1"/>
  <c r="BF28" i="6" s="1"/>
  <c r="AR17" i="6"/>
  <c r="AR26" i="6"/>
  <c r="AR27" i="6" s="1"/>
  <c r="AR28" i="6" s="1"/>
  <c r="AB17" i="6"/>
  <c r="AB27" i="6" s="1"/>
  <c r="AB28" i="6" s="1"/>
  <c r="BJ17" i="6"/>
  <c r="BJ27" i="6" s="1"/>
  <c r="BJ28" i="6" s="1"/>
  <c r="BB17" i="6"/>
  <c r="BB26" i="6"/>
  <c r="BB27" i="6" s="1"/>
  <c r="BB28" i="6" s="1"/>
  <c r="AN17" i="6"/>
  <c r="AN27" i="6" s="1"/>
  <c r="AN28" i="6" s="1"/>
  <c r="AD17" i="6"/>
  <c r="AD27" i="6" s="1"/>
  <c r="AD28" i="6" s="1"/>
  <c r="BH17" i="6"/>
  <c r="BH26" i="6"/>
  <c r="BH27" i="6" s="1"/>
  <c r="BH28" i="6" s="1"/>
  <c r="R27" i="6"/>
  <c r="R28" i="6" s="1"/>
  <c r="AV27" i="6"/>
  <c r="AV28" i="6" s="1"/>
  <c r="BL17" i="6"/>
  <c r="BL27" i="6" s="1"/>
  <c r="BL28" i="6" s="1"/>
  <c r="AJ27" i="6"/>
  <c r="AJ28" i="6" s="1"/>
  <c r="AP27" i="6"/>
  <c r="AP28" i="6" s="1"/>
  <c r="C14" i="6"/>
  <c r="C13" i="6"/>
  <c r="C19" i="6" s="1"/>
  <c r="C10" i="5"/>
  <c r="F27" i="7" l="1"/>
  <c r="F29" i="7"/>
  <c r="G24" i="7" s="1"/>
  <c r="F30" i="7"/>
  <c r="F33" i="7"/>
  <c r="D27" i="6"/>
  <c r="D28" i="6"/>
  <c r="C26" i="6"/>
  <c r="C30" i="6"/>
  <c r="AT27" i="6"/>
  <c r="AT28" i="6" s="1"/>
  <c r="C20" i="6"/>
  <c r="Z27" i="6"/>
  <c r="Z28" i="6" s="1"/>
  <c r="C17" i="6"/>
  <c r="L27" i="6"/>
  <c r="C27" i="6" s="1"/>
  <c r="B19" i="4"/>
  <c r="G26" i="7" l="1"/>
  <c r="G31" i="7" s="1"/>
  <c r="G32" i="7" s="1"/>
  <c r="L28" i="6"/>
  <c r="C28" i="6" s="1"/>
  <c r="C7" i="4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G33" i="7" l="1"/>
  <c r="G27" i="7"/>
  <c r="C8" i="4"/>
  <c r="D16" i="4"/>
  <c r="D6" i="5" s="1"/>
  <c r="B43" i="2"/>
  <c r="G29" i="7" l="1"/>
  <c r="H24" i="7" s="1"/>
  <c r="D23" i="4"/>
  <c r="D8" i="5" s="1"/>
  <c r="D17" i="4"/>
  <c r="D20" i="4"/>
  <c r="D7" i="5" s="1"/>
  <c r="C11" i="4"/>
  <c r="D21" i="4" s="1"/>
  <c r="C10" i="4"/>
  <c r="C9" i="4"/>
  <c r="B27" i="2"/>
  <c r="G30" i="7" l="1"/>
  <c r="H26" i="7"/>
  <c r="H31" i="7" s="1"/>
  <c r="H32" i="7" s="1"/>
  <c r="D11" i="5"/>
  <c r="D13" i="5"/>
  <c r="D22" i="4"/>
  <c r="E16" i="4"/>
  <c r="E6" i="5" s="1"/>
  <c r="D18" i="4"/>
  <c r="D19" i="4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H27" i="7" l="1"/>
  <c r="H29" i="7"/>
  <c r="I24" i="7" s="1"/>
  <c r="H30" i="7"/>
  <c r="H33" i="7"/>
  <c r="D16" i="5"/>
  <c r="D12" i="5"/>
  <c r="E23" i="4"/>
  <c r="E8" i="5" s="1"/>
  <c r="E17" i="4"/>
  <c r="E20" i="4"/>
  <c r="E7" i="5" s="1"/>
  <c r="E22" i="4"/>
  <c r="E21" i="4"/>
  <c r="L16" i="3"/>
  <c r="L17" i="3"/>
  <c r="M17" i="3"/>
  <c r="N17" i="3" s="1"/>
  <c r="M16" i="3"/>
  <c r="N16" i="3" s="1"/>
  <c r="M18" i="3"/>
  <c r="I26" i="7" l="1"/>
  <c r="I31" i="7" s="1"/>
  <c r="I32" i="7" s="1"/>
  <c r="I33" i="7" s="1"/>
  <c r="I27" i="7"/>
  <c r="D14" i="5"/>
  <c r="E13" i="5"/>
  <c r="E11" i="5"/>
  <c r="E19" i="4"/>
  <c r="F16" i="4"/>
  <c r="F6" i="5" s="1"/>
  <c r="E18" i="4"/>
  <c r="E25" i="4"/>
  <c r="L18" i="3"/>
  <c r="N18" i="3" s="1"/>
  <c r="I29" i="7" l="1"/>
  <c r="J24" i="7" s="1"/>
  <c r="E39" i="5"/>
  <c r="E12" i="5"/>
  <c r="E16" i="5"/>
  <c r="D15" i="5"/>
  <c r="D18" i="5"/>
  <c r="F23" i="4"/>
  <c r="F8" i="5" s="1"/>
  <c r="F17" i="4"/>
  <c r="F22" i="4"/>
  <c r="F20" i="4"/>
  <c r="F7" i="5" s="1"/>
  <c r="F21" i="4"/>
  <c r="J26" i="7" l="1"/>
  <c r="J31" i="7" s="1"/>
  <c r="J32" i="7" s="1"/>
  <c r="J33" i="7" s="1"/>
  <c r="I30" i="7"/>
  <c r="F13" i="5"/>
  <c r="F11" i="5"/>
  <c r="E14" i="5"/>
  <c r="F18" i="4"/>
  <c r="F19" i="4"/>
  <c r="G16" i="4"/>
  <c r="G6" i="5" s="1"/>
  <c r="F25" i="4"/>
  <c r="J27" i="7" l="1"/>
  <c r="E15" i="5"/>
  <c r="E18" i="5"/>
  <c r="F39" i="5"/>
  <c r="F12" i="5"/>
  <c r="F16" i="5"/>
  <c r="G23" i="4"/>
  <c r="G8" i="5" s="1"/>
  <c r="G17" i="4"/>
  <c r="G22" i="4"/>
  <c r="G20" i="4"/>
  <c r="G7" i="5" s="1"/>
  <c r="G21" i="4"/>
  <c r="J29" i="7" l="1"/>
  <c r="K24" i="7" s="1"/>
  <c r="F14" i="5"/>
  <c r="G11" i="5"/>
  <c r="G13" i="5"/>
  <c r="G25" i="4"/>
  <c r="H16" i="4"/>
  <c r="H6" i="5" s="1"/>
  <c r="G18" i="4"/>
  <c r="G19" i="4"/>
  <c r="J30" i="7" l="1"/>
  <c r="K26" i="7"/>
  <c r="K31" i="7" s="1"/>
  <c r="K32" i="7" s="1"/>
  <c r="K33" i="7" s="1"/>
  <c r="G39" i="5"/>
  <c r="G16" i="5"/>
  <c r="G12" i="5"/>
  <c r="F15" i="5"/>
  <c r="F18" i="5"/>
  <c r="H23" i="4"/>
  <c r="H8" i="5" s="1"/>
  <c r="H17" i="4"/>
  <c r="H22" i="4"/>
  <c r="H20" i="4"/>
  <c r="H7" i="5" s="1"/>
  <c r="H21" i="4"/>
  <c r="K27" i="7" l="1"/>
  <c r="K29" i="7"/>
  <c r="L24" i="7" s="1"/>
  <c r="G14" i="5"/>
  <c r="H33" i="5"/>
  <c r="H11" i="5"/>
  <c r="H13" i="5"/>
  <c r="H25" i="4"/>
  <c r="I16" i="4"/>
  <c r="I6" i="5" s="1"/>
  <c r="H18" i="4"/>
  <c r="H19" i="4"/>
  <c r="K30" i="7" l="1"/>
  <c r="L26" i="7"/>
  <c r="L31" i="7" s="1"/>
  <c r="L32" i="7" s="1"/>
  <c r="L33" i="7" s="1"/>
  <c r="L27" i="7"/>
  <c r="H39" i="5"/>
  <c r="H16" i="5"/>
  <c r="H12" i="5"/>
  <c r="G15" i="5"/>
  <c r="G18" i="5" s="1"/>
  <c r="I23" i="4"/>
  <c r="I8" i="5" s="1"/>
  <c r="I17" i="4"/>
  <c r="I20" i="4"/>
  <c r="I7" i="5" s="1"/>
  <c r="I22" i="4"/>
  <c r="I21" i="4"/>
  <c r="L29" i="7" l="1"/>
  <c r="M24" i="7" s="1"/>
  <c r="L30" i="7"/>
  <c r="I13" i="5"/>
  <c r="I11" i="5"/>
  <c r="I33" i="5"/>
  <c r="H14" i="5"/>
  <c r="I25" i="4"/>
  <c r="J16" i="4"/>
  <c r="J6" i="5" s="1"/>
  <c r="I18" i="4"/>
  <c r="I19" i="4"/>
  <c r="M26" i="7" l="1"/>
  <c r="M31" i="7" s="1"/>
  <c r="M32" i="7" s="1"/>
  <c r="M33" i="7" s="1"/>
  <c r="H15" i="5"/>
  <c r="H18" i="5"/>
  <c r="I39" i="5"/>
  <c r="I12" i="5"/>
  <c r="I14" i="5" s="1"/>
  <c r="I16" i="5"/>
  <c r="J23" i="4"/>
  <c r="J8" i="5" s="1"/>
  <c r="J17" i="4"/>
  <c r="J20" i="4"/>
  <c r="J7" i="5" s="1"/>
  <c r="J22" i="4"/>
  <c r="J21" i="4"/>
  <c r="M27" i="7" l="1"/>
  <c r="M29" i="7"/>
  <c r="N24" i="7" s="1"/>
  <c r="M30" i="7"/>
  <c r="J33" i="5"/>
  <c r="J11" i="5"/>
  <c r="J13" i="5"/>
  <c r="I15" i="5"/>
  <c r="I18" i="5"/>
  <c r="J25" i="4"/>
  <c r="K16" i="4"/>
  <c r="K6" i="5" s="1"/>
  <c r="J19" i="4"/>
  <c r="J18" i="4"/>
  <c r="N26" i="7" l="1"/>
  <c r="N31" i="7" s="1"/>
  <c r="N32" i="7" s="1"/>
  <c r="N33" i="7" s="1"/>
  <c r="J39" i="5"/>
  <c r="J12" i="5"/>
  <c r="J14" i="5" s="1"/>
  <c r="J16" i="5"/>
  <c r="K23" i="4"/>
  <c r="K8" i="5" s="1"/>
  <c r="K17" i="4"/>
  <c r="K21" i="4"/>
  <c r="K20" i="4"/>
  <c r="K22" i="4"/>
  <c r="N27" i="7" l="1"/>
  <c r="N29" i="7"/>
  <c r="O24" i="7" s="1"/>
  <c r="K25" i="4"/>
  <c r="K7" i="5"/>
  <c r="J15" i="5"/>
  <c r="J18" i="5" s="1"/>
  <c r="L16" i="4"/>
  <c r="L6" i="5" s="1"/>
  <c r="K19" i="4"/>
  <c r="K18" i="4"/>
  <c r="N30" i="7" l="1"/>
  <c r="O26" i="7"/>
  <c r="O31" i="7" s="1"/>
  <c r="O32" i="7" s="1"/>
  <c r="O33" i="7" s="1"/>
  <c r="O27" i="7"/>
  <c r="K33" i="5"/>
  <c r="K13" i="5"/>
  <c r="K11" i="5"/>
  <c r="L23" i="4"/>
  <c r="L8" i="5" s="1"/>
  <c r="L17" i="4"/>
  <c r="L21" i="4"/>
  <c r="L20" i="4"/>
  <c r="L7" i="5" s="1"/>
  <c r="L22" i="4"/>
  <c r="O29" i="7" l="1"/>
  <c r="P24" i="7" s="1"/>
  <c r="O30" i="7"/>
  <c r="L13" i="5"/>
  <c r="L33" i="5"/>
  <c r="L11" i="5"/>
  <c r="K39" i="5"/>
  <c r="K16" i="5"/>
  <c r="K12" i="5"/>
  <c r="K14" i="5" s="1"/>
  <c r="L25" i="4"/>
  <c r="M16" i="4"/>
  <c r="M6" i="5" s="1"/>
  <c r="L19" i="4"/>
  <c r="L18" i="4"/>
  <c r="P26" i="7" l="1"/>
  <c r="P31" i="7" s="1"/>
  <c r="P32" i="7" s="1"/>
  <c r="P33" i="7" s="1"/>
  <c r="K15" i="5"/>
  <c r="K18" i="5"/>
  <c r="L39" i="5"/>
  <c r="L16" i="5"/>
  <c r="L12" i="5"/>
  <c r="L14" i="5" s="1"/>
  <c r="L15" i="5" s="1"/>
  <c r="L18" i="5" s="1"/>
  <c r="M23" i="4"/>
  <c r="M8" i="5" s="1"/>
  <c r="M17" i="4"/>
  <c r="M21" i="4"/>
  <c r="M20" i="4"/>
  <c r="M7" i="5" s="1"/>
  <c r="M22" i="4"/>
  <c r="P27" i="7" l="1"/>
  <c r="P29" i="7" s="1"/>
  <c r="Q24" i="7" s="1"/>
  <c r="M11" i="5"/>
  <c r="M13" i="5"/>
  <c r="M33" i="5"/>
  <c r="M25" i="4"/>
  <c r="N16" i="4"/>
  <c r="N6" i="5" s="1"/>
  <c r="M19" i="4"/>
  <c r="M18" i="4"/>
  <c r="P30" i="7" l="1"/>
  <c r="Q26" i="7"/>
  <c r="Q31" i="7" s="1"/>
  <c r="Q32" i="7" s="1"/>
  <c r="Q33" i="7" s="1"/>
  <c r="M39" i="5"/>
  <c r="M16" i="5"/>
  <c r="M12" i="5"/>
  <c r="M14" i="5" s="1"/>
  <c r="M15" i="5" s="1"/>
  <c r="M18" i="5" s="1"/>
  <c r="N23" i="4"/>
  <c r="N8" i="5" s="1"/>
  <c r="N17" i="4"/>
  <c r="N21" i="4"/>
  <c r="N20" i="4"/>
  <c r="N22" i="4"/>
  <c r="Q27" i="7" l="1"/>
  <c r="Q29" i="7"/>
  <c r="R24" i="7" s="1"/>
  <c r="N25" i="4"/>
  <c r="N7" i="5"/>
  <c r="O16" i="4"/>
  <c r="O6" i="5" s="1"/>
  <c r="N18" i="4"/>
  <c r="N19" i="4"/>
  <c r="Q30" i="7" l="1"/>
  <c r="R26" i="7"/>
  <c r="R31" i="7" s="1"/>
  <c r="R32" i="7" s="1"/>
  <c r="R33" i="7" s="1"/>
  <c r="N33" i="5"/>
  <c r="N13" i="5"/>
  <c r="N11" i="5"/>
  <c r="O23" i="4"/>
  <c r="O8" i="5" s="1"/>
  <c r="O17" i="4"/>
  <c r="O21" i="4"/>
  <c r="O22" i="4"/>
  <c r="O20" i="4"/>
  <c r="O7" i="5" s="1"/>
  <c r="R27" i="7" l="1"/>
  <c r="R29" i="7"/>
  <c r="S24" i="7" s="1"/>
  <c r="O13" i="5"/>
  <c r="O11" i="5"/>
  <c r="O33" i="5"/>
  <c r="N39" i="5"/>
  <c r="N16" i="5"/>
  <c r="N12" i="5"/>
  <c r="N14" i="5" s="1"/>
  <c r="N15" i="5" s="1"/>
  <c r="N18" i="5" s="1"/>
  <c r="O25" i="4"/>
  <c r="P16" i="4"/>
  <c r="P6" i="5" s="1"/>
  <c r="O18" i="4"/>
  <c r="O19" i="4"/>
  <c r="R30" i="7" l="1"/>
  <c r="S26" i="7"/>
  <c r="S31" i="7" s="1"/>
  <c r="S32" i="7" s="1"/>
  <c r="S33" i="7" s="1"/>
  <c r="O39" i="5"/>
  <c r="O12" i="5"/>
  <c r="O14" i="5" s="1"/>
  <c r="O16" i="5"/>
  <c r="P23" i="4"/>
  <c r="P8" i="5" s="1"/>
  <c r="P17" i="4"/>
  <c r="P21" i="4"/>
  <c r="P22" i="4"/>
  <c r="P20" i="4"/>
  <c r="S27" i="7" l="1"/>
  <c r="P25" i="4"/>
  <c r="P7" i="5"/>
  <c r="O15" i="5"/>
  <c r="O18" i="5"/>
  <c r="Q16" i="4"/>
  <c r="Q6" i="5" s="1"/>
  <c r="P18" i="4"/>
  <c r="P19" i="4"/>
  <c r="S29" i="7" l="1"/>
  <c r="T24" i="7" s="1"/>
  <c r="S30" i="7"/>
  <c r="P13" i="5"/>
  <c r="P33" i="5"/>
  <c r="P11" i="5"/>
  <c r="Q23" i="4"/>
  <c r="Q8" i="5" s="1"/>
  <c r="Q17" i="4"/>
  <c r="Q21" i="4"/>
  <c r="Q22" i="4"/>
  <c r="Q20" i="4"/>
  <c r="T26" i="7" l="1"/>
  <c r="T31" i="7" s="1"/>
  <c r="T32" i="7" s="1"/>
  <c r="T33" i="7" s="1"/>
  <c r="Q25" i="4"/>
  <c r="Q7" i="5"/>
  <c r="P39" i="5"/>
  <c r="P16" i="5"/>
  <c r="P12" i="5"/>
  <c r="P14" i="5" s="1"/>
  <c r="R16" i="4"/>
  <c r="R6" i="5" s="1"/>
  <c r="Q18" i="4"/>
  <c r="Q19" i="4"/>
  <c r="T27" i="7" l="1"/>
  <c r="P15" i="5"/>
  <c r="P18" i="5"/>
  <c r="Q13" i="5"/>
  <c r="Q33" i="5"/>
  <c r="Q11" i="5"/>
  <c r="R23" i="4"/>
  <c r="R8" i="5" s="1"/>
  <c r="R17" i="4"/>
  <c r="R22" i="4"/>
  <c r="R20" i="4"/>
  <c r="R7" i="5" s="1"/>
  <c r="R21" i="4"/>
  <c r="T29" i="7" l="1"/>
  <c r="U24" i="7" s="1"/>
  <c r="R13" i="5"/>
  <c r="R33" i="5"/>
  <c r="R11" i="5"/>
  <c r="Q39" i="5"/>
  <c r="Q12" i="5"/>
  <c r="Q14" i="5" s="1"/>
  <c r="Q16" i="5"/>
  <c r="R25" i="4"/>
  <c r="S16" i="4"/>
  <c r="S6" i="5" s="1"/>
  <c r="R19" i="4"/>
  <c r="R18" i="4"/>
  <c r="T30" i="7" l="1"/>
  <c r="U26" i="7"/>
  <c r="U31" i="7" s="1"/>
  <c r="U32" i="7" s="1"/>
  <c r="U33" i="7" s="1"/>
  <c r="Q15" i="5"/>
  <c r="Q18" i="5"/>
  <c r="R39" i="5"/>
  <c r="R12" i="5"/>
  <c r="R14" i="5" s="1"/>
  <c r="R15" i="5" s="1"/>
  <c r="R16" i="5"/>
  <c r="S23" i="4"/>
  <c r="S8" i="5" s="1"/>
  <c r="S17" i="4"/>
  <c r="S22" i="4"/>
  <c r="S20" i="4"/>
  <c r="S7" i="5" s="1"/>
  <c r="S21" i="4"/>
  <c r="U27" i="7" l="1"/>
  <c r="U29" i="7"/>
  <c r="V24" i="7" s="1"/>
  <c r="U30" i="7"/>
  <c r="S13" i="5"/>
  <c r="S33" i="5"/>
  <c r="S11" i="5"/>
  <c r="R18" i="5"/>
  <c r="S25" i="4"/>
  <c r="T16" i="4"/>
  <c r="T6" i="5" s="1"/>
  <c r="S19" i="4"/>
  <c r="S18" i="4"/>
  <c r="V26" i="7" l="1"/>
  <c r="V31" i="7" s="1"/>
  <c r="V32" i="7" s="1"/>
  <c r="V33" i="7" s="1"/>
  <c r="V27" i="7"/>
  <c r="S39" i="5"/>
  <c r="S16" i="5"/>
  <c r="S12" i="5"/>
  <c r="S14" i="5" s="1"/>
  <c r="S15" i="5" s="1"/>
  <c r="S18" i="5" s="1"/>
  <c r="T23" i="4"/>
  <c r="T8" i="5" s="1"/>
  <c r="T17" i="4"/>
  <c r="T20" i="4"/>
  <c r="T7" i="5" s="1"/>
  <c r="T22" i="4"/>
  <c r="T21" i="4"/>
  <c r="V29" i="7" l="1"/>
  <c r="W24" i="7" s="1"/>
  <c r="T13" i="5"/>
  <c r="T11" i="5"/>
  <c r="T33" i="5"/>
  <c r="T25" i="4"/>
  <c r="U16" i="4"/>
  <c r="U6" i="5" s="1"/>
  <c r="T19" i="4"/>
  <c r="T18" i="4"/>
  <c r="V30" i="7" l="1"/>
  <c r="W26" i="7"/>
  <c r="W31" i="7" s="1"/>
  <c r="W32" i="7" s="1"/>
  <c r="W33" i="7" s="1"/>
  <c r="T39" i="5"/>
  <c r="T16" i="5"/>
  <c r="T12" i="5"/>
  <c r="T14" i="5" s="1"/>
  <c r="T15" i="5" s="1"/>
  <c r="T18" i="5" s="1"/>
  <c r="U23" i="4"/>
  <c r="U8" i="5" s="1"/>
  <c r="U17" i="4"/>
  <c r="U22" i="4"/>
  <c r="U20" i="4"/>
  <c r="U7" i="5" s="1"/>
  <c r="U21" i="4"/>
  <c r="W27" i="7" l="1"/>
  <c r="U33" i="5"/>
  <c r="U13" i="5"/>
  <c r="U11" i="5"/>
  <c r="U25" i="4"/>
  <c r="V16" i="4"/>
  <c r="V6" i="5" s="1"/>
  <c r="U19" i="4"/>
  <c r="U18" i="4"/>
  <c r="W29" i="7" l="1"/>
  <c r="X24" i="7" s="1"/>
  <c r="W30" i="7"/>
  <c r="U39" i="5"/>
  <c r="U12" i="5"/>
  <c r="U14" i="5" s="1"/>
  <c r="U16" i="5"/>
  <c r="V23" i="4"/>
  <c r="V8" i="5" s="1"/>
  <c r="V17" i="4"/>
  <c r="V20" i="4"/>
  <c r="V7" i="5" s="1"/>
  <c r="V22" i="4"/>
  <c r="V21" i="4"/>
  <c r="X26" i="7" l="1"/>
  <c r="X31" i="7" s="1"/>
  <c r="X32" i="7" s="1"/>
  <c r="X33" i="7" s="1"/>
  <c r="V11" i="5"/>
  <c r="V13" i="5"/>
  <c r="V33" i="5"/>
  <c r="U15" i="5"/>
  <c r="U18" i="5"/>
  <c r="V25" i="4"/>
  <c r="W16" i="4"/>
  <c r="W6" i="5" s="1"/>
  <c r="V19" i="4"/>
  <c r="V18" i="4"/>
  <c r="X27" i="7" l="1"/>
  <c r="X29" i="7"/>
  <c r="Y24" i="7" s="1"/>
  <c r="V39" i="5"/>
  <c r="V12" i="5"/>
  <c r="V14" i="5" s="1"/>
  <c r="V16" i="5"/>
  <c r="W23" i="4"/>
  <c r="W8" i="5" s="1"/>
  <c r="W17" i="4"/>
  <c r="W22" i="4"/>
  <c r="W21" i="4"/>
  <c r="W20" i="4"/>
  <c r="W7" i="5" s="1"/>
  <c r="X30" i="7" l="1"/>
  <c r="Y26" i="7"/>
  <c r="Y31" i="7" s="1"/>
  <c r="Y32" i="7" s="1"/>
  <c r="Y33" i="7" s="1"/>
  <c r="W11" i="5"/>
  <c r="W13" i="5"/>
  <c r="W33" i="5"/>
  <c r="V15" i="5"/>
  <c r="V18" i="5"/>
  <c r="W25" i="4"/>
  <c r="X16" i="4"/>
  <c r="X6" i="5" s="1"/>
  <c r="W19" i="4"/>
  <c r="W18" i="4"/>
  <c r="Y27" i="7" l="1"/>
  <c r="W39" i="5"/>
  <c r="W12" i="5"/>
  <c r="W14" i="5" s="1"/>
  <c r="W16" i="5"/>
  <c r="X23" i="4"/>
  <c r="X8" i="5" s="1"/>
  <c r="X17" i="4"/>
  <c r="X22" i="4"/>
  <c r="X20" i="4"/>
  <c r="X7" i="5" s="1"/>
  <c r="X21" i="4"/>
  <c r="Y29" i="7" l="1"/>
  <c r="Z24" i="7" s="1"/>
  <c r="X11" i="5"/>
  <c r="X13" i="5"/>
  <c r="X33" i="5"/>
  <c r="W15" i="5"/>
  <c r="W18" i="5" s="1"/>
  <c r="X25" i="4"/>
  <c r="Y16" i="4"/>
  <c r="Y6" i="5" s="1"/>
  <c r="X19" i="4"/>
  <c r="X18" i="4"/>
  <c r="Y30" i="7" l="1"/>
  <c r="Z26" i="7"/>
  <c r="Z31" i="7" s="1"/>
  <c r="Z32" i="7" s="1"/>
  <c r="Z33" i="7" s="1"/>
  <c r="Z27" i="7"/>
  <c r="X39" i="5"/>
  <c r="X12" i="5"/>
  <c r="X14" i="5" s="1"/>
  <c r="X15" i="5" s="1"/>
  <c r="X18" i="5" s="1"/>
  <c r="X16" i="5"/>
  <c r="Y23" i="4"/>
  <c r="Y8" i="5" s="1"/>
  <c r="Y17" i="4"/>
  <c r="Y20" i="4"/>
  <c r="Y7" i="5" s="1"/>
  <c r="Y22" i="4"/>
  <c r="Y21" i="4"/>
  <c r="Z29" i="7" l="1"/>
  <c r="AA24" i="7" s="1"/>
  <c r="Y13" i="5"/>
  <c r="Y33" i="5"/>
  <c r="Y11" i="5"/>
  <c r="Y25" i="4"/>
  <c r="Z16" i="4"/>
  <c r="Z6" i="5" s="1"/>
  <c r="Y19" i="4"/>
  <c r="Y18" i="4"/>
  <c r="AA26" i="7" l="1"/>
  <c r="AA31" i="7" s="1"/>
  <c r="AA32" i="7" s="1"/>
  <c r="AA33" i="7" s="1"/>
  <c r="AA27" i="7"/>
  <c r="Z30" i="7"/>
  <c r="Y39" i="5"/>
  <c r="Y16" i="5"/>
  <c r="Y12" i="5"/>
  <c r="Y14" i="5" s="1"/>
  <c r="Z23" i="4"/>
  <c r="Z8" i="5" s="1"/>
  <c r="Z17" i="4"/>
  <c r="Z21" i="4"/>
  <c r="Z20" i="4"/>
  <c r="Z7" i="5" s="1"/>
  <c r="Z22" i="4"/>
  <c r="AA29" i="7" l="1"/>
  <c r="AB24" i="7" s="1"/>
  <c r="Z33" i="5"/>
  <c r="Z11" i="5"/>
  <c r="Z13" i="5"/>
  <c r="Y15" i="5"/>
  <c r="Y18" i="5"/>
  <c r="Z25" i="4"/>
  <c r="AA16" i="4"/>
  <c r="AA6" i="5" s="1"/>
  <c r="Z18" i="4"/>
  <c r="Z19" i="4"/>
  <c r="AA30" i="7" l="1"/>
  <c r="AB26" i="7"/>
  <c r="AB31" i="7" s="1"/>
  <c r="AB32" i="7" s="1"/>
  <c r="AB33" i="7" s="1"/>
  <c r="Z39" i="5"/>
  <c r="Z12" i="5"/>
  <c r="Z14" i="5" s="1"/>
  <c r="Z16" i="5"/>
  <c r="AA23" i="4"/>
  <c r="AA8" i="5" s="1"/>
  <c r="AA17" i="4"/>
  <c r="AA21" i="4"/>
  <c r="AA20" i="4"/>
  <c r="AA22" i="4"/>
  <c r="AB27" i="7" l="1"/>
  <c r="AB29" i="7"/>
  <c r="AC24" i="7" s="1"/>
  <c r="AB30" i="7"/>
  <c r="AA25" i="4"/>
  <c r="AA7" i="5"/>
  <c r="Z15" i="5"/>
  <c r="Z18" i="5"/>
  <c r="AB16" i="4"/>
  <c r="AB6" i="5" s="1"/>
  <c r="AA18" i="4"/>
  <c r="AA19" i="4"/>
  <c r="AC26" i="7" l="1"/>
  <c r="AC31" i="7" s="1"/>
  <c r="AC32" i="7" s="1"/>
  <c r="AC33" i="7" s="1"/>
  <c r="AC27" i="7"/>
  <c r="AA13" i="5"/>
  <c r="AA11" i="5"/>
  <c r="AA33" i="5"/>
  <c r="AB23" i="4"/>
  <c r="AB8" i="5" s="1"/>
  <c r="AB17" i="4"/>
  <c r="AB21" i="4"/>
  <c r="AB20" i="4"/>
  <c r="AB7" i="5" s="1"/>
  <c r="AB22" i="4"/>
  <c r="AC29" i="7" l="1"/>
  <c r="AD24" i="7" s="1"/>
  <c r="AC30" i="7"/>
  <c r="AB11" i="5"/>
  <c r="AB13" i="5"/>
  <c r="AB33" i="5"/>
  <c r="AA39" i="5"/>
  <c r="AA16" i="5"/>
  <c r="AA12" i="5"/>
  <c r="AA14" i="5" s="1"/>
  <c r="AB25" i="4"/>
  <c r="AC16" i="4"/>
  <c r="AC6" i="5" s="1"/>
  <c r="AB18" i="4"/>
  <c r="AB19" i="4"/>
  <c r="AD26" i="7" l="1"/>
  <c r="AD31" i="7" s="1"/>
  <c r="AD32" i="7" s="1"/>
  <c r="AD33" i="7" s="1"/>
  <c r="AA15" i="5"/>
  <c r="AA18" i="5"/>
  <c r="AB39" i="5"/>
  <c r="AB16" i="5"/>
  <c r="AB12" i="5"/>
  <c r="AB14" i="5" s="1"/>
  <c r="AC23" i="4"/>
  <c r="AC8" i="5" s="1"/>
  <c r="AC17" i="4"/>
  <c r="AC21" i="4"/>
  <c r="AC20" i="4"/>
  <c r="AC7" i="5" s="1"/>
  <c r="AC22" i="4"/>
  <c r="AD27" i="7" l="1"/>
  <c r="AD29" i="7"/>
  <c r="AE24" i="7" s="1"/>
  <c r="AD30" i="7"/>
  <c r="AC33" i="5"/>
  <c r="AC13" i="5"/>
  <c r="AC11" i="5"/>
  <c r="AB15" i="5"/>
  <c r="AB18" i="5"/>
  <c r="AC25" i="4"/>
  <c r="AD16" i="4"/>
  <c r="AD6" i="5" s="1"/>
  <c r="AC18" i="4"/>
  <c r="AC19" i="4"/>
  <c r="AE26" i="7" l="1"/>
  <c r="AE31" i="7" s="1"/>
  <c r="AE32" i="7" s="1"/>
  <c r="AE33" i="7" s="1"/>
  <c r="AE27" i="7"/>
  <c r="AC39" i="5"/>
  <c r="AC12" i="5"/>
  <c r="AC14" i="5" s="1"/>
  <c r="AC16" i="5"/>
  <c r="AD23" i="4"/>
  <c r="AD8" i="5" s="1"/>
  <c r="AD17" i="4"/>
  <c r="AD22" i="4"/>
  <c r="AD20" i="4"/>
  <c r="AD7" i="5" s="1"/>
  <c r="AD21" i="4"/>
  <c r="AE29" i="7" l="1"/>
  <c r="AF24" i="7" s="1"/>
  <c r="AE30" i="7"/>
  <c r="AD11" i="5"/>
  <c r="AD33" i="5"/>
  <c r="AD13" i="5"/>
  <c r="AC15" i="5"/>
  <c r="AC18" i="5"/>
  <c r="AD25" i="4"/>
  <c r="AE16" i="4"/>
  <c r="AE6" i="5" s="1"/>
  <c r="AD18" i="4"/>
  <c r="AD19" i="4"/>
  <c r="AF26" i="7" l="1"/>
  <c r="AF31" i="7" s="1"/>
  <c r="AF32" i="7" s="1"/>
  <c r="AF33" i="7" s="1"/>
  <c r="AF27" i="7"/>
  <c r="AD39" i="5"/>
  <c r="AD12" i="5"/>
  <c r="AD14" i="5" s="1"/>
  <c r="AD16" i="5"/>
  <c r="AE23" i="4"/>
  <c r="AE8" i="5" s="1"/>
  <c r="AE17" i="4"/>
  <c r="AE22" i="4"/>
  <c r="AE20" i="4"/>
  <c r="AE7" i="5" s="1"/>
  <c r="AE21" i="4"/>
  <c r="AF29" i="7" l="1"/>
  <c r="AG24" i="7" s="1"/>
  <c r="AE13" i="5"/>
  <c r="AE11" i="5"/>
  <c r="AE33" i="5"/>
  <c r="AD15" i="5"/>
  <c r="AD18" i="5"/>
  <c r="AE25" i="4"/>
  <c r="AF16" i="4"/>
  <c r="AF6" i="5" s="1"/>
  <c r="AE18" i="4"/>
  <c r="AE19" i="4"/>
  <c r="AF30" i="7" l="1"/>
  <c r="AG26" i="7"/>
  <c r="AG31" i="7" s="1"/>
  <c r="AG32" i="7" s="1"/>
  <c r="AG33" i="7" s="1"/>
  <c r="AE39" i="5"/>
  <c r="AE16" i="5"/>
  <c r="AE12" i="5"/>
  <c r="AE14" i="5" s="1"/>
  <c r="AE15" i="5" s="1"/>
  <c r="AE18" i="5" s="1"/>
  <c r="AF23" i="4"/>
  <c r="AF8" i="5" s="1"/>
  <c r="AF17" i="4"/>
  <c r="AF22" i="4"/>
  <c r="AF20" i="4"/>
  <c r="AF7" i="5" s="1"/>
  <c r="AF21" i="4"/>
  <c r="AG27" i="7" l="1"/>
  <c r="AG29" i="7" s="1"/>
  <c r="AH24" i="7" s="1"/>
  <c r="AF13" i="5"/>
  <c r="AF11" i="5"/>
  <c r="AF33" i="5"/>
  <c r="AF25" i="4"/>
  <c r="AG16" i="4"/>
  <c r="AG6" i="5" s="1"/>
  <c r="AF18" i="4"/>
  <c r="AF19" i="4"/>
  <c r="AG30" i="7" l="1"/>
  <c r="AH26" i="7"/>
  <c r="AH31" i="7" s="1"/>
  <c r="AH32" i="7" s="1"/>
  <c r="AH33" i="7" s="1"/>
  <c r="AH27" i="7"/>
  <c r="AF39" i="5"/>
  <c r="AF16" i="5"/>
  <c r="AF12" i="5"/>
  <c r="AF14" i="5" s="1"/>
  <c r="AF15" i="5" s="1"/>
  <c r="AF18" i="5" s="1"/>
  <c r="AG23" i="4"/>
  <c r="AG8" i="5" s="1"/>
  <c r="AG17" i="4"/>
  <c r="AG20" i="4"/>
  <c r="AG7" i="5" s="1"/>
  <c r="AG22" i="4"/>
  <c r="AG21" i="4"/>
  <c r="AH29" i="7" l="1"/>
  <c r="AI24" i="7" s="1"/>
  <c r="AH30" i="7"/>
  <c r="AG11" i="5"/>
  <c r="AG33" i="5"/>
  <c r="AG13" i="5"/>
  <c r="AG25" i="4"/>
  <c r="AH16" i="4"/>
  <c r="AH6" i="5" s="1"/>
  <c r="AG18" i="4"/>
  <c r="AG19" i="4"/>
  <c r="AI26" i="7" l="1"/>
  <c r="AI31" i="7" s="1"/>
  <c r="AI32" i="7" s="1"/>
  <c r="AI33" i="7" s="1"/>
  <c r="AG39" i="5"/>
  <c r="AG12" i="5"/>
  <c r="AG14" i="5" s="1"/>
  <c r="AG16" i="5"/>
  <c r="AH23" i="4"/>
  <c r="AH8" i="5" s="1"/>
  <c r="AH17" i="4"/>
  <c r="AH22" i="4"/>
  <c r="AH20" i="4"/>
  <c r="AH7" i="5" s="1"/>
  <c r="AH21" i="4"/>
  <c r="AI27" i="7" l="1"/>
  <c r="AI29" i="7"/>
  <c r="AJ24" i="7" s="1"/>
  <c r="AH33" i="5"/>
  <c r="AH13" i="5"/>
  <c r="AH11" i="5"/>
  <c r="AG15" i="5"/>
  <c r="AG18" i="5"/>
  <c r="AH25" i="4"/>
  <c r="AI16" i="4"/>
  <c r="AI6" i="5" s="1"/>
  <c r="AH19" i="4"/>
  <c r="AH18" i="4"/>
  <c r="AI30" i="7" l="1"/>
  <c r="AJ26" i="7"/>
  <c r="AJ31" i="7" s="1"/>
  <c r="AJ32" i="7" s="1"/>
  <c r="AJ33" i="7" s="1"/>
  <c r="AJ27" i="7"/>
  <c r="AH39" i="5"/>
  <c r="AH16" i="5"/>
  <c r="AH12" i="5"/>
  <c r="AH14" i="5" s="1"/>
  <c r="AI23" i="4"/>
  <c r="AI8" i="5" s="1"/>
  <c r="AI17" i="4"/>
  <c r="AI21" i="4"/>
  <c r="AI22" i="4"/>
  <c r="AI20" i="4"/>
  <c r="AI7" i="5" s="1"/>
  <c r="AJ29" i="7" l="1"/>
  <c r="AK24" i="7" s="1"/>
  <c r="AI13" i="5"/>
  <c r="AI11" i="5"/>
  <c r="AI33" i="5"/>
  <c r="AH15" i="5"/>
  <c r="AH18" i="5" s="1"/>
  <c r="AI25" i="4"/>
  <c r="AJ16" i="4"/>
  <c r="AJ6" i="5" s="1"/>
  <c r="AI19" i="4"/>
  <c r="AI18" i="4"/>
  <c r="AJ30" i="7" l="1"/>
  <c r="AK26" i="7"/>
  <c r="AK31" i="7" s="1"/>
  <c r="AK32" i="7" s="1"/>
  <c r="AK33" i="7" s="1"/>
  <c r="AK27" i="7"/>
  <c r="AI39" i="5"/>
  <c r="AI16" i="5"/>
  <c r="AI12" i="5"/>
  <c r="AI14" i="5" s="1"/>
  <c r="AI15" i="5" s="1"/>
  <c r="AI18" i="5" s="1"/>
  <c r="AJ23" i="4"/>
  <c r="AJ8" i="5" s="1"/>
  <c r="AJ17" i="4"/>
  <c r="AJ21" i="4"/>
  <c r="AJ20" i="4"/>
  <c r="AJ22" i="4"/>
  <c r="AK29" i="7" l="1"/>
  <c r="AL24" i="7" s="1"/>
  <c r="AK30" i="7"/>
  <c r="AJ25" i="4"/>
  <c r="AJ7" i="5"/>
  <c r="AK16" i="4"/>
  <c r="AK6" i="5" s="1"/>
  <c r="AJ19" i="4"/>
  <c r="AJ18" i="4"/>
  <c r="AL26" i="7" l="1"/>
  <c r="AL31" i="7" s="1"/>
  <c r="AL32" i="7" s="1"/>
  <c r="AL33" i="7" s="1"/>
  <c r="AL27" i="7"/>
  <c r="AJ11" i="5"/>
  <c r="AJ33" i="5"/>
  <c r="AJ13" i="5"/>
  <c r="AK23" i="4"/>
  <c r="AK8" i="5" s="1"/>
  <c r="AK17" i="4"/>
  <c r="AK21" i="4"/>
  <c r="AK22" i="4"/>
  <c r="AK20" i="4"/>
  <c r="AK7" i="5" s="1"/>
  <c r="AL29" i="7" l="1"/>
  <c r="AM24" i="7" s="1"/>
  <c r="AL30" i="7"/>
  <c r="AK11" i="5"/>
  <c r="AK13" i="5"/>
  <c r="AK33" i="5"/>
  <c r="AJ39" i="5"/>
  <c r="AJ12" i="5"/>
  <c r="AJ14" i="5" s="1"/>
  <c r="AJ16" i="5"/>
  <c r="AK25" i="4"/>
  <c r="AL16" i="4"/>
  <c r="AL6" i="5" s="1"/>
  <c r="AK19" i="4"/>
  <c r="AK18" i="4"/>
  <c r="AM26" i="7" l="1"/>
  <c r="AM31" i="7" s="1"/>
  <c r="AM32" i="7" s="1"/>
  <c r="AM33" i="7" s="1"/>
  <c r="AJ15" i="5"/>
  <c r="AJ18" i="5"/>
  <c r="AK39" i="5"/>
  <c r="AK16" i="5"/>
  <c r="AK12" i="5"/>
  <c r="AK14" i="5" s="1"/>
  <c r="AL23" i="4"/>
  <c r="AL8" i="5" s="1"/>
  <c r="AL17" i="4"/>
  <c r="AL21" i="4"/>
  <c r="AL20" i="4"/>
  <c r="AL7" i="5" s="1"/>
  <c r="AL22" i="4"/>
  <c r="AM27" i="7" l="1"/>
  <c r="AM29" i="7"/>
  <c r="AN24" i="7" s="1"/>
  <c r="AM30" i="7"/>
  <c r="AL11" i="5"/>
  <c r="AL33" i="5"/>
  <c r="AL13" i="5"/>
  <c r="AK15" i="5"/>
  <c r="AK18" i="5"/>
  <c r="AL25" i="4"/>
  <c r="AM16" i="4"/>
  <c r="AM6" i="5" s="1"/>
  <c r="AL18" i="4"/>
  <c r="AL19" i="4"/>
  <c r="AN26" i="7" l="1"/>
  <c r="AN31" i="7" s="1"/>
  <c r="AN32" i="7" s="1"/>
  <c r="AN33" i="7" s="1"/>
  <c r="AN27" i="7"/>
  <c r="AL39" i="5"/>
  <c r="AL12" i="5"/>
  <c r="AL14" i="5" s="1"/>
  <c r="AL16" i="5"/>
  <c r="AM23" i="4"/>
  <c r="AM8" i="5" s="1"/>
  <c r="AM17" i="4"/>
  <c r="AM21" i="4"/>
  <c r="AM20" i="4"/>
  <c r="AM7" i="5" s="1"/>
  <c r="AM22" i="4"/>
  <c r="AN29" i="7" l="1"/>
  <c r="AO24" i="7" s="1"/>
  <c r="AN30" i="7"/>
  <c r="AM13" i="5"/>
  <c r="AM11" i="5"/>
  <c r="AM33" i="5"/>
  <c r="AL15" i="5"/>
  <c r="AL18" i="5"/>
  <c r="AM25" i="4"/>
  <c r="AN16" i="4"/>
  <c r="AN6" i="5" s="1"/>
  <c r="AM18" i="4"/>
  <c r="AM19" i="4"/>
  <c r="AO26" i="7" l="1"/>
  <c r="AO31" i="7" s="1"/>
  <c r="AO32" i="7" s="1"/>
  <c r="AO33" i="7" s="1"/>
  <c r="AM39" i="5"/>
  <c r="AM12" i="5"/>
  <c r="AM14" i="5" s="1"/>
  <c r="AM16" i="5"/>
  <c r="AN23" i="4"/>
  <c r="AN8" i="5" s="1"/>
  <c r="AN17" i="4"/>
  <c r="AN21" i="4"/>
  <c r="AN20" i="4"/>
  <c r="AN7" i="5" s="1"/>
  <c r="AN22" i="4"/>
  <c r="AO27" i="7" l="1"/>
  <c r="AO29" i="7"/>
  <c r="AP24" i="7" s="1"/>
  <c r="AO30" i="7"/>
  <c r="AN13" i="5"/>
  <c r="AN33" i="5"/>
  <c r="AN11" i="5"/>
  <c r="AM15" i="5"/>
  <c r="AM18" i="5"/>
  <c r="AN25" i="4"/>
  <c r="AO16" i="4"/>
  <c r="AO6" i="5" s="1"/>
  <c r="AN18" i="4"/>
  <c r="AN19" i="4"/>
  <c r="AP26" i="7" l="1"/>
  <c r="AP31" i="7" s="1"/>
  <c r="AP32" i="7" s="1"/>
  <c r="AP33" i="7" s="1"/>
  <c r="AN39" i="5"/>
  <c r="AN16" i="5"/>
  <c r="AN12" i="5"/>
  <c r="AN14" i="5" s="1"/>
  <c r="AO23" i="4"/>
  <c r="AO8" i="5" s="1"/>
  <c r="AO17" i="4"/>
  <c r="AO21" i="4"/>
  <c r="AO22" i="4"/>
  <c r="AO20" i="4"/>
  <c r="AO7" i="5" s="1"/>
  <c r="AP27" i="7" l="1"/>
  <c r="AP29" i="7"/>
  <c r="AQ24" i="7" s="1"/>
  <c r="AO11" i="5"/>
  <c r="AO33" i="5"/>
  <c r="AO13" i="5"/>
  <c r="AN15" i="5"/>
  <c r="AN18" i="5"/>
  <c r="AO25" i="4"/>
  <c r="AP16" i="4"/>
  <c r="AP6" i="5" s="1"/>
  <c r="AO18" i="4"/>
  <c r="AO19" i="4"/>
  <c r="AP30" i="7" l="1"/>
  <c r="AQ26" i="7"/>
  <c r="AQ31" i="7" s="1"/>
  <c r="AQ32" i="7" s="1"/>
  <c r="AQ33" i="7" s="1"/>
  <c r="AO39" i="5"/>
  <c r="AO16" i="5"/>
  <c r="AO12" i="5"/>
  <c r="AO14" i="5" s="1"/>
  <c r="AP23" i="4"/>
  <c r="AP8" i="5" s="1"/>
  <c r="AP17" i="4"/>
  <c r="AP22" i="4"/>
  <c r="AP20" i="4"/>
  <c r="AP7" i="5" s="1"/>
  <c r="AP21" i="4"/>
  <c r="AQ27" i="7" l="1"/>
  <c r="AQ29" i="7" s="1"/>
  <c r="AR24" i="7" s="1"/>
  <c r="AP11" i="5"/>
  <c r="AP13" i="5"/>
  <c r="AP33" i="5"/>
  <c r="AO15" i="5"/>
  <c r="AO18" i="5"/>
  <c r="AP25" i="4"/>
  <c r="AQ16" i="4"/>
  <c r="AQ6" i="5" s="1"/>
  <c r="AP18" i="4"/>
  <c r="AP19" i="4"/>
  <c r="AQ30" i="7" l="1"/>
  <c r="AR26" i="7"/>
  <c r="AR31" i="7" s="1"/>
  <c r="AR32" i="7" s="1"/>
  <c r="AR33" i="7" s="1"/>
  <c r="AR27" i="7"/>
  <c r="AP39" i="5"/>
  <c r="AP12" i="5"/>
  <c r="AP14" i="5" s="1"/>
  <c r="AP16" i="5"/>
  <c r="AQ23" i="4"/>
  <c r="AQ8" i="5" s="1"/>
  <c r="AQ17" i="4"/>
  <c r="AQ22" i="4"/>
  <c r="AQ20" i="4"/>
  <c r="AQ7" i="5" s="1"/>
  <c r="AQ21" i="4"/>
  <c r="AR29" i="7" l="1"/>
  <c r="AS24" i="7" s="1"/>
  <c r="AQ33" i="5"/>
  <c r="AQ11" i="5"/>
  <c r="AQ13" i="5"/>
  <c r="AP15" i="5"/>
  <c r="AP18" i="5"/>
  <c r="AQ25" i="4"/>
  <c r="AR16" i="4"/>
  <c r="AR6" i="5" s="1"/>
  <c r="AQ18" i="4"/>
  <c r="AQ19" i="4"/>
  <c r="AR30" i="7" l="1"/>
  <c r="AS26" i="7"/>
  <c r="AS31" i="7" s="1"/>
  <c r="AS32" i="7" s="1"/>
  <c r="AS33" i="7" s="1"/>
  <c r="AS27" i="7"/>
  <c r="AQ39" i="5"/>
  <c r="AQ12" i="5"/>
  <c r="AQ14" i="5" s="1"/>
  <c r="AQ15" i="5" s="1"/>
  <c r="AQ18" i="5" s="1"/>
  <c r="AQ16" i="5"/>
  <c r="AR23" i="4"/>
  <c r="AR8" i="5" s="1"/>
  <c r="AR17" i="4"/>
  <c r="AR22" i="4"/>
  <c r="AR20" i="4"/>
  <c r="AR7" i="5" s="1"/>
  <c r="AR21" i="4"/>
  <c r="AS29" i="7" l="1"/>
  <c r="AT24" i="7" s="1"/>
  <c r="AS30" i="7"/>
  <c r="AR13" i="5"/>
  <c r="AR33" i="5"/>
  <c r="AR11" i="5"/>
  <c r="AR25" i="4"/>
  <c r="AS16" i="4"/>
  <c r="AS6" i="5" s="1"/>
  <c r="AR18" i="4"/>
  <c r="AR19" i="4"/>
  <c r="AT26" i="7" l="1"/>
  <c r="AT31" i="7" s="1"/>
  <c r="AT32" i="7" s="1"/>
  <c r="AT33" i="7" s="1"/>
  <c r="AT27" i="7"/>
  <c r="AR39" i="5"/>
  <c r="AR16" i="5"/>
  <c r="AR12" i="5"/>
  <c r="AR14" i="5" s="1"/>
  <c r="AR15" i="5" s="1"/>
  <c r="AR18" i="5" s="1"/>
  <c r="AS23" i="4"/>
  <c r="AS8" i="5" s="1"/>
  <c r="AS17" i="4"/>
  <c r="AS20" i="4"/>
  <c r="AS7" i="5" s="1"/>
  <c r="AS22" i="4"/>
  <c r="AS21" i="4"/>
  <c r="AT29" i="7" l="1"/>
  <c r="AU24" i="7" s="1"/>
  <c r="AT30" i="7"/>
  <c r="AS33" i="5"/>
  <c r="AS13" i="5"/>
  <c r="AS11" i="5"/>
  <c r="AS25" i="4"/>
  <c r="AT16" i="4"/>
  <c r="AT6" i="5" s="1"/>
  <c r="AS18" i="4"/>
  <c r="AS19" i="4"/>
  <c r="AU26" i="7" l="1"/>
  <c r="AU31" i="7" s="1"/>
  <c r="AU32" i="7" s="1"/>
  <c r="AU33" i="7" s="1"/>
  <c r="AS39" i="5"/>
  <c r="AS16" i="5"/>
  <c r="AS12" i="5"/>
  <c r="AS14" i="5" s="1"/>
  <c r="AT23" i="4"/>
  <c r="AT8" i="5" s="1"/>
  <c r="AT17" i="4"/>
  <c r="AT20" i="4"/>
  <c r="AT7" i="5" s="1"/>
  <c r="AT22" i="4"/>
  <c r="AT21" i="4"/>
  <c r="AU27" i="7" l="1"/>
  <c r="AU29" i="7" s="1"/>
  <c r="AV24" i="7" s="1"/>
  <c r="AT13" i="5"/>
  <c r="AT33" i="5"/>
  <c r="AT11" i="5"/>
  <c r="AS15" i="5"/>
  <c r="AS18" i="5"/>
  <c r="AT25" i="4"/>
  <c r="AU16" i="4"/>
  <c r="AU6" i="5" s="1"/>
  <c r="AT19" i="4"/>
  <c r="AT18" i="4"/>
  <c r="AU30" i="7" l="1"/>
  <c r="AV26" i="7"/>
  <c r="AV31" i="7" s="1"/>
  <c r="AV32" i="7" s="1"/>
  <c r="AV33" i="7" s="1"/>
  <c r="AV27" i="7"/>
  <c r="AT39" i="5"/>
  <c r="AT12" i="5"/>
  <c r="AT14" i="5" s="1"/>
  <c r="AT16" i="5"/>
  <c r="AU23" i="4"/>
  <c r="AU8" i="5" s="1"/>
  <c r="AU17" i="4"/>
  <c r="AU20" i="4"/>
  <c r="AU7" i="5" s="1"/>
  <c r="AU22" i="4"/>
  <c r="AU21" i="4"/>
  <c r="AV29" i="7" l="1"/>
  <c r="AW24" i="7" s="1"/>
  <c r="AV30" i="7"/>
  <c r="AT15" i="5"/>
  <c r="AT18" i="5"/>
  <c r="AU33" i="5"/>
  <c r="AU11" i="5"/>
  <c r="AU13" i="5"/>
  <c r="AU25" i="4"/>
  <c r="AV16" i="4"/>
  <c r="AV6" i="5" s="1"/>
  <c r="AU19" i="4"/>
  <c r="AU18" i="4"/>
  <c r="AW26" i="7" l="1"/>
  <c r="AW31" i="7" s="1"/>
  <c r="AW32" i="7" s="1"/>
  <c r="AW33" i="7" s="1"/>
  <c r="AW27" i="7"/>
  <c r="AU39" i="5"/>
  <c r="AU16" i="5"/>
  <c r="AU12" i="5"/>
  <c r="AU14" i="5" s="1"/>
  <c r="AV23" i="4"/>
  <c r="AV8" i="5" s="1"/>
  <c r="AV17" i="4"/>
  <c r="AV21" i="4"/>
  <c r="AV22" i="4"/>
  <c r="AV20" i="4"/>
  <c r="AV7" i="5" s="1"/>
  <c r="AW29" i="7" l="1"/>
  <c r="AX24" i="7" s="1"/>
  <c r="AV11" i="5"/>
  <c r="AV33" i="5"/>
  <c r="AV13" i="5"/>
  <c r="AU15" i="5"/>
  <c r="AU18" i="5" s="1"/>
  <c r="AV25" i="4"/>
  <c r="AW16" i="4"/>
  <c r="AW6" i="5" s="1"/>
  <c r="AV19" i="4"/>
  <c r="AV18" i="4"/>
  <c r="AW30" i="7" l="1"/>
  <c r="AX26" i="7"/>
  <c r="AX31" i="7" s="1"/>
  <c r="AX32" i="7" s="1"/>
  <c r="AX33" i="7" s="1"/>
  <c r="AX27" i="7"/>
  <c r="AV39" i="5"/>
  <c r="AV16" i="5"/>
  <c r="AV12" i="5"/>
  <c r="AV14" i="5" s="1"/>
  <c r="AV15" i="5" s="1"/>
  <c r="AV18" i="5" s="1"/>
  <c r="AW23" i="4"/>
  <c r="AW8" i="5" s="1"/>
  <c r="AW17" i="4"/>
  <c r="AW20" i="4"/>
  <c r="AW7" i="5" s="1"/>
  <c r="AW21" i="4"/>
  <c r="AW22" i="4"/>
  <c r="AX29" i="7" l="1"/>
  <c r="AY24" i="7" s="1"/>
  <c r="AX30" i="7"/>
  <c r="AW13" i="5"/>
  <c r="AW33" i="5"/>
  <c r="AW11" i="5"/>
  <c r="AW25" i="4"/>
  <c r="AX16" i="4"/>
  <c r="AX6" i="5" s="1"/>
  <c r="AW19" i="4"/>
  <c r="AW18" i="4"/>
  <c r="AY26" i="7" l="1"/>
  <c r="AY31" i="7" s="1"/>
  <c r="AY32" i="7" s="1"/>
  <c r="AY33" i="7" s="1"/>
  <c r="AY27" i="7"/>
  <c r="AW39" i="5"/>
  <c r="AW16" i="5"/>
  <c r="AW12" i="5"/>
  <c r="AW14" i="5" s="1"/>
  <c r="AX23" i="4"/>
  <c r="AX8" i="5" s="1"/>
  <c r="AX17" i="4"/>
  <c r="AX21" i="4"/>
  <c r="AX22" i="4"/>
  <c r="AX20" i="4"/>
  <c r="AY29" i="7" l="1"/>
  <c r="AZ24" i="7" s="1"/>
  <c r="AY30" i="7"/>
  <c r="AX25" i="4"/>
  <c r="AX7" i="5"/>
  <c r="AW15" i="5"/>
  <c r="AW18" i="5"/>
  <c r="AY16" i="4"/>
  <c r="AY6" i="5" s="1"/>
  <c r="AX18" i="4"/>
  <c r="AX19" i="4"/>
  <c r="AZ26" i="7" l="1"/>
  <c r="AZ31" i="7" s="1"/>
  <c r="AZ32" i="7" s="1"/>
  <c r="AZ33" i="7" s="1"/>
  <c r="AX13" i="5"/>
  <c r="AX11" i="5"/>
  <c r="AX33" i="5"/>
  <c r="AY23" i="4"/>
  <c r="AY8" i="5" s="1"/>
  <c r="AY17" i="4"/>
  <c r="AY21" i="4"/>
  <c r="AY20" i="4"/>
  <c r="AY7" i="5" s="1"/>
  <c r="AY22" i="4"/>
  <c r="AZ27" i="7" l="1"/>
  <c r="AZ29" i="7" s="1"/>
  <c r="BA24" i="7" s="1"/>
  <c r="AY11" i="5"/>
  <c r="AY33" i="5"/>
  <c r="AY13" i="5"/>
  <c r="AX39" i="5"/>
  <c r="AX12" i="5"/>
  <c r="AX14" i="5" s="1"/>
  <c r="AX15" i="5" s="1"/>
  <c r="AX18" i="5" s="1"/>
  <c r="AX16" i="5"/>
  <c r="AY25" i="4"/>
  <c r="AZ16" i="4"/>
  <c r="AZ6" i="5" s="1"/>
  <c r="AY18" i="4"/>
  <c r="AY19" i="4"/>
  <c r="AZ30" i="7" l="1"/>
  <c r="BA26" i="7"/>
  <c r="BA31" i="7" s="1"/>
  <c r="BA32" i="7" s="1"/>
  <c r="BA33" i="7" s="1"/>
  <c r="BA27" i="7"/>
  <c r="AY39" i="5"/>
  <c r="AY16" i="5"/>
  <c r="AY12" i="5"/>
  <c r="AY14" i="5" s="1"/>
  <c r="AZ23" i="4"/>
  <c r="AZ8" i="5" s="1"/>
  <c r="AZ17" i="4"/>
  <c r="AZ21" i="4"/>
  <c r="AZ20" i="4"/>
  <c r="AZ7" i="5" s="1"/>
  <c r="AZ22" i="4"/>
  <c r="BA29" i="7" l="1"/>
  <c r="BB24" i="7" s="1"/>
  <c r="AZ11" i="5"/>
  <c r="AZ13" i="5"/>
  <c r="AZ33" i="5"/>
  <c r="AY15" i="5"/>
  <c r="AY18" i="5"/>
  <c r="AZ25" i="4"/>
  <c r="BA16" i="4"/>
  <c r="BA6" i="5" s="1"/>
  <c r="AZ18" i="4"/>
  <c r="AZ19" i="4"/>
  <c r="BA30" i="7" l="1"/>
  <c r="BB26" i="7"/>
  <c r="BB31" i="7" s="1"/>
  <c r="BB32" i="7" s="1"/>
  <c r="BB33" i="7" s="1"/>
  <c r="AZ39" i="5"/>
  <c r="AZ16" i="5"/>
  <c r="AZ12" i="5"/>
  <c r="AZ14" i="5" s="1"/>
  <c r="AZ15" i="5" s="1"/>
  <c r="AZ18" i="5" s="1"/>
  <c r="BA23" i="4"/>
  <c r="BA8" i="5" s="1"/>
  <c r="BA17" i="4"/>
  <c r="BA21" i="4"/>
  <c r="BA20" i="4"/>
  <c r="BA7" i="5" s="1"/>
  <c r="BA22" i="4"/>
  <c r="BB27" i="7" l="1"/>
  <c r="BB29" i="7" s="1"/>
  <c r="BC24" i="7" s="1"/>
  <c r="BA33" i="5"/>
  <c r="BA11" i="5"/>
  <c r="BA13" i="5"/>
  <c r="BA25" i="4"/>
  <c r="BB16" i="4"/>
  <c r="BB6" i="5" s="1"/>
  <c r="BA18" i="4"/>
  <c r="BA19" i="4"/>
  <c r="BB30" i="7" l="1"/>
  <c r="BC26" i="7"/>
  <c r="BC31" i="7" s="1"/>
  <c r="BC32" i="7" s="1"/>
  <c r="BC33" i="7" s="1"/>
  <c r="BA39" i="5"/>
  <c r="BA12" i="5"/>
  <c r="BA14" i="5" s="1"/>
  <c r="BA16" i="5"/>
  <c r="BB23" i="4"/>
  <c r="BB8" i="5" s="1"/>
  <c r="BB17" i="4"/>
  <c r="BB22" i="4"/>
  <c r="BB20" i="4"/>
  <c r="BB7" i="5" s="1"/>
  <c r="BB21" i="4"/>
  <c r="BC27" i="7" l="1"/>
  <c r="BC29" i="7"/>
  <c r="BD24" i="7" s="1"/>
  <c r="BC30" i="7"/>
  <c r="BB13" i="5"/>
  <c r="BB33" i="5"/>
  <c r="BB11" i="5"/>
  <c r="BA15" i="5"/>
  <c r="BA18" i="5"/>
  <c r="BB25" i="4"/>
  <c r="BC16" i="4"/>
  <c r="BC6" i="5" s="1"/>
  <c r="BB19" i="4"/>
  <c r="BB18" i="4"/>
  <c r="BD26" i="7" l="1"/>
  <c r="BD31" i="7" s="1"/>
  <c r="BD32" i="7" s="1"/>
  <c r="BD33" i="7" s="1"/>
  <c r="BB39" i="5"/>
  <c r="BB12" i="5"/>
  <c r="BB14" i="5" s="1"/>
  <c r="BB15" i="5" s="1"/>
  <c r="BB16" i="5"/>
  <c r="BC23" i="4"/>
  <c r="BC8" i="5" s="1"/>
  <c r="BC17" i="4"/>
  <c r="BC22" i="4"/>
  <c r="BC20" i="4"/>
  <c r="BC7" i="5" s="1"/>
  <c r="BC21" i="4"/>
  <c r="BD27" i="7" l="1"/>
  <c r="BC11" i="5"/>
  <c r="BC13" i="5"/>
  <c r="BC33" i="5"/>
  <c r="BB18" i="5"/>
  <c r="BC25" i="4"/>
  <c r="BD16" i="4"/>
  <c r="BD6" i="5" s="1"/>
  <c r="BC19" i="4"/>
  <c r="BC18" i="4"/>
  <c r="BD29" i="7" l="1"/>
  <c r="BE24" i="7" s="1"/>
  <c r="BC39" i="5"/>
  <c r="BC12" i="5"/>
  <c r="BC14" i="5" s="1"/>
  <c r="BC16" i="5"/>
  <c r="BD23" i="4"/>
  <c r="BD8" i="5" s="1"/>
  <c r="BD17" i="4"/>
  <c r="BD22" i="4"/>
  <c r="BD20" i="4"/>
  <c r="BD7" i="5" s="1"/>
  <c r="BD21" i="4"/>
  <c r="BD30" i="7" l="1"/>
  <c r="BE26" i="7"/>
  <c r="BE31" i="7" s="1"/>
  <c r="BE32" i="7" s="1"/>
  <c r="BE33" i="7" s="1"/>
  <c r="BE27" i="7"/>
  <c r="BD13" i="5"/>
  <c r="BD33" i="5"/>
  <c r="BD11" i="5"/>
  <c r="BC15" i="5"/>
  <c r="BC18" i="5"/>
  <c r="BD25" i="4"/>
  <c r="BE16" i="4"/>
  <c r="BE6" i="5" s="1"/>
  <c r="BD19" i="4"/>
  <c r="BD18" i="4"/>
  <c r="BE29" i="7" l="1"/>
  <c r="BF24" i="7" s="1"/>
  <c r="BE30" i="7"/>
  <c r="BD39" i="5"/>
  <c r="BD16" i="5"/>
  <c r="BD12" i="5"/>
  <c r="BD14" i="5" s="1"/>
  <c r="BE23" i="4"/>
  <c r="BE8" i="5" s="1"/>
  <c r="BE17" i="4"/>
  <c r="BE22" i="4"/>
  <c r="BE20" i="4"/>
  <c r="BE7" i="5" s="1"/>
  <c r="BE21" i="4"/>
  <c r="BF26" i="7" l="1"/>
  <c r="BF31" i="7" s="1"/>
  <c r="BF32" i="7" s="1"/>
  <c r="BF33" i="7" s="1"/>
  <c r="BE13" i="5"/>
  <c r="BE33" i="5"/>
  <c r="BE11" i="5"/>
  <c r="BD15" i="5"/>
  <c r="BD18" i="5"/>
  <c r="BE25" i="4"/>
  <c r="BF16" i="4"/>
  <c r="BF6" i="5" s="1"/>
  <c r="BE19" i="4"/>
  <c r="BE18" i="4"/>
  <c r="BF27" i="7" l="1"/>
  <c r="BF29" i="7"/>
  <c r="BG24" i="7" s="1"/>
  <c r="BF30" i="7"/>
  <c r="BE39" i="5"/>
  <c r="BE16" i="5"/>
  <c r="BE12" i="5"/>
  <c r="BE14" i="5" s="1"/>
  <c r="BF23" i="4"/>
  <c r="BF8" i="5" s="1"/>
  <c r="BF17" i="4"/>
  <c r="BF20" i="4"/>
  <c r="BF7" i="5" s="1"/>
  <c r="BF22" i="4"/>
  <c r="BF21" i="4"/>
  <c r="BG26" i="7" l="1"/>
  <c r="BG31" i="7" s="1"/>
  <c r="BG32" i="7" s="1"/>
  <c r="BG33" i="7" s="1"/>
  <c r="BG27" i="7"/>
  <c r="BF33" i="5"/>
  <c r="BF13" i="5"/>
  <c r="BF11" i="5"/>
  <c r="BE15" i="5"/>
  <c r="BE18" i="5"/>
  <c r="BF25" i="4"/>
  <c r="BG16" i="4"/>
  <c r="BG6" i="5" s="1"/>
  <c r="BF19" i="4"/>
  <c r="BF18" i="4"/>
  <c r="BG29" i="7" l="1"/>
  <c r="BH24" i="7" s="1"/>
  <c r="BF39" i="5"/>
  <c r="BF16" i="5"/>
  <c r="BF12" i="5"/>
  <c r="BF14" i="5" s="1"/>
  <c r="BG23" i="4"/>
  <c r="BG8" i="5" s="1"/>
  <c r="BG17" i="4"/>
  <c r="BG21" i="4"/>
  <c r="BG20" i="4"/>
  <c r="BG22" i="4"/>
  <c r="BG30" i="7" l="1"/>
  <c r="BH26" i="7"/>
  <c r="BH31" i="7" s="1"/>
  <c r="BH32" i="7" s="1"/>
  <c r="BH33" i="7" s="1"/>
  <c r="BH27" i="7"/>
  <c r="BG25" i="4"/>
  <c r="BG7" i="5"/>
  <c r="BF15" i="5"/>
  <c r="BF18" i="5"/>
  <c r="BH16" i="4"/>
  <c r="BH6" i="5" s="1"/>
  <c r="BG19" i="4"/>
  <c r="BG18" i="4"/>
  <c r="BH29" i="7" l="1"/>
  <c r="BI24" i="7" s="1"/>
  <c r="BH30" i="7"/>
  <c r="BG11" i="5"/>
  <c r="BG13" i="5"/>
  <c r="BG33" i="5"/>
  <c r="BH23" i="4"/>
  <c r="BH8" i="5" s="1"/>
  <c r="BH17" i="4"/>
  <c r="BH21" i="4"/>
  <c r="BH20" i="4"/>
  <c r="BH7" i="5" s="1"/>
  <c r="BH22" i="4"/>
  <c r="BI26" i="7" l="1"/>
  <c r="BI31" i="7" s="1"/>
  <c r="BI32" i="7" s="1"/>
  <c r="BI33" i="7" s="1"/>
  <c r="BH11" i="5"/>
  <c r="BH13" i="5"/>
  <c r="BH33" i="5"/>
  <c r="BG39" i="5"/>
  <c r="BG16" i="5"/>
  <c r="BG12" i="5"/>
  <c r="BG14" i="5" s="1"/>
  <c r="BH25" i="4"/>
  <c r="BI16" i="4"/>
  <c r="BI6" i="5" s="1"/>
  <c r="BH19" i="4"/>
  <c r="BH18" i="4"/>
  <c r="BI27" i="7" l="1"/>
  <c r="BI29" i="7" s="1"/>
  <c r="BJ24" i="7" s="1"/>
  <c r="BG15" i="5"/>
  <c r="BG18" i="5"/>
  <c r="BH39" i="5"/>
  <c r="BH12" i="5"/>
  <c r="BH14" i="5" s="1"/>
  <c r="BH16" i="5"/>
  <c r="BI23" i="4"/>
  <c r="BI8" i="5" s="1"/>
  <c r="BI17" i="4"/>
  <c r="BI20" i="4"/>
  <c r="BI7" i="5" s="1"/>
  <c r="BI21" i="4"/>
  <c r="BI22" i="4"/>
  <c r="BI30" i="7" l="1"/>
  <c r="BJ26" i="7"/>
  <c r="BJ31" i="7" s="1"/>
  <c r="BJ32" i="7" s="1"/>
  <c r="BJ33" i="7" s="1"/>
  <c r="BI13" i="5"/>
  <c r="BI33" i="5"/>
  <c r="BI11" i="5"/>
  <c r="BH15" i="5"/>
  <c r="BH18" i="5"/>
  <c r="BI25" i="4"/>
  <c r="BJ16" i="4"/>
  <c r="BJ6" i="5" s="1"/>
  <c r="BI19" i="4"/>
  <c r="BI18" i="4"/>
  <c r="BJ27" i="7" l="1"/>
  <c r="BJ29" i="7"/>
  <c r="BK24" i="7" s="1"/>
  <c r="BJ30" i="7"/>
  <c r="BI39" i="5"/>
  <c r="BI16" i="5"/>
  <c r="BI12" i="5"/>
  <c r="BI14" i="5" s="1"/>
  <c r="BI15" i="5" s="1"/>
  <c r="BI18" i="5" s="1"/>
  <c r="BJ23" i="4"/>
  <c r="BJ8" i="5" s="1"/>
  <c r="BJ17" i="4"/>
  <c r="BJ21" i="4"/>
  <c r="BJ22" i="4"/>
  <c r="BJ20" i="4"/>
  <c r="BJ7" i="5" s="1"/>
  <c r="BK26" i="7" l="1"/>
  <c r="BK31" i="7" s="1"/>
  <c r="BK32" i="7" s="1"/>
  <c r="BK33" i="7" s="1"/>
  <c r="BJ13" i="5"/>
  <c r="BJ33" i="5"/>
  <c r="BJ11" i="5"/>
  <c r="BJ25" i="4"/>
  <c r="BK16" i="4"/>
  <c r="BK6" i="5" s="1"/>
  <c r="BJ18" i="4"/>
  <c r="BJ19" i="4"/>
  <c r="BK27" i="7" l="1"/>
  <c r="BK29" i="7"/>
  <c r="BL24" i="7" s="1"/>
  <c r="BK30" i="7"/>
  <c r="BJ39" i="5"/>
  <c r="BJ16" i="5"/>
  <c r="BJ12" i="5"/>
  <c r="BJ14" i="5" s="1"/>
  <c r="BK23" i="4"/>
  <c r="BK8" i="5" s="1"/>
  <c r="BK17" i="4"/>
  <c r="BK21" i="4"/>
  <c r="BK22" i="4"/>
  <c r="BK20" i="4"/>
  <c r="BL26" i="7" l="1"/>
  <c r="BL31" i="7" s="1"/>
  <c r="BL32" i="7" s="1"/>
  <c r="BL33" i="7" s="1"/>
  <c r="BK25" i="4"/>
  <c r="BK7" i="5"/>
  <c r="BJ15" i="5"/>
  <c r="BJ18" i="5"/>
  <c r="BL16" i="4"/>
  <c r="BL6" i="5" s="1"/>
  <c r="BK18" i="4"/>
  <c r="BK19" i="4"/>
  <c r="BL27" i="7" l="1"/>
  <c r="BL29" i="7" s="1"/>
  <c r="BM24" i="7" s="1"/>
  <c r="BK13" i="5"/>
  <c r="BK33" i="5"/>
  <c r="BK11" i="5"/>
  <c r="BL23" i="4"/>
  <c r="BL8" i="5" s="1"/>
  <c r="BL17" i="4"/>
  <c r="BL21" i="4"/>
  <c r="BL20" i="4"/>
  <c r="BL7" i="5" s="1"/>
  <c r="BL22" i="4"/>
  <c r="BL30" i="7" l="1"/>
  <c r="BM26" i="7"/>
  <c r="BM31" i="7" s="1"/>
  <c r="BM32" i="7" s="1"/>
  <c r="BM33" i="7" s="1"/>
  <c r="BM27" i="7"/>
  <c r="BL13" i="5"/>
  <c r="BL33" i="5"/>
  <c r="BL11" i="5"/>
  <c r="BK39" i="5"/>
  <c r="BK12" i="5"/>
  <c r="BK14" i="5" s="1"/>
  <c r="BK16" i="5"/>
  <c r="BL25" i="4"/>
  <c r="BM16" i="4"/>
  <c r="BM6" i="5" s="1"/>
  <c r="BL18" i="4"/>
  <c r="BL19" i="4"/>
  <c r="BM29" i="7" l="1"/>
  <c r="BN24" i="7" s="1"/>
  <c r="BK15" i="5"/>
  <c r="BK18" i="5"/>
  <c r="BL39" i="5"/>
  <c r="BL12" i="5"/>
  <c r="BL14" i="5" s="1"/>
  <c r="BL16" i="5"/>
  <c r="BM23" i="4"/>
  <c r="BM8" i="5" s="1"/>
  <c r="BM17" i="4"/>
  <c r="BM21" i="4"/>
  <c r="BM20" i="4"/>
  <c r="BM7" i="5" s="1"/>
  <c r="BM22" i="4"/>
  <c r="BM30" i="7" l="1"/>
  <c r="BN26" i="7"/>
  <c r="BN31" i="7" s="1"/>
  <c r="BN32" i="7" s="1"/>
  <c r="BN33" i="7" s="1"/>
  <c r="BN27" i="7"/>
  <c r="BM11" i="5"/>
  <c r="BM13" i="5"/>
  <c r="BM33" i="5"/>
  <c r="BL15" i="5"/>
  <c r="BL18" i="5"/>
  <c r="BM25" i="4"/>
  <c r="BN16" i="4"/>
  <c r="BN6" i="5" s="1"/>
  <c r="BM18" i="4"/>
  <c r="BM19" i="4"/>
  <c r="BN29" i="7" l="1"/>
  <c r="BO24" i="7" s="1"/>
  <c r="BN30" i="7"/>
  <c r="BM39" i="5"/>
  <c r="BM12" i="5"/>
  <c r="BM14" i="5" s="1"/>
  <c r="BM16" i="5"/>
  <c r="BN23" i="4"/>
  <c r="BN8" i="5" s="1"/>
  <c r="BN17" i="4"/>
  <c r="BN22" i="4"/>
  <c r="BN20" i="4"/>
  <c r="BN7" i="5" s="1"/>
  <c r="BN21" i="4"/>
  <c r="BO26" i="7" l="1"/>
  <c r="BO31" i="7" s="1"/>
  <c r="BO32" i="7" s="1"/>
  <c r="BO33" i="7" s="1"/>
  <c r="BN33" i="5"/>
  <c r="BN11" i="5"/>
  <c r="BN13" i="5"/>
  <c r="BM15" i="5"/>
  <c r="BM18" i="5"/>
  <c r="BN25" i="4"/>
  <c r="BO16" i="4"/>
  <c r="BO6" i="5" s="1"/>
  <c r="BN18" i="4"/>
  <c r="BN19" i="4"/>
  <c r="BO27" i="7" l="1"/>
  <c r="BO29" i="7"/>
  <c r="BP24" i="7" s="1"/>
  <c r="BN39" i="5"/>
  <c r="BN12" i="5"/>
  <c r="BN14" i="5" s="1"/>
  <c r="BN16" i="5"/>
  <c r="BO23" i="4"/>
  <c r="BO8" i="5" s="1"/>
  <c r="BO17" i="4"/>
  <c r="BO22" i="4"/>
  <c r="BO20" i="4"/>
  <c r="BO7" i="5" s="1"/>
  <c r="BO21" i="4"/>
  <c r="BO30" i="7" l="1"/>
  <c r="BP26" i="7"/>
  <c r="BP31" i="7" s="1"/>
  <c r="BP32" i="7" s="1"/>
  <c r="BP33" i="7" s="1"/>
  <c r="BO13" i="5"/>
  <c r="BO11" i="5"/>
  <c r="BO33" i="5"/>
  <c r="BN15" i="5"/>
  <c r="BN18" i="5"/>
  <c r="BO25" i="4"/>
  <c r="BP16" i="4"/>
  <c r="BP6" i="5" s="1"/>
  <c r="BO18" i="4"/>
  <c r="BO19" i="4"/>
  <c r="BP27" i="7" l="1"/>
  <c r="BP29" i="7" s="1"/>
  <c r="BQ24" i="7" s="1"/>
  <c r="BO39" i="5"/>
  <c r="BO12" i="5"/>
  <c r="BO14" i="5" s="1"/>
  <c r="BO15" i="5" s="1"/>
  <c r="BO16" i="5"/>
  <c r="BP23" i="4"/>
  <c r="BP8" i="5" s="1"/>
  <c r="BP17" i="4"/>
  <c r="BP22" i="4"/>
  <c r="BP20" i="4"/>
  <c r="BP7" i="5" s="1"/>
  <c r="BP21" i="4"/>
  <c r="BP30" i="7" l="1"/>
  <c r="BQ26" i="7"/>
  <c r="BQ31" i="7" s="1"/>
  <c r="BQ32" i="7" s="1"/>
  <c r="BQ33" i="7" s="1"/>
  <c r="BP11" i="5"/>
  <c r="BP13" i="5"/>
  <c r="BP33" i="5"/>
  <c r="BO18" i="5"/>
  <c r="BP25" i="4"/>
  <c r="BQ16" i="4"/>
  <c r="BQ6" i="5" s="1"/>
  <c r="BP18" i="4"/>
  <c r="BP19" i="4"/>
  <c r="BQ27" i="7" l="1"/>
  <c r="BQ29" i="7"/>
  <c r="BR24" i="7" s="1"/>
  <c r="BQ30" i="7"/>
  <c r="BP39" i="5"/>
  <c r="BP16" i="5"/>
  <c r="BP12" i="5"/>
  <c r="BP14" i="5" s="1"/>
  <c r="BQ23" i="4"/>
  <c r="BQ8" i="5" s="1"/>
  <c r="BQ17" i="4"/>
  <c r="BQ20" i="4"/>
  <c r="BQ7" i="5" s="1"/>
  <c r="BQ22" i="4"/>
  <c r="BQ21" i="4"/>
  <c r="BR26" i="7" l="1"/>
  <c r="BR31" i="7" s="1"/>
  <c r="BR32" i="7" s="1"/>
  <c r="BR33" i="7" s="1"/>
  <c r="BR27" i="7"/>
  <c r="BQ33" i="5"/>
  <c r="BQ11" i="5"/>
  <c r="BQ13" i="5"/>
  <c r="BP15" i="5"/>
  <c r="BP18" i="5"/>
  <c r="BQ25" i="4"/>
  <c r="BR16" i="4"/>
  <c r="BR6" i="5" s="1"/>
  <c r="BQ19" i="4"/>
  <c r="BQ18" i="4"/>
  <c r="BR29" i="7" l="1"/>
  <c r="BS24" i="7" s="1"/>
  <c r="BQ39" i="5"/>
  <c r="BQ16" i="5"/>
  <c r="BQ12" i="5"/>
  <c r="BQ14" i="5" s="1"/>
  <c r="BR23" i="4"/>
  <c r="BR8" i="5" s="1"/>
  <c r="BR17" i="4"/>
  <c r="BR20" i="4"/>
  <c r="BR7" i="5" s="1"/>
  <c r="BR22" i="4"/>
  <c r="BR21" i="4"/>
  <c r="BR30" i="7" l="1"/>
  <c r="BS26" i="7"/>
  <c r="BS27" i="7"/>
  <c r="BR13" i="5"/>
  <c r="BR33" i="5"/>
  <c r="BR11" i="5"/>
  <c r="BQ15" i="5"/>
  <c r="BQ18" i="5"/>
  <c r="BR25" i="4"/>
  <c r="BS16" i="4"/>
  <c r="BS6" i="5" s="1"/>
  <c r="BR19" i="4"/>
  <c r="BR18" i="4"/>
  <c r="BS29" i="7" l="1"/>
  <c r="BT24" i="7" s="1"/>
  <c r="BS30" i="7"/>
  <c r="BS31" i="7"/>
  <c r="BS32" i="7" s="1"/>
  <c r="BS33" i="7" s="1"/>
  <c r="BR39" i="5"/>
  <c r="BR12" i="5"/>
  <c r="BR14" i="5" s="1"/>
  <c r="BR16" i="5"/>
  <c r="BS23" i="4"/>
  <c r="BS8" i="5" s="1"/>
  <c r="BS17" i="4"/>
  <c r="BS20" i="4"/>
  <c r="BS7" i="5" s="1"/>
  <c r="BS21" i="4"/>
  <c r="BS22" i="4"/>
  <c r="BT26" i="7" l="1"/>
  <c r="BT27" i="7"/>
  <c r="BS33" i="5"/>
  <c r="BS11" i="5"/>
  <c r="BS13" i="5"/>
  <c r="BR15" i="5"/>
  <c r="BR18" i="5"/>
  <c r="BS25" i="4"/>
  <c r="BT16" i="4"/>
  <c r="BT6" i="5" s="1"/>
  <c r="BS19" i="4"/>
  <c r="BS18" i="4"/>
  <c r="BT29" i="7" l="1"/>
  <c r="BU24" i="7" s="1"/>
  <c r="BT31" i="7"/>
  <c r="BT32" i="7" s="1"/>
  <c r="BT33" i="7" s="1"/>
  <c r="BS39" i="5"/>
  <c r="BS16" i="5"/>
  <c r="BS12" i="5"/>
  <c r="BS14" i="5" s="1"/>
  <c r="BT23" i="4"/>
  <c r="BT8" i="5" s="1"/>
  <c r="BT17" i="4"/>
  <c r="BT21" i="4"/>
  <c r="BT22" i="4"/>
  <c r="BT20" i="4"/>
  <c r="BT30" i="7" l="1"/>
  <c r="BU26" i="7"/>
  <c r="BU27" i="7" s="1"/>
  <c r="BT25" i="4"/>
  <c r="BT7" i="5"/>
  <c r="BS15" i="5"/>
  <c r="BS18" i="5" s="1"/>
  <c r="BU16" i="4"/>
  <c r="BU6" i="5" s="1"/>
  <c r="BT19" i="4"/>
  <c r="BT18" i="4"/>
  <c r="BU29" i="7" l="1"/>
  <c r="BU30" i="7" s="1"/>
  <c r="C30" i="7" s="1"/>
  <c r="BU31" i="7"/>
  <c r="BU32" i="7" s="1"/>
  <c r="C26" i="7"/>
  <c r="BT11" i="5"/>
  <c r="BT33" i="5"/>
  <c r="BT13" i="5"/>
  <c r="BU23" i="4"/>
  <c r="BU8" i="5" s="1"/>
  <c r="BU17" i="4"/>
  <c r="BU20" i="4"/>
  <c r="BU21" i="4"/>
  <c r="BU22" i="4"/>
  <c r="C36" i="7" l="1"/>
  <c r="BU33" i="7"/>
  <c r="C33" i="7" s="1"/>
  <c r="C32" i="7"/>
  <c r="C35" i="7"/>
  <c r="C20" i="4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18" i="4"/>
  <c r="BT15" i="5" l="1"/>
  <c r="BT18" i="5"/>
  <c r="BU13" i="5"/>
  <c r="BU33" i="5"/>
  <c r="BU11" i="5"/>
  <c r="BU39" i="5" l="1"/>
  <c r="BU16" i="5"/>
  <c r="C16" i="5" s="1"/>
  <c r="C47" i="5" s="1"/>
  <c r="BU12" i="5"/>
  <c r="BU14" i="5" l="1"/>
  <c r="C12" i="5"/>
  <c r="C20" i="5"/>
  <c r="BU15" i="5" l="1"/>
  <c r="C14" i="5"/>
  <c r="C45" i="5" s="1"/>
  <c r="C21" i="5"/>
  <c r="BU18" i="5" l="1"/>
  <c r="C15" i="5"/>
  <c r="C46" i="5" s="1"/>
  <c r="C18" i="5" l="1"/>
  <c r="C25" i="5" l="1"/>
  <c r="D39" i="5" l="1"/>
  <c r="C26" i="5"/>
  <c r="D33" i="5"/>
  <c r="D27" i="5" l="1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8" i="5" s="1"/>
  <c r="BK31" i="5" l="1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4" i="5" s="1"/>
  <c r="E30" i="5" l="1"/>
  <c r="D38" i="5"/>
  <c r="C35" i="5"/>
  <c r="C28" i="5"/>
  <c r="D41" i="5" l="1"/>
  <c r="D40" i="5"/>
  <c r="E32" i="5"/>
  <c r="F30" i="5" s="1"/>
  <c r="E33" i="5"/>
  <c r="F32" i="5" l="1"/>
  <c r="G30" i="5" s="1"/>
  <c r="F33" i="5"/>
  <c r="E38" i="5"/>
  <c r="D42" i="5"/>
  <c r="D43" i="5" l="1"/>
  <c r="E41" i="5"/>
  <c r="E40" i="5"/>
  <c r="G32" i="5"/>
  <c r="G33" i="5"/>
  <c r="F38" i="5"/>
  <c r="F41" i="5" l="1"/>
  <c r="F40" i="5"/>
  <c r="F42" i="5" s="1"/>
  <c r="F43" i="5" s="1"/>
  <c r="H30" i="5"/>
  <c r="C36" i="5"/>
  <c r="G38" i="5"/>
  <c r="E42" i="5"/>
  <c r="G41" i="5" l="1"/>
  <c r="G40" i="5"/>
  <c r="E43" i="5"/>
  <c r="H32" i="5"/>
  <c r="I30" i="5" s="1"/>
  <c r="H38" i="5"/>
  <c r="H41" i="5" l="1"/>
  <c r="H40" i="5"/>
  <c r="H42" i="5" s="1"/>
  <c r="H43" i="5" s="1"/>
  <c r="I32" i="5"/>
  <c r="J30" i="5" s="1"/>
  <c r="I38" i="5"/>
  <c r="G42" i="5"/>
  <c r="G43" i="5" l="1"/>
  <c r="I41" i="5"/>
  <c r="I40" i="5"/>
  <c r="J32" i="5"/>
  <c r="K30" i="5" s="1"/>
  <c r="J38" i="5"/>
  <c r="J41" i="5" l="1"/>
  <c r="J40" i="5"/>
  <c r="J42" i="5" s="1"/>
  <c r="J43" i="5" s="1"/>
  <c r="K32" i="5"/>
  <c r="L30" i="5" s="1"/>
  <c r="K38" i="5"/>
  <c r="I42" i="5"/>
  <c r="I43" i="5" l="1"/>
  <c r="K41" i="5"/>
  <c r="K40" i="5"/>
  <c r="L32" i="5"/>
  <c r="M30" i="5" s="1"/>
  <c r="L38" i="5"/>
  <c r="L41" i="5" l="1"/>
  <c r="L40" i="5"/>
  <c r="L42" i="5" s="1"/>
  <c r="L43" i="5" s="1"/>
  <c r="M32" i="5"/>
  <c r="N30" i="5" s="1"/>
  <c r="M38" i="5"/>
  <c r="K42" i="5"/>
  <c r="K43" i="5" l="1"/>
  <c r="M41" i="5"/>
  <c r="M40" i="5"/>
  <c r="M42" i="5" s="1"/>
  <c r="M43" i="5" s="1"/>
  <c r="N32" i="5"/>
  <c r="O30" i="5" s="1"/>
  <c r="N38" i="5"/>
  <c r="N41" i="5" l="1"/>
  <c r="N40" i="5"/>
  <c r="N42" i="5" s="1"/>
  <c r="N43" i="5" s="1"/>
  <c r="O32" i="5"/>
  <c r="P30" i="5" s="1"/>
  <c r="O38" i="5"/>
  <c r="O41" i="5" l="1"/>
  <c r="O40" i="5"/>
  <c r="O42" i="5" s="1"/>
  <c r="O43" i="5" s="1"/>
  <c r="P32" i="5"/>
  <c r="Q30" i="5" s="1"/>
  <c r="P38" i="5"/>
  <c r="P41" i="5" l="1"/>
  <c r="P40" i="5"/>
  <c r="P42" i="5" s="1"/>
  <c r="P43" i="5" s="1"/>
  <c r="Q32" i="5"/>
  <c r="R30" i="5" s="1"/>
  <c r="Q38" i="5"/>
  <c r="Q41" i="5" l="1"/>
  <c r="Q40" i="5"/>
  <c r="Q42" i="5" s="1"/>
  <c r="Q43" i="5" s="1"/>
  <c r="R32" i="5"/>
  <c r="S30" i="5" s="1"/>
  <c r="R38" i="5"/>
  <c r="R41" i="5" l="1"/>
  <c r="R40" i="5"/>
  <c r="R42" i="5" s="1"/>
  <c r="R43" i="5" s="1"/>
  <c r="S32" i="5"/>
  <c r="T30" i="5" s="1"/>
  <c r="S38" i="5"/>
  <c r="S41" i="5" l="1"/>
  <c r="S40" i="5"/>
  <c r="S42" i="5" s="1"/>
  <c r="S43" i="5" s="1"/>
  <c r="T32" i="5"/>
  <c r="U30" i="5" s="1"/>
  <c r="T38" i="5"/>
  <c r="T41" i="5" l="1"/>
  <c r="T40" i="5"/>
  <c r="T42" i="5" s="1"/>
  <c r="T43" i="5" s="1"/>
  <c r="U32" i="5"/>
  <c r="V30" i="5" s="1"/>
  <c r="U38" i="5"/>
  <c r="U41" i="5" l="1"/>
  <c r="U40" i="5"/>
  <c r="U42" i="5" s="1"/>
  <c r="U43" i="5" s="1"/>
  <c r="V32" i="5"/>
  <c r="W30" i="5" s="1"/>
  <c r="V38" i="5"/>
  <c r="V41" i="5" l="1"/>
  <c r="V40" i="5"/>
  <c r="V42" i="5" s="1"/>
  <c r="V43" i="5" s="1"/>
  <c r="W32" i="5"/>
  <c r="X30" i="5" s="1"/>
  <c r="W38" i="5"/>
  <c r="W41" i="5" l="1"/>
  <c r="W40" i="5"/>
  <c r="W42" i="5" s="1"/>
  <c r="W43" i="5" s="1"/>
  <c r="X32" i="5"/>
  <c r="Y30" i="5" s="1"/>
  <c r="X38" i="5"/>
  <c r="X41" i="5" l="1"/>
  <c r="X40" i="5"/>
  <c r="X42" i="5" s="1"/>
  <c r="X43" i="5" s="1"/>
  <c r="Y32" i="5"/>
  <c r="Z30" i="5" s="1"/>
  <c r="Y38" i="5"/>
  <c r="Y41" i="5" l="1"/>
  <c r="Y40" i="5"/>
  <c r="Y42" i="5" s="1"/>
  <c r="Y43" i="5" s="1"/>
  <c r="Z32" i="5"/>
  <c r="AA30" i="5" s="1"/>
  <c r="Z38" i="5"/>
  <c r="Z41" i="5" l="1"/>
  <c r="Z40" i="5"/>
  <c r="Z42" i="5" s="1"/>
  <c r="Z43" i="5" s="1"/>
  <c r="AA32" i="5"/>
  <c r="AB30" i="5" s="1"/>
  <c r="AA38" i="5"/>
  <c r="AA41" i="5" l="1"/>
  <c r="AA40" i="5"/>
  <c r="AA42" i="5" s="1"/>
  <c r="AA43" i="5" s="1"/>
  <c r="AB32" i="5"/>
  <c r="AC30" i="5" s="1"/>
  <c r="AB38" i="5"/>
  <c r="AB41" i="5" l="1"/>
  <c r="AB40" i="5"/>
  <c r="AB42" i="5" s="1"/>
  <c r="AB43" i="5" s="1"/>
  <c r="AC32" i="5"/>
  <c r="AD30" i="5" s="1"/>
  <c r="AC38" i="5"/>
  <c r="AC41" i="5" l="1"/>
  <c r="AC40" i="5"/>
  <c r="AC42" i="5" s="1"/>
  <c r="AC43" i="5" s="1"/>
  <c r="AD32" i="5"/>
  <c r="AE30" i="5" s="1"/>
  <c r="AD38" i="5"/>
  <c r="AD41" i="5" l="1"/>
  <c r="AD40" i="5"/>
  <c r="AD42" i="5" s="1"/>
  <c r="AD43" i="5" s="1"/>
  <c r="AE32" i="5"/>
  <c r="AF30" i="5" s="1"/>
  <c r="AE38" i="5"/>
  <c r="AE41" i="5" l="1"/>
  <c r="AE40" i="5"/>
  <c r="AE42" i="5" s="1"/>
  <c r="AE43" i="5" s="1"/>
  <c r="AF32" i="5"/>
  <c r="AG30" i="5" s="1"/>
  <c r="AF38" i="5"/>
  <c r="AF41" i="5" l="1"/>
  <c r="AF40" i="5"/>
  <c r="AF42" i="5" s="1"/>
  <c r="AF43" i="5" s="1"/>
  <c r="AG32" i="5"/>
  <c r="AH30" i="5" s="1"/>
  <c r="AG38" i="5"/>
  <c r="AG41" i="5" l="1"/>
  <c r="AG40" i="5"/>
  <c r="AG42" i="5" s="1"/>
  <c r="AG43" i="5" s="1"/>
  <c r="AH32" i="5"/>
  <c r="AI30" i="5" s="1"/>
  <c r="AH38" i="5"/>
  <c r="AH41" i="5" l="1"/>
  <c r="AH40" i="5"/>
  <c r="AH42" i="5" s="1"/>
  <c r="AH43" i="5" s="1"/>
  <c r="AI32" i="5"/>
  <c r="AJ30" i="5" s="1"/>
  <c r="AI38" i="5"/>
  <c r="AI41" i="5" l="1"/>
  <c r="AI40" i="5"/>
  <c r="AI42" i="5" s="1"/>
  <c r="AI43" i="5" s="1"/>
  <c r="AJ32" i="5"/>
  <c r="AK30" i="5" s="1"/>
  <c r="AJ38" i="5"/>
  <c r="AJ41" i="5" l="1"/>
  <c r="AJ40" i="5"/>
  <c r="AJ42" i="5" s="1"/>
  <c r="AJ43" i="5" s="1"/>
  <c r="AK32" i="5"/>
  <c r="AL30" i="5" s="1"/>
  <c r="AK38" i="5"/>
  <c r="AK41" i="5" l="1"/>
  <c r="AK40" i="5"/>
  <c r="AK42" i="5" s="1"/>
  <c r="AK43" i="5" s="1"/>
  <c r="AL32" i="5"/>
  <c r="AM30" i="5" s="1"/>
  <c r="AL38" i="5"/>
  <c r="AL41" i="5" l="1"/>
  <c r="AL40" i="5"/>
  <c r="AL42" i="5" s="1"/>
  <c r="AL43" i="5" s="1"/>
  <c r="AM32" i="5"/>
  <c r="AN30" i="5" s="1"/>
  <c r="AM38" i="5"/>
  <c r="AM41" i="5" l="1"/>
  <c r="AM40" i="5"/>
  <c r="AM42" i="5" s="1"/>
  <c r="AM43" i="5" s="1"/>
  <c r="AN32" i="5"/>
  <c r="AO30" i="5" s="1"/>
  <c r="AN38" i="5"/>
  <c r="AN41" i="5" l="1"/>
  <c r="AN40" i="5"/>
  <c r="AN42" i="5" s="1"/>
  <c r="AN43" i="5" s="1"/>
  <c r="AO32" i="5"/>
  <c r="AP30" i="5" s="1"/>
  <c r="AO38" i="5"/>
  <c r="AO41" i="5" l="1"/>
  <c r="AO40" i="5"/>
  <c r="AP32" i="5"/>
  <c r="AQ30" i="5" s="1"/>
  <c r="AP38" i="5"/>
  <c r="AP41" i="5" l="1"/>
  <c r="AP40" i="5"/>
  <c r="AP42" i="5" s="1"/>
  <c r="AP43" i="5" s="1"/>
  <c r="AQ32" i="5"/>
  <c r="AR30" i="5" s="1"/>
  <c r="AQ38" i="5"/>
  <c r="AO42" i="5"/>
  <c r="AO43" i="5" s="1"/>
  <c r="AR32" i="5" l="1"/>
  <c r="AS30" i="5" s="1"/>
  <c r="AR38" i="5"/>
  <c r="AQ41" i="5"/>
  <c r="AQ40" i="5"/>
  <c r="AQ42" i="5" s="1"/>
  <c r="AQ43" i="5" s="1"/>
  <c r="AR41" i="5" l="1"/>
  <c r="AR40" i="5"/>
  <c r="AR42" i="5" s="1"/>
  <c r="AR43" i="5" s="1"/>
  <c r="AS32" i="5"/>
  <c r="AT30" i="5" s="1"/>
  <c r="AS38" i="5"/>
  <c r="AT32" i="5" l="1"/>
  <c r="AU30" i="5" s="1"/>
  <c r="AT38" i="5"/>
  <c r="AS41" i="5"/>
  <c r="AS40" i="5"/>
  <c r="AS42" i="5" s="1"/>
  <c r="AS43" i="5" s="1"/>
  <c r="AT41" i="5" l="1"/>
  <c r="AT40" i="5"/>
  <c r="AT42" i="5" s="1"/>
  <c r="AT43" i="5" s="1"/>
  <c r="AU32" i="5"/>
  <c r="AV30" i="5" s="1"/>
  <c r="AU38" i="5"/>
  <c r="AU41" i="5" l="1"/>
  <c r="AU40" i="5"/>
  <c r="AU42" i="5" s="1"/>
  <c r="AU43" i="5" s="1"/>
  <c r="AV32" i="5"/>
  <c r="AW30" i="5" s="1"/>
  <c r="AV38" i="5"/>
  <c r="AV41" i="5" l="1"/>
  <c r="AV40" i="5"/>
  <c r="AV42" i="5" s="1"/>
  <c r="AV43" i="5" s="1"/>
  <c r="AW32" i="5"/>
  <c r="AX30" i="5" s="1"/>
  <c r="AW38" i="5"/>
  <c r="AW41" i="5" l="1"/>
  <c r="AW40" i="5"/>
  <c r="AW42" i="5" s="1"/>
  <c r="AW43" i="5" s="1"/>
  <c r="AX32" i="5"/>
  <c r="AY30" i="5" s="1"/>
  <c r="AX38" i="5"/>
  <c r="AX41" i="5" l="1"/>
  <c r="AX40" i="5"/>
  <c r="AX42" i="5" s="1"/>
  <c r="AX43" i="5" s="1"/>
  <c r="AY32" i="5"/>
  <c r="AZ30" i="5" s="1"/>
  <c r="AY38" i="5"/>
  <c r="AY41" i="5" l="1"/>
  <c r="AY40" i="5"/>
  <c r="AY42" i="5" s="1"/>
  <c r="AY43" i="5" s="1"/>
  <c r="AZ32" i="5"/>
  <c r="BA30" i="5" s="1"/>
  <c r="AZ38" i="5"/>
  <c r="AZ41" i="5" l="1"/>
  <c r="AZ40" i="5"/>
  <c r="AZ42" i="5" s="1"/>
  <c r="AZ43" i="5" s="1"/>
  <c r="BA32" i="5"/>
  <c r="BB30" i="5" s="1"/>
  <c r="BA38" i="5"/>
  <c r="BA41" i="5" l="1"/>
  <c r="BA40" i="5"/>
  <c r="BA42" i="5" s="1"/>
  <c r="BA43" i="5" s="1"/>
  <c r="BB32" i="5"/>
  <c r="BC30" i="5" s="1"/>
  <c r="BB38" i="5"/>
  <c r="BB41" i="5" l="1"/>
  <c r="BB40" i="5"/>
  <c r="BB42" i="5" s="1"/>
  <c r="BB43" i="5" s="1"/>
  <c r="BC32" i="5"/>
  <c r="BD30" i="5" s="1"/>
  <c r="BC38" i="5"/>
  <c r="BC41" i="5" l="1"/>
  <c r="BC40" i="5"/>
  <c r="BC42" i="5" s="1"/>
  <c r="BC43" i="5" s="1"/>
  <c r="BD32" i="5"/>
  <c r="BE30" i="5" s="1"/>
  <c r="BD38" i="5"/>
  <c r="BD41" i="5" l="1"/>
  <c r="BD40" i="5"/>
  <c r="BD42" i="5" s="1"/>
  <c r="BD43" i="5" s="1"/>
  <c r="BE32" i="5"/>
  <c r="BF30" i="5" s="1"/>
  <c r="BE38" i="5"/>
  <c r="BE41" i="5" l="1"/>
  <c r="BE40" i="5"/>
  <c r="BE42" i="5" s="1"/>
  <c r="BE43" i="5" s="1"/>
  <c r="BF32" i="5"/>
  <c r="BG30" i="5" s="1"/>
  <c r="BF38" i="5"/>
  <c r="BF41" i="5" l="1"/>
  <c r="BF40" i="5"/>
  <c r="BF42" i="5" s="1"/>
  <c r="BF43" i="5" s="1"/>
  <c r="BG32" i="5"/>
  <c r="BH30" i="5" s="1"/>
  <c r="BG38" i="5"/>
  <c r="BG41" i="5" l="1"/>
  <c r="BG40" i="5"/>
  <c r="BG42" i="5" s="1"/>
  <c r="BG43" i="5" s="1"/>
  <c r="BH32" i="5"/>
  <c r="BI30" i="5" s="1"/>
  <c r="BH38" i="5"/>
  <c r="BH41" i="5" l="1"/>
  <c r="BH40" i="5"/>
  <c r="BH42" i="5" s="1"/>
  <c r="BH43" i="5" s="1"/>
  <c r="BI32" i="5"/>
  <c r="BJ30" i="5" s="1"/>
  <c r="BI38" i="5"/>
  <c r="BI41" i="5" l="1"/>
  <c r="BI40" i="5"/>
  <c r="BI42" i="5" s="1"/>
  <c r="BI43" i="5" s="1"/>
  <c r="BJ32" i="5"/>
  <c r="BK30" i="5" s="1"/>
  <c r="BJ38" i="5"/>
  <c r="BJ41" i="5" l="1"/>
  <c r="BJ40" i="5"/>
  <c r="BJ42" i="5" s="1"/>
  <c r="BJ43" i="5" s="1"/>
  <c r="BK32" i="5"/>
  <c r="BL30" i="5" s="1"/>
  <c r="BK38" i="5"/>
  <c r="BK41" i="5" l="1"/>
  <c r="BK40" i="5"/>
  <c r="BK42" i="5" s="1"/>
  <c r="BK43" i="5" s="1"/>
  <c r="BL32" i="5"/>
  <c r="BM30" i="5" s="1"/>
  <c r="BL38" i="5"/>
  <c r="BL41" i="5" l="1"/>
  <c r="BL40" i="5"/>
  <c r="BL42" i="5" s="1"/>
  <c r="BL43" i="5" s="1"/>
  <c r="BM32" i="5"/>
  <c r="BN30" i="5" s="1"/>
  <c r="BM38" i="5"/>
  <c r="BM41" i="5" l="1"/>
  <c r="BM40" i="5"/>
  <c r="BM42" i="5" s="1"/>
  <c r="BM43" i="5" s="1"/>
  <c r="BN32" i="5"/>
  <c r="BO30" i="5" s="1"/>
  <c r="BN38" i="5"/>
  <c r="BN41" i="5" l="1"/>
  <c r="BN40" i="5"/>
  <c r="BN42" i="5" s="1"/>
  <c r="BN43" i="5" s="1"/>
  <c r="BO32" i="5"/>
  <c r="BP30" i="5" s="1"/>
  <c r="BO38" i="5"/>
  <c r="BO41" i="5" l="1"/>
  <c r="BO40" i="5"/>
  <c r="BO42" i="5" s="1"/>
  <c r="BO43" i="5" s="1"/>
  <c r="BP32" i="5"/>
  <c r="BQ30" i="5" s="1"/>
  <c r="BP38" i="5"/>
  <c r="BP41" i="5" l="1"/>
  <c r="BP40" i="5"/>
  <c r="BP42" i="5" s="1"/>
  <c r="BP43" i="5" s="1"/>
  <c r="BQ32" i="5"/>
  <c r="BR30" i="5" s="1"/>
  <c r="BQ38" i="5"/>
  <c r="BQ41" i="5" l="1"/>
  <c r="BQ40" i="5"/>
  <c r="BQ42" i="5" s="1"/>
  <c r="BQ43" i="5" s="1"/>
  <c r="BR32" i="5"/>
  <c r="BS30" i="5" s="1"/>
  <c r="BR38" i="5"/>
  <c r="BR41" i="5" l="1"/>
  <c r="BR40" i="5"/>
  <c r="BR42" i="5" s="1"/>
  <c r="BR43" i="5" s="1"/>
  <c r="BS32" i="5"/>
  <c r="BT30" i="5" s="1"/>
  <c r="BS38" i="5"/>
  <c r="BS41" i="5" l="1"/>
  <c r="BS40" i="5"/>
  <c r="BS42" i="5" s="1"/>
  <c r="BS43" i="5" s="1"/>
  <c r="BT32" i="5"/>
  <c r="BU30" i="5" s="1"/>
  <c r="BT38" i="5"/>
  <c r="BT41" i="5" l="1"/>
  <c r="BT40" i="5"/>
  <c r="BT42" i="5" s="1"/>
  <c r="BT43" i="5" s="1"/>
  <c r="BU32" i="5"/>
  <c r="BU38" i="5" s="1"/>
  <c r="BU41" i="5" l="1"/>
  <c r="C41" i="5" s="1"/>
  <c r="C50" i="5" s="1"/>
  <c r="BU40" i="5"/>
  <c r="BU42" i="5" l="1"/>
  <c r="C40" i="5"/>
  <c r="C49" i="5" s="1"/>
  <c r="C52" i="5"/>
  <c r="BU43" i="5" l="1"/>
  <c r="C43" i="5" s="1"/>
  <c r="C55" i="5" s="1"/>
  <c r="C42" i="5"/>
  <c r="C56" i="5" l="1"/>
  <c r="C61" i="5" l="1"/>
  <c r="C58" i="5"/>
  <c r="C59" i="5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<sst xmlns="http://schemas.openxmlformats.org/spreadsheetml/2006/main" count="755" uniqueCount="275">
  <si>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</si>
  <si>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</si>
  <si>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</si>
  <si>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</si>
  <si>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</si>
  <si>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</si>
  <si>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</si>
  <si>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</si>
  <si>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</si>
  <si>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</si>
  <si>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</si>
  <si>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</si>
  <si>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</si>
  <si>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</si>
  <si>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</si>
  <si>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</si>
  <si>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</si>
  <si>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</si>
  <si>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</si>
  <si>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</si>
  <si>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</si>
  <si>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</si>
  <si>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</si>
  <si>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</si>
  <si>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</si>
  <si>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</si>
  <si>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</si>
  <si>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</si>
  <si>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</si>
  <si>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</si>
  <si>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</si>
  <si>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</si>
  <si>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</si>
  <si>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</si>
  <si>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</si>
  <si>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</si>
  <si>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</si>
  <si>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</si>
  <si>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</si>
  <si>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</si>
  <si>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</si>
  <si>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</si>
  <si>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</si>
  <si>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</si>
  <si>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</si>
  <si>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</si>
  <si>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</si>
  <si>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</si>
  <si>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</si>
  <si>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</si>
  <si>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</si>
  <si>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</si>
  <si>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</si>
  <si>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</si>
  <si>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</si>
  <si>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</si>
  <si>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</si>
  <si>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</si>
  <si>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</si>
  <si>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</si>
  <si>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</si>
  <si>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</si>
  <si>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</si>
  <si>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</si>
  <si>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</si>
  <si>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</si>
  <si>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</si>
  <si>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</si>
  <si>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</si>
  <si>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</si>
  <si>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</si>
  <si>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</si>
  <si>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</si>
  <si>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</si>
  <si>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</si>
  <si>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</si>
  <si>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</si>
  <si>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</si>
  <si>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</si>
  <si>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</si>
  <si>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</si>
  <si>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</si>
  <si>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</si>
  <si>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</si>
  <si>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</si>
  <si>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</si>
  <si>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</si>
  <si>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</si>
  <si>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</si>
  <si>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</si>
  <si>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</si>
  <si>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</si>
  <si>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</si>
  <si>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</si>
  <si>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</si>
  <si>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</si>
  <si>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</si>
  <si>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</si>
  <si>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</si>
  <si>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</si>
  <si>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</si>
  <si>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</si>
  <si>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</si>
  <si>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</si>
  <si>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</si>
  <si>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</si>
  <si>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</si>
  <si>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</si>
  <si>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</si>
  <si>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</si>
  <si>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</si>
  <si>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</si>
  <si>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</si>
  <si>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</si>
  <si>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</si>
  <si>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</si>
  <si>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</si>
  <si>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</si>
  <si>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</si>
  <si>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</si>
  <si>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</si>
  <si>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</si>
  <si>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</si>
  <si>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</si>
  <si>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</si>
  <si>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</si>
  <si>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</si>
  <si>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</si>
  <si>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</si>
  <si>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</si>
  <si>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</si>
  <si>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</si>
  <si>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</si>
  <si>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</si>
  <si>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</si>
  <si>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</si>
  <si>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</si>
  <si>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</si>
  <si>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</si>
  <si>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</si>
  <si>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</si>
  <si>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</si>
  <si>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</si>
  <si>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</si>
  <si>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</si>
  <si>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</si>
  <si>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</si>
  <si>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</si>
  <si>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</si>
  <si>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</si>
  <si>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</si>
  <si>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</si>
  <si>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</si>
  <si>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</si>
  <si>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</si>
  <si>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</si>
  <si>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</si>
  <si>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</si>
  <si>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</si>
  <si>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</si>
  <si>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</si>
  <si>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</si>
  <si>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</si>
  <si>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</si>
  <si>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</si>
  <si>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</si>
  <si>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</si>
  <si>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</si>
  <si>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</si>
  <si>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</si>
  <si>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</si>
  <si>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</si>
  <si>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</si>
  <si>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</si>
  <si>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</si>
  <si>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</si>
  <si>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</si>
  <si>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</si>
  <si>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</si>
  <si>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</si>
  <si>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</si>
  <si>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</si>
  <si>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</si>
  <si>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</si>
  <si>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</si>
  <si>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</si>
  <si>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</si>
  <si>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</si>
  <si>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</si>
  <si>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</si>
  <si>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</si>
  <si>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</si>
  <si>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</si>
  <si>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</si>
  <si>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</si>
  <si>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Debt commitment (provisional)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</si>
  <si>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</si>
  <si>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</si>
  <si>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</si>
  <si>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</si>
  <si>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</si>
  <si>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</si>
  <si>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</si>
  <si>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</si>
  <si>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</si>
  <si>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</si>
  <si>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</si>
  <si>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</si>
  <si>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</si>
  <si>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</si>
  <si>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</si>
  <si>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</si>
  <si>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</si>
  <si>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</si>
  <si>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</si>
  <si>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</si>
  <si>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</si>
  <si>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</si>
  <si>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</si>
  <si>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</si>
  <si>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</si>
  <si>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</si>
  <si>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</si>
  <si>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</si>
  <si>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</si>
  <si>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placeholder, linked in step 2.7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</si>
  <si>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</si>
  <si>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</si>
  <si>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</si>
  <si>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</si>
  <si>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</si>
  <si>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</si>
  <si>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</si>
  <si>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</si>
  <si>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</si>
  <si>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</si>
  <si>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</si>
  <si>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</si>
  <si>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</si>
  <si>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</si>
  <si>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</si>
  <si>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</si>
  <si>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</si>
  <si>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</si>
  <si>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</si>
  <si>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</si>
  <si>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</si>
  <si>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</si>
  <si>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</si>
  <si>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</si>
  <si>
    <t>Operating period number</t>
  </si>
  <si>
    <t>Depreciable base</t>
  </si>
  <si>
    <t>Civil works base</t>
  </si>
  <si>
    <t>Equipment base</t>
  </si>
  <si>
    <t>Civil depreciation</t>
  </si>
  <si>
    <t>Equipment depreciation</t>
  </si>
  <si>
    <t>Total tax depreciation</t>
  </si>
  <si>
    <t>1.A. DEPRECIATION</t>
  </si>
  <si>
    <r>
      <t xml:space="preserve">Total tax depreciation − (Equipment base + Civil base × </t>
    </r>
    <r>
      <rPr>
        <sz val="10"/>
        <color theme="1"/>
        <rFont val="Arial Unicode MS"/>
      </rPr>
      <t>Project life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Fiscal life of civil works</t>
    </r>
    <r>
      <rPr>
        <sz val="11"/>
        <color theme="1"/>
        <rFont val="Calibri"/>
        <family val="2"/>
        <scheme val="minor"/>
      </rPr>
      <t>)</t>
    </r>
  </si>
  <si>
    <t>2.A. TAXABLE INCOME AND TAX</t>
  </si>
  <si>
    <t>Taxable income before losses</t>
  </si>
  <si>
    <t>Tax losses (corkscrew)</t>
  </si>
  <si>
    <t xml:space="preserve">        + Losses generated</t>
  </si>
  <si>
    <t>CFADS</t>
  </si>
  <si>
    <t xml:space="preserve">        − Losses used</t>
  </si>
  <si>
    <t xml:space="preserve">        Balance before expiry</t>
  </si>
  <si>
    <t xml:space="preserve">        Losses still valid</t>
  </si>
  <si>
    <t xml:space="preserve">        Expired losses</t>
  </si>
  <si>
    <t xml:space="preserve">        Taxable income after losses</t>
  </si>
  <si>
    <t xml:space="preserve">        Tax paid</t>
  </si>
  <si>
    <t>Tax paid ≥ 0</t>
  </si>
  <si>
    <t>Corkscrew: Losses generated − Losses used − Expired losses − Last period closing balance =</t>
  </si>
  <si>
    <t>Total deductible financing costs</t>
  </si>
  <si>
    <t>Financing costs during construction (IDC + fees)</t>
  </si>
  <si>
    <t>Interest expense in operations (placeholder, linked in step 2.6)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</si>
</sst>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5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/>
  <cols>
    <col min="1" max="1" width="34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14" activePane="bottomLeft" state="frozen"/>
      <selection pane="bottomLeft" activeCell="B7" sqref="B7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32.42578125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3">
        <v>2</v>
      </c>
      <c r="C6" t="s">
        <v>128</v>
      </c>
      <c r="D6" t="s">
        <v>131</v>
      </c>
    </row>
    <row r="7" spans="1:6">
      <c r="A7" t="s">
        <v>18</v>
      </c>
      <c r="B7" s="23" t="s">
        <v>129</v>
      </c>
      <c r="C7" t="s">
        <v>130</v>
      </c>
      <c r="D7" t="s">
        <v>131</v>
      </c>
    </row>
    <row r="8" spans="1:6" ht="30">
      <c r="A8" s="25" t="s">
        <v>46</v>
      </c>
      <c r="B8" s="34" t="s">
        <v>133</v>
      </c>
      <c r="D8" s="26" t="s">
        <v>93</v>
      </c>
      <c r="E8" s="27" t="s">
        <v>92</v>
      </c>
      <c r="F8" t="s">
        <v>123</v>
      </c>
    </row>
    <row r="9" spans="1:6">
      <c r="A9" t="s">
        <v>28</v>
      </c>
      <c r="B9" s="3">
        <v>24</v>
      </c>
      <c r="C9" t="s">
        <v>29</v>
      </c>
      <c r="D9" t="s">
        <v>93</v>
      </c>
      <c r="E9" s="15" t="s">
        <v>107</v>
      </c>
      <c r="F9" t="s">
        <v>101</v>
      </c>
    </row>
    <row r="10" spans="1:6">
      <c r="A10" t="s">
        <v>30</v>
      </c>
      <c r="B10" s="3">
        <v>30</v>
      </c>
      <c r="C10" t="s">
        <v>31</v>
      </c>
      <c r="D10" t="s">
        <v>93</v>
      </c>
      <c r="E10" s="15" t="s">
        <v>108</v>
      </c>
      <c r="F10" t="s">
        <v>123</v>
      </c>
    </row>
    <row r="11" spans="1:6">
      <c r="A11" t="s">
        <v>172</v>
      </c>
      <c r="B11" s="42">
        <v>46661</v>
      </c>
      <c r="C11" t="s">
        <v>146</v>
      </c>
      <c r="D11" t="s">
        <v>93</v>
      </c>
      <c r="E11" s="39" t="s">
        <v>92</v>
      </c>
      <c r="F11" t="s">
        <v>144</v>
      </c>
    </row>
    <row r="12" spans="1:6" ht="15.75">
      <c r="A12" s="28" t="s">
        <v>135</v>
      </c>
      <c r="B12" s="33"/>
      <c r="C12" s="29"/>
      <c r="D12" s="31"/>
      <c r="E12" s="32"/>
      <c r="F12" s="29"/>
    </row>
    <row r="13" spans="1:6">
      <c r="A13" t="s">
        <v>19</v>
      </c>
      <c r="B13" s="16">
        <v>0.92</v>
      </c>
      <c r="C13" t="s">
        <v>20</v>
      </c>
      <c r="D13" t="s">
        <v>93</v>
      </c>
      <c r="E13" t="s">
        <v>96</v>
      </c>
      <c r="F13" t="s">
        <v>98</v>
      </c>
    </row>
    <row r="14" spans="1:6">
      <c r="A14" t="s">
        <v>21</v>
      </c>
      <c r="B14" s="3">
        <v>65</v>
      </c>
      <c r="C14" t="s">
        <v>22</v>
      </c>
      <c r="D14">
        <f>D12 / (Inputs!B38 * 2)</f>
        <v>0</v>
      </c>
      <c r="E14" s="15" t="s">
        <v>91</v>
      </c>
      <c r="F14" t="s">
        <v>98</v>
      </c>
    </row>
    <row r="15" spans="1:6">
      <c r="A15" t="s">
        <v>23</v>
      </c>
      <c r="B15" s="3">
        <v>0</v>
      </c>
      <c r="C15" t="s">
        <v>24</v>
      </c>
      <c r="D15" t="s">
        <v>93</v>
      </c>
      <c r="E15" t="s">
        <v>92</v>
      </c>
      <c r="F15" t="s">
        <v>98</v>
      </c>
    </row>
    <row r="16" spans="1:6" ht="15.75">
      <c r="A16" s="28" t="s">
        <v>136</v>
      </c>
      <c r="B16" s="33"/>
      <c r="C16" s="29"/>
      <c r="D16" s="29"/>
      <c r="E16" s="29"/>
      <c r="F16" s="29"/>
    </row>
    <row r="17" spans="1:6">
      <c r="A17" t="s">
        <v>140</v>
      </c>
      <c r="B17" s="35">
        <v>10</v>
      </c>
      <c r="C17" t="s">
        <v>141</v>
      </c>
      <c r="D17" t="s">
        <v>93</v>
      </c>
      <c r="E17" t="s">
        <v>142</v>
      </c>
      <c r="F17" t="s">
        <v>143</v>
      </c>
    </row>
    <row r="18" spans="1:6">
      <c r="A18" t="s">
        <v>25</v>
      </c>
      <c r="B18" s="3">
        <v>3300</v>
      </c>
      <c r="C18" t="s">
        <v>26</v>
      </c>
      <c r="D18" t="s">
        <v>93</v>
      </c>
      <c r="E18" s="15" t="s">
        <v>109</v>
      </c>
      <c r="F18" t="s">
        <v>101</v>
      </c>
    </row>
    <row r="19" spans="1:6">
      <c r="A19" t="s">
        <v>103</v>
      </c>
      <c r="B19" s="3">
        <v>0</v>
      </c>
      <c r="C19" t="s">
        <v>26</v>
      </c>
      <c r="D19" t="s">
        <v>93</v>
      </c>
      <c r="E19" s="15" t="s">
        <v>108</v>
      </c>
      <c r="F19" t="s">
        <v>101</v>
      </c>
    </row>
    <row r="20" spans="1:6">
      <c r="A20" t="s">
        <v>104</v>
      </c>
      <c r="B20" s="3">
        <v>2024</v>
      </c>
      <c r="C20" t="s">
        <v>105</v>
      </c>
      <c r="D20" t="s">
        <v>106</v>
      </c>
      <c r="E20" s="15" t="s">
        <v>108</v>
      </c>
      <c r="F20" t="s">
        <v>101</v>
      </c>
    </row>
    <row r="21" spans="1:6">
      <c r="A21" t="s">
        <v>102</v>
      </c>
      <c r="B21" s="3">
        <v>0</v>
      </c>
      <c r="C21" t="s">
        <v>20</v>
      </c>
      <c r="D21" t="s">
        <v>93</v>
      </c>
      <c r="E21" s="15" t="s">
        <v>107</v>
      </c>
      <c r="F21" t="s">
        <v>101</v>
      </c>
    </row>
    <row r="22" spans="1:6">
      <c r="A22" s="45" t="s">
        <v>27</v>
      </c>
      <c r="B22" s="21"/>
    </row>
    <row r="23" spans="1:6">
      <c r="A23" t="s">
        <v>188</v>
      </c>
      <c r="B23" s="16">
        <v>0.15</v>
      </c>
      <c r="C23" t="s">
        <v>20</v>
      </c>
      <c r="D23" t="s">
        <v>93</v>
      </c>
      <c r="E23" t="s">
        <v>92</v>
      </c>
      <c r="F23" t="s">
        <v>101</v>
      </c>
    </row>
    <row r="24" spans="1:6">
      <c r="A24" t="s">
        <v>189</v>
      </c>
      <c r="B24" s="16">
        <v>0.35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190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191</v>
      </c>
      <c r="B26" s="16">
        <v>0.15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110</v>
      </c>
      <c r="B27" s="22">
        <f>SUM(B23:B26)</f>
        <v>1</v>
      </c>
    </row>
    <row r="28" spans="1:6">
      <c r="A28" t="s">
        <v>176</v>
      </c>
      <c r="B28" s="22">
        <v>0.02</v>
      </c>
      <c r="C28" t="s">
        <v>24</v>
      </c>
      <c r="D28" t="s">
        <v>93</v>
      </c>
      <c r="E28" s="15" t="s">
        <v>97</v>
      </c>
      <c r="F28" t="s">
        <v>101</v>
      </c>
    </row>
    <row r="29" spans="1:6" ht="15.75">
      <c r="A29" s="28" t="s">
        <v>137</v>
      </c>
      <c r="B29" s="33"/>
      <c r="C29" s="29"/>
      <c r="D29" s="29"/>
      <c r="E29" s="29"/>
      <c r="F29" s="29"/>
    </row>
    <row r="30" spans="1:6">
      <c r="A30" t="s">
        <v>95</v>
      </c>
      <c r="B30" s="16">
        <v>0.03</v>
      </c>
      <c r="C30" t="s">
        <v>24</v>
      </c>
      <c r="D30" t="s">
        <v>93</v>
      </c>
      <c r="E30" s="15" t="s">
        <v>94</v>
      </c>
      <c r="F30" t="s">
        <v>98</v>
      </c>
    </row>
    <row r="31" spans="1:6">
      <c r="A31" t="s">
        <v>32</v>
      </c>
      <c r="B31" s="3">
        <v>0</v>
      </c>
      <c r="C31" t="s">
        <v>22</v>
      </c>
      <c r="D31" t="s">
        <v>93</v>
      </c>
      <c r="E31" t="s">
        <v>92</v>
      </c>
      <c r="F31" t="s">
        <v>98</v>
      </c>
    </row>
    <row r="32" spans="1:6">
      <c r="A32" t="s">
        <v>33</v>
      </c>
      <c r="B32" s="17">
        <v>0.02</v>
      </c>
      <c r="C32" t="s">
        <v>24</v>
      </c>
      <c r="D32" t="s">
        <v>93</v>
      </c>
      <c r="E32" s="15" t="s">
        <v>97</v>
      </c>
      <c r="F32" t="s">
        <v>98</v>
      </c>
    </row>
    <row r="33" spans="1:20" ht="15.75">
      <c r="A33" s="28" t="s">
        <v>138</v>
      </c>
      <c r="B33" s="33"/>
      <c r="C33" s="29"/>
      <c r="D33" s="29"/>
      <c r="E33" s="30"/>
      <c r="F33" s="29"/>
    </row>
    <row r="34" spans="1:20">
      <c r="A34" t="s">
        <v>34</v>
      </c>
      <c r="B34" s="17">
        <v>0.35</v>
      </c>
      <c r="C34" t="s">
        <v>20</v>
      </c>
      <c r="D34" t="s">
        <v>93</v>
      </c>
      <c r="E34" s="15" t="s">
        <v>132</v>
      </c>
      <c r="F34" t="s">
        <v>123</v>
      </c>
    </row>
    <row r="35" spans="1:20">
      <c r="A35" t="s">
        <v>35</v>
      </c>
      <c r="B35" s="3"/>
    </row>
    <row r="36" spans="1:20">
      <c r="A36" t="s">
        <v>124</v>
      </c>
      <c r="B36" s="16">
        <v>0.5</v>
      </c>
      <c r="C36" t="s">
        <v>20</v>
      </c>
      <c r="D36" t="s">
        <v>93</v>
      </c>
      <c r="E36" s="15" t="s">
        <v>108</v>
      </c>
      <c r="F36" t="s">
        <v>123</v>
      </c>
    </row>
    <row r="37" spans="1:20">
      <c r="A37" t="s">
        <v>125</v>
      </c>
      <c r="B37" s="3">
        <v>50</v>
      </c>
      <c r="C37" t="s">
        <v>31</v>
      </c>
      <c r="D37" t="s">
        <v>93</v>
      </c>
      <c r="E37" s="15" t="s">
        <v>132</v>
      </c>
      <c r="F37" t="s">
        <v>123</v>
      </c>
    </row>
    <row r="38" spans="1:20">
      <c r="A38" t="s">
        <v>126</v>
      </c>
      <c r="B38" s="3">
        <v>10</v>
      </c>
      <c r="C38" t="s">
        <v>31</v>
      </c>
      <c r="D38" t="s">
        <v>93</v>
      </c>
      <c r="E38" s="15" t="s">
        <v>132</v>
      </c>
      <c r="F38" t="s">
        <v>123</v>
      </c>
    </row>
    <row r="39" spans="1:20">
      <c r="A39" t="s">
        <v>127</v>
      </c>
      <c r="B39" s="3">
        <v>5</v>
      </c>
      <c r="C39" t="s">
        <v>31</v>
      </c>
      <c r="D39" t="s">
        <v>93</v>
      </c>
      <c r="E39" s="15" t="s">
        <v>132</v>
      </c>
      <c r="F39" t="s">
        <v>123</v>
      </c>
    </row>
    <row r="40" spans="1:20" ht="15.75">
      <c r="A40" s="28" t="s">
        <v>139</v>
      </c>
      <c r="B40" s="33"/>
      <c r="C40" s="29"/>
      <c r="D40" s="29"/>
      <c r="E40" s="30"/>
      <c r="F40" s="29"/>
    </row>
    <row r="41" spans="1:20">
      <c r="A41" t="s">
        <v>36</v>
      </c>
      <c r="B41" s="3">
        <v>12</v>
      </c>
      <c r="C41" t="s">
        <v>31</v>
      </c>
      <c r="D41" t="s">
        <v>93</v>
      </c>
      <c r="E41" s="15" t="s">
        <v>114</v>
      </c>
      <c r="F41" t="s">
        <v>122</v>
      </c>
    </row>
    <row r="42" spans="1:20">
      <c r="A42" t="s">
        <v>37</v>
      </c>
      <c r="B42" s="17">
        <v>0.09</v>
      </c>
      <c r="C42" t="s">
        <v>24</v>
      </c>
      <c r="D42" t="s">
        <v>93</v>
      </c>
      <c r="E42" s="15" t="s">
        <v>113</v>
      </c>
      <c r="F42" t="s">
        <v>122</v>
      </c>
    </row>
    <row r="43" spans="1:20">
      <c r="A43" t="s">
        <v>111</v>
      </c>
      <c r="B43" s="24">
        <f>B42/2</f>
        <v>4.4999999999999998E-2</v>
      </c>
      <c r="C43" t="s">
        <v>112</v>
      </c>
      <c r="D43" t="s">
        <v>131</v>
      </c>
      <c r="E43" t="s">
        <v>92</v>
      </c>
      <c r="F43" t="s">
        <v>122</v>
      </c>
    </row>
    <row r="44" spans="1:20">
      <c r="A44" t="s">
        <v>120</v>
      </c>
      <c r="B44" s="3">
        <v>0</v>
      </c>
      <c r="C44" t="s">
        <v>121</v>
      </c>
      <c r="D44" t="s">
        <v>93</v>
      </c>
      <c r="E44" t="s">
        <v>92</v>
      </c>
      <c r="F44" t="s">
        <v>122</v>
      </c>
    </row>
    <row r="45" spans="1:20">
      <c r="A45" t="s">
        <v>38</v>
      </c>
      <c r="B45" s="3">
        <v>1.35</v>
      </c>
      <c r="C45" t="s">
        <v>39</v>
      </c>
      <c r="D45" t="s">
        <v>93</v>
      </c>
      <c r="E45" s="15" t="s">
        <v>115</v>
      </c>
      <c r="F45" t="s">
        <v>122</v>
      </c>
    </row>
    <row r="46" spans="1:20">
      <c r="A46" t="s">
        <v>40</v>
      </c>
      <c r="B46" s="3">
        <v>1.2</v>
      </c>
      <c r="C46" t="s">
        <v>39</v>
      </c>
      <c r="D46" t="s">
        <v>93</v>
      </c>
      <c r="E46" s="15" t="s">
        <v>116</v>
      </c>
      <c r="F46" t="s">
        <v>122</v>
      </c>
    </row>
    <row r="47" spans="1:20">
      <c r="A47" t="s">
        <v>41</v>
      </c>
      <c r="B47" s="3">
        <v>1.1000000000000001</v>
      </c>
      <c r="C47" t="s">
        <v>39</v>
      </c>
      <c r="D47" t="s">
        <v>93</v>
      </c>
      <c r="E47" s="15" t="s">
        <v>115</v>
      </c>
      <c r="F47" t="s">
        <v>122</v>
      </c>
    </row>
    <row r="48" spans="1:20">
      <c r="A48" t="s">
        <v>42</v>
      </c>
      <c r="B48" s="17">
        <v>0.7</v>
      </c>
      <c r="C48" t="s">
        <v>20</v>
      </c>
      <c r="D48" t="s">
        <v>93</v>
      </c>
      <c r="E48" s="15" t="s">
        <v>117</v>
      </c>
      <c r="F48" t="s">
        <v>122</v>
      </c>
      <c r="M48" s="12"/>
      <c r="T48" s="12"/>
    </row>
    <row r="49" spans="1:6">
      <c r="A49" t="s">
        <v>43</v>
      </c>
      <c r="B49" s="3">
        <v>6</v>
      </c>
      <c r="C49" t="s">
        <v>29</v>
      </c>
      <c r="D49" t="s">
        <v>93</v>
      </c>
      <c r="E49" s="15" t="s">
        <v>118</v>
      </c>
      <c r="F49" t="s">
        <v>122</v>
      </c>
    </row>
    <row r="50" spans="1:6">
      <c r="A50" t="s">
        <v>44</v>
      </c>
      <c r="B50" s="17">
        <v>1.4999999999999999E-2</v>
      </c>
      <c r="C50" t="s">
        <v>20</v>
      </c>
      <c r="D50" t="s">
        <v>93</v>
      </c>
      <c r="E50" s="15" t="s">
        <v>119</v>
      </c>
      <c r="F50" t="s">
        <v>122</v>
      </c>
    </row>
    <row r="51" spans="1:6">
      <c r="A51" t="s">
        <v>45</v>
      </c>
      <c r="B51" s="17">
        <v>5.0000000000000001E-3</v>
      </c>
      <c r="C51" t="s">
        <v>20</v>
      </c>
      <c r="D51" t="s">
        <v>93</v>
      </c>
      <c r="E51" s="15" t="s">
        <v>119</v>
      </c>
      <c r="F51" t="s">
        <v>122</v>
      </c>
    </row>
    <row r="53" spans="1:6">
      <c r="E53" s="11"/>
    </row>
    <row r="56" spans="1:6">
      <c r="E56" s="12"/>
    </row>
  </sheetData>
  <hyperlinks>
    <hyperlink ref="E14" r:id="rId1"/>
    <hyperlink ref="E30" r:id="rId2"/>
    <hyperlink ref="E32" r:id="rId3"/>
    <hyperlink ref="E18" r:id="rId4" display="RENEWABLE POWER GENERATION COSTS IN 2024"/>
    <hyperlink ref="E19" r:id="rId5" display="RENEWABLE POWER GENERATION COSTS IN 2024"/>
    <hyperlink ref="E20" r:id="rId6" display="RENEWABLE POWER GENERATION COSTS IN 2024"/>
    <hyperlink ref="E9" r:id="rId7" display="IRENA: RENEWABLE ENERGY TECHNOLOGIES: COST ANALYSIS SERIES"/>
    <hyperlink ref="E21" r:id="rId8" display="IRENA: RENEWABLE ENERGY TECHNOLOGIES: COST ANALYSIS SERIES"/>
    <hyperlink ref="E41" r:id="rId9"/>
    <hyperlink ref="E42" r:id="rId10"/>
    <hyperlink ref="E45" r:id="rId11"/>
    <hyperlink ref="E46" r:id="rId12"/>
    <hyperlink ref="E47" r:id="rId13"/>
    <hyperlink ref="E48" r:id="rId14"/>
    <hyperlink ref="E49" r:id="rId15"/>
    <hyperlink ref="E50" r:id="rId16"/>
    <hyperlink ref="E51" r:id="rId17"/>
    <hyperlink ref="E10" r:id="rId18" display="RENEWABLE POWER GENERATION COSTS IN 2024"/>
    <hyperlink ref="E34" r:id="rId19"/>
    <hyperlink ref="E36" r:id="rId20" display="RENEWABLE POWER GENERATION COSTS IN 2024"/>
    <hyperlink ref="E37" r:id="rId21"/>
    <hyperlink ref="E38" r:id="rId22"/>
    <hyperlink ref="E39" r:id="rId23"/>
    <hyperlink ref="E28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F1" zoomScale="70" zoomScaleNormal="70" workbookViewId="0">
      <selection activeCell="L17" sqref="L17"/>
    </sheetView>
  </sheetViews>
  <sheetFormatPr baseColWidth="10" defaultColWidth="9.140625" defaultRowHeight="15"/>
  <cols>
    <col min="1" max="1" width="78.5703125" bestFit="1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226</v>
      </c>
      <c r="M15" s="9" t="s">
        <v>227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D39" sqref="D39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56" t="s">
        <v>169</v>
      </c>
      <c r="B5" s="56"/>
      <c r="C5" s="56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Inputs!B11</f>
        <v>46661</v>
      </c>
    </row>
    <row r="8" spans="1:75">
      <c r="A8" t="s">
        <v>147</v>
      </c>
      <c r="B8" t="s">
        <v>146</v>
      </c>
      <c r="C8" s="6">
        <f>EDATE(C7, Inputs!B9)</f>
        <v>47392</v>
      </c>
    </row>
    <row r="9" spans="1:75">
      <c r="A9" t="s">
        <v>148</v>
      </c>
      <c r="B9" t="s">
        <v>146</v>
      </c>
      <c r="C9" s="6">
        <f>EDATE(C8, Inputs!B44*6)</f>
        <v>47392</v>
      </c>
    </row>
    <row r="10" spans="1:75">
      <c r="A10" t="s">
        <v>149</v>
      </c>
      <c r="B10" t="s">
        <v>146</v>
      </c>
      <c r="C10" s="6">
        <f>EDATE(C8,Inputs!B41*12)</f>
        <v>51775</v>
      </c>
    </row>
    <row r="11" spans="1:75">
      <c r="A11" t="s">
        <v>150</v>
      </c>
      <c r="B11" t="s">
        <v>146</v>
      </c>
      <c r="C11" s="6">
        <f>EDATE(C8,Inputs!B10*12)</f>
        <v>58349</v>
      </c>
    </row>
    <row r="14" spans="1:75" ht="15.75">
      <c r="A14" s="56" t="s">
        <v>170</v>
      </c>
      <c r="B14" s="56"/>
      <c r="C14" s="56"/>
      <c r="D14" s="56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(D16-DATE(Inputs!$B$20,7,1))/365.25</f>
        <v>3.2498288843258041</v>
      </c>
      <c r="E23" s="8">
        <f>(E16-DATE(Inputs!$B$20,7,1))/365.25</f>
        <v>3.7508555783709787</v>
      </c>
      <c r="F23" s="8">
        <f>(F16-DATE(Inputs!$B$20,7,1))/365.25</f>
        <v>4.2518822724161529</v>
      </c>
      <c r="G23" s="8">
        <f>(G16-DATE(Inputs!$B$20,7,1))/365.25</f>
        <v>4.7501711156741955</v>
      </c>
      <c r="H23" s="8">
        <f>(H16-DATE(Inputs!$B$20,7,1))/365.25</f>
        <v>5.2511978097193701</v>
      </c>
      <c r="I23" s="8">
        <f>(I16-DATE(Inputs!$B$20,7,1))/365.25</f>
        <v>5.7494866529774127</v>
      </c>
      <c r="J23" s="8">
        <f>(J16-DATE(Inputs!$B$20,7,1))/365.25</f>
        <v>6.2505133470225873</v>
      </c>
      <c r="K23" s="8">
        <f>(K16-DATE(Inputs!$B$20,7,1))/365.25</f>
        <v>6.7488021902806299</v>
      </c>
      <c r="L23" s="8">
        <f>(L16-DATE(Inputs!$B$20,7,1))/365.25</f>
        <v>7.2498288843258045</v>
      </c>
      <c r="M23" s="8">
        <f>(M16-DATE(Inputs!$B$20,7,1))/365.25</f>
        <v>7.7508555783709792</v>
      </c>
      <c r="N23" s="8">
        <f>(N16-DATE(Inputs!$B$20,7,1))/365.25</f>
        <v>8.2518822724161538</v>
      </c>
      <c r="O23" s="8">
        <f>(O16-DATE(Inputs!$B$20,7,1))/365.25</f>
        <v>8.7501711156741955</v>
      </c>
      <c r="P23" s="8">
        <f>(P16-DATE(Inputs!$B$20,7,1))/365.25</f>
        <v>9.2511978097193701</v>
      </c>
      <c r="Q23" s="8">
        <f>(Q16-DATE(Inputs!$B$20,7,1))/365.25</f>
        <v>9.7494866529774136</v>
      </c>
      <c r="R23" s="8">
        <f>(R16-DATE(Inputs!$B$20,7,1))/365.25</f>
        <v>10.250513347022586</v>
      </c>
      <c r="S23" s="8">
        <f>(S16-DATE(Inputs!$B$20,7,1))/365.25</f>
        <v>10.74880219028063</v>
      </c>
      <c r="T23" s="8">
        <f>(T16-DATE(Inputs!$B$20,7,1))/365.25</f>
        <v>11.249828884325805</v>
      </c>
      <c r="U23" s="8">
        <f>(U16-DATE(Inputs!$B$20,7,1))/365.25</f>
        <v>11.750855578370979</v>
      </c>
      <c r="V23" s="8">
        <f>(V16-DATE(Inputs!$B$20,7,1))/365.25</f>
        <v>12.251882272416154</v>
      </c>
      <c r="W23" s="8">
        <f>(W16-DATE(Inputs!$B$20,7,1))/365.25</f>
        <v>12.750171115674195</v>
      </c>
      <c r="X23" s="8">
        <f>(X16-DATE(Inputs!$B$20,7,1))/365.25</f>
        <v>13.25119780971937</v>
      </c>
      <c r="Y23" s="8">
        <f>(Y16-DATE(Inputs!$B$20,7,1))/365.25</f>
        <v>13.749486652977414</v>
      </c>
      <c r="Z23" s="8">
        <f>(Z16-DATE(Inputs!$B$20,7,1))/365.25</f>
        <v>14.250513347022586</v>
      </c>
      <c r="AA23" s="8">
        <f>(AA16-DATE(Inputs!$B$20,7,1))/365.25</f>
        <v>14.74880219028063</v>
      </c>
      <c r="AB23" s="8">
        <f>(AB16-DATE(Inputs!$B$20,7,1))/365.25</f>
        <v>15.249828884325805</v>
      </c>
      <c r="AC23" s="8">
        <f>(AC16-DATE(Inputs!$B$20,7,1))/365.25</f>
        <v>15.750855578370979</v>
      </c>
      <c r="AD23" s="8">
        <f>(AD16-DATE(Inputs!$B$20,7,1))/365.25</f>
        <v>16.251882272416154</v>
      </c>
      <c r="AE23" s="8">
        <f>(AE16-DATE(Inputs!$B$20,7,1))/365.25</f>
        <v>16.750171115674195</v>
      </c>
      <c r="AF23" s="8">
        <f>(AF16-DATE(Inputs!$B$20,7,1))/365.25</f>
        <v>17.251197809719372</v>
      </c>
      <c r="AG23" s="8">
        <f>(AG16-DATE(Inputs!$B$20,7,1))/365.25</f>
        <v>17.749486652977414</v>
      </c>
      <c r="AH23" s="8">
        <f>(AH16-DATE(Inputs!$B$20,7,1))/365.25</f>
        <v>18.250513347022586</v>
      </c>
      <c r="AI23" s="8">
        <f>(AI16-DATE(Inputs!$B$20,7,1))/365.25</f>
        <v>18.748802190280628</v>
      </c>
      <c r="AJ23" s="8">
        <f>(AJ16-DATE(Inputs!$B$20,7,1))/365.25</f>
        <v>19.249828884325805</v>
      </c>
      <c r="AK23" s="8">
        <f>(AK16-DATE(Inputs!$B$20,7,1))/365.25</f>
        <v>19.750855578370977</v>
      </c>
      <c r="AL23" s="8">
        <f>(AL16-DATE(Inputs!$B$20,7,1))/365.25</f>
        <v>20.251882272416154</v>
      </c>
      <c r="AM23" s="8">
        <f>(AM16-DATE(Inputs!$B$20,7,1))/365.25</f>
        <v>20.750171115674195</v>
      </c>
      <c r="AN23" s="8">
        <f>(AN16-DATE(Inputs!$B$20,7,1))/365.25</f>
        <v>21.251197809719372</v>
      </c>
      <c r="AO23" s="8">
        <f>(AO16-DATE(Inputs!$B$20,7,1))/365.25</f>
        <v>21.749486652977414</v>
      </c>
      <c r="AP23" s="8">
        <f>(AP16-DATE(Inputs!$B$20,7,1))/365.25</f>
        <v>22.250513347022586</v>
      </c>
      <c r="AQ23" s="8">
        <f>(AQ16-DATE(Inputs!$B$20,7,1))/365.25</f>
        <v>22.748802190280628</v>
      </c>
      <c r="AR23" s="8">
        <f>(AR16-DATE(Inputs!$B$20,7,1))/365.25</f>
        <v>23.249828884325805</v>
      </c>
      <c r="AS23" s="8">
        <f>(AS16-DATE(Inputs!$B$20,7,1))/365.25</f>
        <v>23.750855578370977</v>
      </c>
      <c r="AT23" s="8">
        <f>(AT16-DATE(Inputs!$B$20,7,1))/365.25</f>
        <v>24.251882272416154</v>
      </c>
      <c r="AU23" s="8">
        <f>(AU16-DATE(Inputs!$B$20,7,1))/365.25</f>
        <v>24.750171115674195</v>
      </c>
      <c r="AV23" s="8">
        <f>(AV16-DATE(Inputs!$B$20,7,1))/365.25</f>
        <v>25.251197809719372</v>
      </c>
      <c r="AW23" s="8">
        <f>(AW16-DATE(Inputs!$B$20,7,1))/365.25</f>
        <v>25.749486652977414</v>
      </c>
      <c r="AX23" s="8">
        <f>(AX16-DATE(Inputs!$B$20,7,1))/365.25</f>
        <v>26.250513347022586</v>
      </c>
      <c r="AY23" s="8">
        <f>(AY16-DATE(Inputs!$B$20,7,1))/365.25</f>
        <v>26.748802190280628</v>
      </c>
      <c r="AZ23" s="8">
        <f>(AZ16-DATE(Inputs!$B$20,7,1))/365.25</f>
        <v>27.249828884325805</v>
      </c>
      <c r="BA23" s="8">
        <f>(BA16-DATE(Inputs!$B$20,7,1))/365.25</f>
        <v>27.750855578370977</v>
      </c>
      <c r="BB23" s="8">
        <f>(BB16-DATE(Inputs!$B$20,7,1))/365.25</f>
        <v>28.251882272416154</v>
      </c>
      <c r="BC23" s="8">
        <f>(BC16-DATE(Inputs!$B$20,7,1))/365.25</f>
        <v>28.750171115674195</v>
      </c>
      <c r="BD23" s="8">
        <f>(BD16-DATE(Inputs!$B$20,7,1))/365.25</f>
        <v>29.251197809719372</v>
      </c>
      <c r="BE23" s="8">
        <f>(BE16-DATE(Inputs!$B$20,7,1))/365.25</f>
        <v>29.749486652977414</v>
      </c>
      <c r="BF23" s="8">
        <f>(BF16-DATE(Inputs!$B$20,7,1))/365.25</f>
        <v>30.250513347022586</v>
      </c>
      <c r="BG23" s="8">
        <f>(BG16-DATE(Inputs!$B$20,7,1))/365.25</f>
        <v>30.748802190280628</v>
      </c>
      <c r="BH23" s="8">
        <f>(BH16-DATE(Inputs!$B$20,7,1))/365.25</f>
        <v>31.249828884325805</v>
      </c>
      <c r="BI23" s="8">
        <f>(BI16-DATE(Inputs!$B$20,7,1))/365.25</f>
        <v>31.750855578370977</v>
      </c>
      <c r="BJ23" s="8">
        <f>(BJ16-DATE(Inputs!$B$20,7,1))/365.25</f>
        <v>32.251882272416154</v>
      </c>
      <c r="BK23" s="8">
        <f>(BK16-DATE(Inputs!$B$20,7,1))/365.25</f>
        <v>32.750171115674199</v>
      </c>
      <c r="BL23" s="8">
        <f>(BL16-DATE(Inputs!$B$20,7,1))/365.25</f>
        <v>33.251197809719372</v>
      </c>
      <c r="BM23" s="8">
        <f>(BM16-DATE(Inputs!$B$20,7,1))/365.25</f>
        <v>33.74948665297741</v>
      </c>
      <c r="BN23" s="8">
        <f>(BN16-DATE(Inputs!$B$20,7,1))/365.25</f>
        <v>34.25051334702259</v>
      </c>
      <c r="BO23" s="8">
        <f>(BO16-DATE(Inputs!$B$20,7,1))/365.25</f>
        <v>34.748802190280628</v>
      </c>
      <c r="BP23" s="8">
        <f>(BP16-DATE(Inputs!$B$20,7,1))/365.25</f>
        <v>35.249828884325801</v>
      </c>
      <c r="BQ23" s="8">
        <f>(BQ16-DATE(Inputs!$B$20,7,1))/365.25</f>
        <v>35.750855578370981</v>
      </c>
      <c r="BR23" s="8">
        <f>(BR16-DATE(Inputs!$B$20,7,1))/365.25</f>
        <v>36.251882272416154</v>
      </c>
      <c r="BS23" s="8">
        <f>(BS16-DATE(Inputs!$B$20,7,1))/365.25</f>
        <v>36.750171115674199</v>
      </c>
      <c r="BT23" s="8">
        <f>(BT16-DATE(Inputs!$B$20,7,1))/365.25</f>
        <v>37.251197809719372</v>
      </c>
      <c r="BU23" s="8">
        <f>(BU16-DATE(Inputs!$B$20,7,1))/365.25</f>
        <v>37.74948665297741</v>
      </c>
    </row>
    <row r="24" spans="1:73">
      <c r="A24" t="s">
        <v>228</v>
      </c>
      <c r="B24" t="s">
        <v>229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56" t="s">
        <v>171</v>
      </c>
      <c r="B27" s="56"/>
      <c r="C27" s="56"/>
      <c r="D27" s="56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12" t="s">
        <v>160</v>
      </c>
      <c r="B29" t="s">
        <v>165</v>
      </c>
      <c r="C29">
        <f>SUM(D20:BU20)-Inputs!B9/6</f>
        <v>0</v>
      </c>
      <c r="D29" s="37" t="s">
        <v>167</v>
      </c>
      <c r="E29" s="12"/>
    </row>
    <row r="30" spans="1:73">
      <c r="A30" s="12" t="s">
        <v>161</v>
      </c>
      <c r="B30" t="s">
        <v>165</v>
      </c>
      <c r="C30">
        <f>SUM(D21:BU21)-Inputs!B10*2</f>
        <v>0</v>
      </c>
      <c r="D30" s="37" t="s">
        <v>167</v>
      </c>
      <c r="E30" s="12"/>
    </row>
    <row r="31" spans="1:73">
      <c r="A31" s="12" t="s">
        <v>162</v>
      </c>
      <c r="B31" t="s">
        <v>165</v>
      </c>
      <c r="C31">
        <f>SUM(D22:BU22)-Inputs!B41*2</f>
        <v>0</v>
      </c>
      <c r="D31" s="37" t="s">
        <v>167</v>
      </c>
      <c r="E31" s="12"/>
    </row>
    <row r="32" spans="1:73">
      <c r="A32" s="12" t="s">
        <v>163</v>
      </c>
      <c r="B32" t="s">
        <v>165</v>
      </c>
      <c r="C32">
        <f>SUM(D25:BU25)</f>
        <v>0</v>
      </c>
      <c r="D32" s="37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1"/>
  <sheetViews>
    <sheetView topLeftCell="A19" zoomScale="85" zoomScaleNormal="85" workbookViewId="0">
      <pane xSplit="3" topLeftCell="D1" activePane="topRight" state="frozen"/>
      <selection pane="topRight" activeCell="D11" sqref="D11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56" t="s">
        <v>192</v>
      </c>
      <c r="B4" s="56"/>
      <c r="C4" s="56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56" t="s">
        <v>193</v>
      </c>
      <c r="B9" s="56"/>
      <c r="C9" s="56"/>
    </row>
    <row r="10" spans="1:74">
      <c r="A10" t="s">
        <v>186</v>
      </c>
      <c r="B10" t="s">
        <v>184</v>
      </c>
      <c r="C10">
        <f>Inputs!$B$17*1000*Inputs!$B$18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IF(D11&gt;0,INDEX(Inputs!$B$23:$B$26,D11),0)</f>
        <v>0.15</v>
      </c>
      <c r="E12">
        <f>IF(E11&gt;0,INDEX(Inputs!$B$23:$B$26,E11),0)</f>
        <v>0.35</v>
      </c>
      <c r="F12">
        <f>IF(F11&gt;0,INDEX(Inputs!$B$23:$B$26,F11),0)</f>
        <v>0.35</v>
      </c>
      <c r="G12">
        <f>IF(G11&gt;0,INDEX(Inputs!$B$23:$B$26,G11),0)</f>
        <v>0.15</v>
      </c>
      <c r="H12">
        <f>IF(H11&gt;0,INDEX(Inputs!$B$23:$B$26,H11),0)</f>
        <v>0</v>
      </c>
      <c r="I12">
        <f>IF(I11&gt;0,INDEX(Inputs!$B$23:$B$26,I11),0)</f>
        <v>0</v>
      </c>
      <c r="J12">
        <f>IF(J11&gt;0,INDEX(Inputs!$B$23:$B$26,J11),0)</f>
        <v>0</v>
      </c>
      <c r="K12">
        <f>IF(K11&gt;0,INDEX(Inputs!$B$23:$B$26,K11),0)</f>
        <v>0</v>
      </c>
      <c r="L12">
        <f>IF(L11&gt;0,INDEX(Inputs!$B$23:$B$26,L11),0)</f>
        <v>0</v>
      </c>
      <c r="M12">
        <f>IF(M11&gt;0,INDEX(Inputs!$B$23:$B$26,M11),0)</f>
        <v>0</v>
      </c>
      <c r="N12">
        <f>IF(N11&gt;0,INDEX(Inputs!$B$23:$B$26,N11),0)</f>
        <v>0</v>
      </c>
      <c r="O12">
        <f>IF(O11&gt;0,INDEX(Inputs!$B$23:$B$26,O11),0)</f>
        <v>0</v>
      </c>
      <c r="P12">
        <f>IF(P11&gt;0,INDEX(Inputs!$B$23:$B$26,P11),0)</f>
        <v>0</v>
      </c>
      <c r="Q12">
        <f>IF(Q11&gt;0,INDEX(Inputs!$B$23:$B$26,Q11),0)</f>
        <v>0</v>
      </c>
      <c r="R12">
        <f>IF(R11&gt;0,INDEX(Inputs!$B$23:$B$26,R11),0)</f>
        <v>0</v>
      </c>
      <c r="S12">
        <f>IF(S11&gt;0,INDEX(Inputs!$B$23:$B$26,S11),0)</f>
        <v>0</v>
      </c>
      <c r="T12">
        <f>IF(T11&gt;0,INDEX(Inputs!$B$23:$B$26,T11),0)</f>
        <v>0</v>
      </c>
      <c r="U12">
        <f>IF(U11&gt;0,INDEX(Inputs!$B$23:$B$26,U11),0)</f>
        <v>0</v>
      </c>
      <c r="V12">
        <f>IF(V11&gt;0,INDEX(Inputs!$B$23:$B$26,V11),0)</f>
        <v>0</v>
      </c>
      <c r="W12">
        <f>IF(W11&gt;0,INDEX(Inputs!$B$23:$B$26,W11),0)</f>
        <v>0</v>
      </c>
      <c r="X12">
        <f>IF(X11&gt;0,INDEX(Inputs!$B$23:$B$26,X11),0)</f>
        <v>0</v>
      </c>
      <c r="Y12">
        <f>IF(Y11&gt;0,INDEX(Inputs!$B$23:$B$26,Y11),0)</f>
        <v>0</v>
      </c>
      <c r="Z12">
        <f>IF(Z11&gt;0,INDEX(Inputs!$B$23:$B$26,Z11),0)</f>
        <v>0</v>
      </c>
      <c r="AA12">
        <f>IF(AA11&gt;0,INDEX(Inputs!$B$23:$B$26,AA11),0)</f>
        <v>0</v>
      </c>
      <c r="AB12">
        <f>IF(AB11&gt;0,INDEX(Inputs!$B$23:$B$26,AB11),0)</f>
        <v>0</v>
      </c>
      <c r="AC12">
        <f>IF(AC11&gt;0,INDEX(Inputs!$B$23:$B$26,AC11),0)</f>
        <v>0</v>
      </c>
      <c r="AD12">
        <f>IF(AD11&gt;0,INDEX(Inputs!$B$23:$B$26,AD11),0)</f>
        <v>0</v>
      </c>
      <c r="AE12">
        <f>IF(AE11&gt;0,INDEX(Inputs!$B$23:$B$26,AE11),0)</f>
        <v>0</v>
      </c>
      <c r="AF12">
        <f>IF(AF11&gt;0,INDEX(Inputs!$B$23:$B$26,AF11),0)</f>
        <v>0</v>
      </c>
      <c r="AG12">
        <f>IF(AG11&gt;0,INDEX(Inputs!$B$23:$B$26,AG11),0)</f>
        <v>0</v>
      </c>
      <c r="AH12">
        <f>IF(AH11&gt;0,INDEX(Inputs!$B$23:$B$26,AH11),0)</f>
        <v>0</v>
      </c>
      <c r="AI12">
        <f>IF(AI11&gt;0,INDEX(Inputs!$B$23:$B$26,AI11),0)</f>
        <v>0</v>
      </c>
      <c r="AJ12">
        <f>IF(AJ11&gt;0,INDEX(Inputs!$B$23:$B$26,AJ11),0)</f>
        <v>0</v>
      </c>
      <c r="AK12">
        <f>IF(AK11&gt;0,INDEX(Inputs!$B$23:$B$26,AK11),0)</f>
        <v>0</v>
      </c>
      <c r="AL12">
        <f>IF(AL11&gt;0,INDEX(Inputs!$B$23:$B$26,AL11),0)</f>
        <v>0</v>
      </c>
      <c r="AM12">
        <f>IF(AM11&gt;0,INDEX(Inputs!$B$23:$B$26,AM11),0)</f>
        <v>0</v>
      </c>
      <c r="AN12">
        <f>IF(AN11&gt;0,INDEX(Inputs!$B$23:$B$26,AN11),0)</f>
        <v>0</v>
      </c>
      <c r="AO12">
        <f>IF(AO11&gt;0,INDEX(Inputs!$B$23:$B$26,AO11),0)</f>
        <v>0</v>
      </c>
      <c r="AP12">
        <f>IF(AP11&gt;0,INDEX(Inputs!$B$23:$B$26,AP11),0)</f>
        <v>0</v>
      </c>
      <c r="AQ12">
        <f>IF(AQ11&gt;0,INDEX(Inputs!$B$23:$B$26,AQ11),0)</f>
        <v>0</v>
      </c>
      <c r="AR12">
        <f>IF(AR11&gt;0,INDEX(Inputs!$B$23:$B$26,AR11),0)</f>
        <v>0</v>
      </c>
      <c r="AS12">
        <f>IF(AS11&gt;0,INDEX(Inputs!$B$23:$B$26,AS11),0)</f>
        <v>0</v>
      </c>
      <c r="AT12">
        <f>IF(AT11&gt;0,INDEX(Inputs!$B$23:$B$26,AT11),0)</f>
        <v>0</v>
      </c>
      <c r="AU12">
        <f>IF(AU11&gt;0,INDEX(Inputs!$B$23:$B$26,AU11),0)</f>
        <v>0</v>
      </c>
      <c r="AV12">
        <f>IF(AV11&gt;0,INDEX(Inputs!$B$23:$B$26,AV11),0)</f>
        <v>0</v>
      </c>
      <c r="AW12">
        <f>IF(AW11&gt;0,INDEX(Inputs!$B$23:$B$26,AW11),0)</f>
        <v>0</v>
      </c>
      <c r="AX12">
        <f>IF(AX11&gt;0,INDEX(Inputs!$B$23:$B$26,AX11),0)</f>
        <v>0</v>
      </c>
      <c r="AY12">
        <f>IF(AY11&gt;0,INDEX(Inputs!$B$23:$B$26,AY11),0)</f>
        <v>0</v>
      </c>
      <c r="AZ12">
        <f>IF(AZ11&gt;0,INDEX(Inputs!$B$23:$B$26,AZ11),0)</f>
        <v>0</v>
      </c>
      <c r="BA12">
        <f>IF(BA11&gt;0,INDEX(Inputs!$B$23:$B$26,BA11),0)</f>
        <v>0</v>
      </c>
      <c r="BB12">
        <f>IF(BB11&gt;0,INDEX(Inputs!$B$23:$B$26,BB11),0)</f>
        <v>0</v>
      </c>
      <c r="BC12">
        <f>IF(BC11&gt;0,INDEX(Inputs!$B$23:$B$26,BC11),0)</f>
        <v>0</v>
      </c>
      <c r="BD12">
        <f>IF(BD11&gt;0,INDEX(Inputs!$B$23:$B$26,BD11),0)</f>
        <v>0</v>
      </c>
      <c r="BE12">
        <f>IF(BE11&gt;0,INDEX(Inputs!$B$23:$B$26,BE11),0)</f>
        <v>0</v>
      </c>
      <c r="BF12">
        <f>IF(BF11&gt;0,INDEX(Inputs!$B$23:$B$26,BF11),0)</f>
        <v>0</v>
      </c>
      <c r="BG12">
        <f>IF(BG11&gt;0,INDEX(Inputs!$B$23:$B$26,BG11),0)</f>
        <v>0</v>
      </c>
      <c r="BH12">
        <f>IF(BH11&gt;0,INDEX(Inputs!$B$23:$B$26,BH11),0)</f>
        <v>0</v>
      </c>
      <c r="BI12">
        <f>IF(BI11&gt;0,INDEX(Inputs!$B$23:$B$26,BI11),0)</f>
        <v>0</v>
      </c>
      <c r="BJ12">
        <f>IF(BJ11&gt;0,INDEX(Inputs!$B$23:$B$26,BJ11),0)</f>
        <v>0</v>
      </c>
      <c r="BK12">
        <f>IF(BK11&gt;0,INDEX(Inputs!$B$23:$B$26,BK11),0)</f>
        <v>0</v>
      </c>
      <c r="BL12">
        <f>IF(BL11&gt;0,INDEX(Inputs!$B$23:$B$26,BL11),0)</f>
        <v>0</v>
      </c>
      <c r="BM12">
        <f>IF(BM11&gt;0,INDEX(Inputs!$B$23:$B$26,BM11),0)</f>
        <v>0</v>
      </c>
      <c r="BN12">
        <f>IF(BN11&gt;0,INDEX(Inputs!$B$23:$B$26,BN11),0)</f>
        <v>0</v>
      </c>
      <c r="BO12">
        <f>IF(BO11&gt;0,INDEX(Inputs!$B$23:$B$26,BO11),0)</f>
        <v>0</v>
      </c>
      <c r="BP12">
        <f>IF(BP11&gt;0,INDEX(Inputs!$B$23:$B$26,BP11),0)</f>
        <v>0</v>
      </c>
      <c r="BQ12">
        <f>IF(BQ11&gt;0,INDEX(Inputs!$B$23:$B$26,BQ11),0)</f>
        <v>0</v>
      </c>
      <c r="BR12">
        <f>IF(BR11&gt;0,INDEX(Inputs!$B$23:$B$26,BR11),0)</f>
        <v>0</v>
      </c>
      <c r="BS12">
        <f>IF(BS11&gt;0,INDEX(Inputs!$B$23:$B$26,BS11),0)</f>
        <v>0</v>
      </c>
      <c r="BT12">
        <f>IF(BT11&gt;0,INDEX(Inputs!$B$23:$B$26,BT11),0)</f>
        <v>0</v>
      </c>
      <c r="BU12">
        <f>IF(BU11&gt;0,INDEX(Inputs!$B$23:$B$26,BU11),0)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IF(D7=1,(1+Inputs!$B$28)^D8,1)</f>
        <v>1.0664710889029547</v>
      </c>
      <c r="E13" s="8">
        <f>IF(E7=1,(1+Inputs!$B$28)^E8,1)</f>
        <v>1.0771049015547092</v>
      </c>
      <c r="F13" s="8">
        <f>IF(F7=1,(1+Inputs!$B$28)^F8,1)</f>
        <v>1.0878447442458046</v>
      </c>
      <c r="G13" s="8">
        <f>IF(G7=1,(1+Inputs!$B$28)^G8,1)</f>
        <v>1.0986321084498547</v>
      </c>
      <c r="H13" s="8">
        <f>IF(H7=1,(1+Inputs!$B$28)^H8,1)</f>
        <v>1</v>
      </c>
      <c r="I13" s="8">
        <f>IF(I7=1,(1+Inputs!$B$28)^I8,1)</f>
        <v>1</v>
      </c>
      <c r="J13" s="8">
        <f>IF(J7=1,(1+Inputs!$B$28)^J8,1)</f>
        <v>1</v>
      </c>
      <c r="K13" s="8">
        <f>IF(K7=1,(1+Inputs!$B$28)^K8,1)</f>
        <v>1</v>
      </c>
      <c r="L13" s="8">
        <f>IF(L7=1,(1+Inputs!$B$28)^L8,1)</f>
        <v>1</v>
      </c>
      <c r="M13" s="8">
        <f>IF(M7=1,(1+Inputs!$B$28)^M8,1)</f>
        <v>1</v>
      </c>
      <c r="N13" s="8">
        <f>IF(N7=1,(1+Inputs!$B$28)^N8,1)</f>
        <v>1</v>
      </c>
      <c r="O13" s="8">
        <f>IF(O7=1,(1+Inputs!$B$28)^O8,1)</f>
        <v>1</v>
      </c>
      <c r="P13" s="8">
        <f>IF(P7=1,(1+Inputs!$B$28)^P8,1)</f>
        <v>1</v>
      </c>
      <c r="Q13" s="8">
        <f>IF(Q7=1,(1+Inputs!$B$28)^Q8,1)</f>
        <v>1</v>
      </c>
      <c r="R13" s="8">
        <f>IF(R7=1,(1+Inputs!$B$28)^R8,1)</f>
        <v>1</v>
      </c>
      <c r="S13" s="8">
        <f>IF(S7=1,(1+Inputs!$B$28)^S8,1)</f>
        <v>1</v>
      </c>
      <c r="T13" s="8">
        <f>IF(T7=1,(1+Inputs!$B$28)^T8,1)</f>
        <v>1</v>
      </c>
      <c r="U13" s="8">
        <f>IF(U7=1,(1+Inputs!$B$28)^U8,1)</f>
        <v>1</v>
      </c>
      <c r="V13" s="8">
        <f>IF(V7=1,(1+Inputs!$B$28)^V8,1)</f>
        <v>1</v>
      </c>
      <c r="W13" s="8">
        <f>IF(W7=1,(1+Inputs!$B$28)^W8,1)</f>
        <v>1</v>
      </c>
      <c r="X13" s="8">
        <f>IF(X7=1,(1+Inputs!$B$28)^X8,1)</f>
        <v>1</v>
      </c>
      <c r="Y13" s="8">
        <f>IF(Y7=1,(1+Inputs!$B$28)^Y8,1)</f>
        <v>1</v>
      </c>
      <c r="Z13" s="8">
        <f>IF(Z7=1,(1+Inputs!$B$28)^Z8,1)</f>
        <v>1</v>
      </c>
      <c r="AA13" s="8">
        <f>IF(AA7=1,(1+Inputs!$B$28)^AA8,1)</f>
        <v>1</v>
      </c>
      <c r="AB13" s="8">
        <f>IF(AB7=1,(1+Inputs!$B$28)^AB8,1)</f>
        <v>1</v>
      </c>
      <c r="AC13" s="8">
        <f>IF(AC7=1,(1+Inputs!$B$28)^AC8,1)</f>
        <v>1</v>
      </c>
      <c r="AD13" s="8">
        <f>IF(AD7=1,(1+Inputs!$B$28)^AD8,1)</f>
        <v>1</v>
      </c>
      <c r="AE13" s="8">
        <f>IF(AE7=1,(1+Inputs!$B$28)^AE8,1)</f>
        <v>1</v>
      </c>
      <c r="AF13" s="8">
        <f>IF(AF7=1,(1+Inputs!$B$28)^AF8,1)</f>
        <v>1</v>
      </c>
      <c r="AG13" s="8">
        <f>IF(AG7=1,(1+Inputs!$B$28)^AG8,1)</f>
        <v>1</v>
      </c>
      <c r="AH13" s="8">
        <f>IF(AH7=1,(1+Inputs!$B$28)^AH8,1)</f>
        <v>1</v>
      </c>
      <c r="AI13" s="8">
        <f>IF(AI7=1,(1+Inputs!$B$28)^AI8,1)</f>
        <v>1</v>
      </c>
      <c r="AJ13" s="8">
        <f>IF(AJ7=1,(1+Inputs!$B$28)^AJ8,1)</f>
        <v>1</v>
      </c>
      <c r="AK13" s="8">
        <f>IF(AK7=1,(1+Inputs!$B$28)^AK8,1)</f>
        <v>1</v>
      </c>
      <c r="AL13" s="8">
        <f>IF(AL7=1,(1+Inputs!$B$28)^AL8,1)</f>
        <v>1</v>
      </c>
      <c r="AM13" s="8">
        <f>IF(AM7=1,(1+Inputs!$B$28)^AM8,1)</f>
        <v>1</v>
      </c>
      <c r="AN13" s="8">
        <f>IF(AN7=1,(1+Inputs!$B$28)^AN8,1)</f>
        <v>1</v>
      </c>
      <c r="AO13" s="8">
        <f>IF(AO7=1,(1+Inputs!$B$28)^AO8,1)</f>
        <v>1</v>
      </c>
      <c r="AP13" s="8">
        <f>IF(AP7=1,(1+Inputs!$B$28)^AP8,1)</f>
        <v>1</v>
      </c>
      <c r="AQ13" s="8">
        <f>IF(AQ7=1,(1+Inputs!$B$28)^AQ8,1)</f>
        <v>1</v>
      </c>
      <c r="AR13" s="8">
        <f>IF(AR7=1,(1+Inputs!$B$28)^AR8,1)</f>
        <v>1</v>
      </c>
      <c r="AS13" s="8">
        <f>IF(AS7=1,(1+Inputs!$B$28)^AS8,1)</f>
        <v>1</v>
      </c>
      <c r="AT13" s="8">
        <f>IF(AT7=1,(1+Inputs!$B$28)^AT8,1)</f>
        <v>1</v>
      </c>
      <c r="AU13" s="8">
        <f>IF(AU7=1,(1+Inputs!$B$28)^AU8,1)</f>
        <v>1</v>
      </c>
      <c r="AV13" s="8">
        <f>IF(AV7=1,(1+Inputs!$B$28)^AV8,1)</f>
        <v>1</v>
      </c>
      <c r="AW13" s="8">
        <f>IF(AW7=1,(1+Inputs!$B$28)^AW8,1)</f>
        <v>1</v>
      </c>
      <c r="AX13" s="8">
        <f>IF(AX7=1,(1+Inputs!$B$28)^AX8,1)</f>
        <v>1</v>
      </c>
      <c r="AY13" s="8">
        <f>IF(AY7=1,(1+Inputs!$B$28)^AY8,1)</f>
        <v>1</v>
      </c>
      <c r="AZ13" s="8">
        <f>IF(AZ7=1,(1+Inputs!$B$28)^AZ8,1)</f>
        <v>1</v>
      </c>
      <c r="BA13" s="8">
        <f>IF(BA7=1,(1+Inputs!$B$28)^BA8,1)</f>
        <v>1</v>
      </c>
      <c r="BB13" s="8">
        <f>IF(BB7=1,(1+Inputs!$B$28)^BB8,1)</f>
        <v>1</v>
      </c>
      <c r="BC13" s="8">
        <f>IF(BC7=1,(1+Inputs!$B$28)^BC8,1)</f>
        <v>1</v>
      </c>
      <c r="BD13" s="8">
        <f>IF(BD7=1,(1+Inputs!$B$28)^BD8,1)</f>
        <v>1</v>
      </c>
      <c r="BE13" s="8">
        <f>IF(BE7=1,(1+Inputs!$B$28)^BE8,1)</f>
        <v>1</v>
      </c>
      <c r="BF13" s="8">
        <f>IF(BF7=1,(1+Inputs!$B$28)^BF8,1)</f>
        <v>1</v>
      </c>
      <c r="BG13" s="8">
        <f>IF(BG7=1,(1+Inputs!$B$28)^BG8,1)</f>
        <v>1</v>
      </c>
      <c r="BH13" s="8">
        <f>IF(BH7=1,(1+Inputs!$B$28)^BH8,1)</f>
        <v>1</v>
      </c>
      <c r="BI13" s="8">
        <f>IF(BI7=1,(1+Inputs!$B$28)^BI8,1)</f>
        <v>1</v>
      </c>
      <c r="BJ13" s="8">
        <f>IF(BJ7=1,(1+Inputs!$B$28)^BJ8,1)</f>
        <v>1</v>
      </c>
      <c r="BK13" s="8">
        <f>IF(BK7=1,(1+Inputs!$B$28)^BK8,1)</f>
        <v>1</v>
      </c>
      <c r="BL13" s="8">
        <f>IF(BL7=1,(1+Inputs!$B$28)^BL8,1)</f>
        <v>1</v>
      </c>
      <c r="BM13" s="8">
        <f>IF(BM7=1,(1+Inputs!$B$28)^BM8,1)</f>
        <v>1</v>
      </c>
      <c r="BN13" s="8">
        <f>IF(BN7=1,(1+Inputs!$B$28)^BN8,1)</f>
        <v>1</v>
      </c>
      <c r="BO13" s="8">
        <f>IF(BO7=1,(1+Inputs!$B$28)^BO8,1)</f>
        <v>1</v>
      </c>
      <c r="BP13" s="8">
        <f>IF(BP7=1,(1+Inputs!$B$28)^BP8,1)</f>
        <v>1</v>
      </c>
      <c r="BQ13" s="8">
        <f>IF(BQ7=1,(1+Inputs!$B$28)^BQ8,1)</f>
        <v>1</v>
      </c>
      <c r="BR13" s="8">
        <f>IF(BR7=1,(1+Inputs!$B$28)^BR8,1)</f>
        <v>1</v>
      </c>
      <c r="BS13" s="8">
        <f>IF(BS7=1,(1+Inputs!$B$28)^BS8,1)</f>
        <v>1</v>
      </c>
      <c r="BT13" s="8">
        <f>IF(BT7=1,(1+Inputs!$B$28)^BT8,1)</f>
        <v>1</v>
      </c>
      <c r="BU13" s="8">
        <f>IF(BU7=1,(1+Inputs!$B$28)^BU8,1)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Inputs!$B$21 *D14</f>
        <v>0</v>
      </c>
      <c r="E15">
        <f>Inputs!$B$21 *E14</f>
        <v>0</v>
      </c>
      <c r="F15">
        <f>Inputs!$B$21 *F14</f>
        <v>0</v>
      </c>
      <c r="G15">
        <f>Inputs!$B$21 *G14</f>
        <v>0</v>
      </c>
      <c r="H15">
        <f>Inputs!$B$21 *H14</f>
        <v>0</v>
      </c>
      <c r="I15">
        <f>Inputs!$B$21 *I14</f>
        <v>0</v>
      </c>
      <c r="J15">
        <f>Inputs!$B$21 *J14</f>
        <v>0</v>
      </c>
      <c r="K15">
        <f>Inputs!$B$21 *K14</f>
        <v>0</v>
      </c>
      <c r="L15">
        <f>Inputs!$B$21 *L14</f>
        <v>0</v>
      </c>
      <c r="M15">
        <f>Inputs!$B$21 *M14</f>
        <v>0</v>
      </c>
      <c r="N15">
        <f>Inputs!$B$21 *N14</f>
        <v>0</v>
      </c>
      <c r="O15">
        <f>Inputs!$B$21 *O14</f>
        <v>0</v>
      </c>
      <c r="P15">
        <f>Inputs!$B$21 *P14</f>
        <v>0</v>
      </c>
      <c r="Q15">
        <f>Inputs!$B$21 *Q14</f>
        <v>0</v>
      </c>
      <c r="R15">
        <f>Inputs!$B$21 *R14</f>
        <v>0</v>
      </c>
      <c r="S15">
        <f>Inputs!$B$21 *S14</f>
        <v>0</v>
      </c>
      <c r="T15">
        <f>Inputs!$B$21 *T14</f>
        <v>0</v>
      </c>
      <c r="U15">
        <f>Inputs!$B$21 *U14</f>
        <v>0</v>
      </c>
      <c r="V15">
        <f>Inputs!$B$21 *V14</f>
        <v>0</v>
      </c>
      <c r="W15">
        <f>Inputs!$B$21 *W14</f>
        <v>0</v>
      </c>
      <c r="X15">
        <f>Inputs!$B$21 *X14</f>
        <v>0</v>
      </c>
      <c r="Y15">
        <f>Inputs!$B$21 *Y14</f>
        <v>0</v>
      </c>
      <c r="Z15">
        <f>Inputs!$B$21 *Z14</f>
        <v>0</v>
      </c>
      <c r="AA15">
        <f>Inputs!$B$21 *AA14</f>
        <v>0</v>
      </c>
      <c r="AB15">
        <f>Inputs!$B$21 *AB14</f>
        <v>0</v>
      </c>
      <c r="AC15">
        <f>Inputs!$B$21 *AC14</f>
        <v>0</v>
      </c>
      <c r="AD15">
        <f>Inputs!$B$21 *AD14</f>
        <v>0</v>
      </c>
      <c r="AE15">
        <f>Inputs!$B$21 *AE14</f>
        <v>0</v>
      </c>
      <c r="AF15">
        <f>Inputs!$B$21 *AF14</f>
        <v>0</v>
      </c>
      <c r="AG15">
        <f>Inputs!$B$21 *AG14</f>
        <v>0</v>
      </c>
      <c r="AH15">
        <f>Inputs!$B$21 *AH14</f>
        <v>0</v>
      </c>
      <c r="AI15">
        <f>Inputs!$B$21 *AI14</f>
        <v>0</v>
      </c>
      <c r="AJ15">
        <f>Inputs!$B$21 *AJ14</f>
        <v>0</v>
      </c>
      <c r="AK15">
        <f>Inputs!$B$21 *AK14</f>
        <v>0</v>
      </c>
      <c r="AL15">
        <f>Inputs!$B$21 *AL14</f>
        <v>0</v>
      </c>
      <c r="AM15">
        <f>Inputs!$B$21 *AM14</f>
        <v>0</v>
      </c>
      <c r="AN15">
        <f>Inputs!$B$21 *AN14</f>
        <v>0</v>
      </c>
      <c r="AO15">
        <f>Inputs!$B$21 *AO14</f>
        <v>0</v>
      </c>
      <c r="AP15">
        <f>Inputs!$B$21 *AP14</f>
        <v>0</v>
      </c>
      <c r="AQ15">
        <f>Inputs!$B$21 *AQ14</f>
        <v>0</v>
      </c>
      <c r="AR15">
        <f>Inputs!$B$21 *AR14</f>
        <v>0</v>
      </c>
      <c r="AS15">
        <f>Inputs!$B$21 *AS14</f>
        <v>0</v>
      </c>
      <c r="AT15">
        <f>Inputs!$B$21 *AT14</f>
        <v>0</v>
      </c>
      <c r="AU15">
        <f>Inputs!$B$21 *AU14</f>
        <v>0</v>
      </c>
      <c r="AV15">
        <f>Inputs!$B$21 *AV14</f>
        <v>0</v>
      </c>
      <c r="AW15">
        <f>Inputs!$B$21 *AW14</f>
        <v>0</v>
      </c>
      <c r="AX15">
        <f>Inputs!$B$21 *AX14</f>
        <v>0</v>
      </c>
      <c r="AY15">
        <f>Inputs!$B$21 *AY14</f>
        <v>0</v>
      </c>
      <c r="AZ15">
        <f>Inputs!$B$21 *AZ14</f>
        <v>0</v>
      </c>
      <c r="BA15">
        <f>Inputs!$B$21 *BA14</f>
        <v>0</v>
      </c>
      <c r="BB15">
        <f>Inputs!$B$21 *BB14</f>
        <v>0</v>
      </c>
      <c r="BC15">
        <f>Inputs!$B$21 *BC14</f>
        <v>0</v>
      </c>
      <c r="BD15">
        <f>Inputs!$B$21 *BD14</f>
        <v>0</v>
      </c>
      <c r="BE15">
        <f>Inputs!$B$21 *BE14</f>
        <v>0</v>
      </c>
      <c r="BF15">
        <f>Inputs!$B$21 *BF14</f>
        <v>0</v>
      </c>
      <c r="BG15">
        <f>Inputs!$B$21 *BG14</f>
        <v>0</v>
      </c>
      <c r="BH15">
        <f>Inputs!$B$21 *BH14</f>
        <v>0</v>
      </c>
      <c r="BI15">
        <f>Inputs!$B$21 *BI14</f>
        <v>0</v>
      </c>
      <c r="BJ15">
        <f>Inputs!$B$21 *BJ14</f>
        <v>0</v>
      </c>
      <c r="BK15">
        <f>Inputs!$B$21 *BK14</f>
        <v>0</v>
      </c>
      <c r="BL15">
        <f>Inputs!$B$21 *BL14</f>
        <v>0</v>
      </c>
      <c r="BM15">
        <f>Inputs!$B$21 *BM14</f>
        <v>0</v>
      </c>
      <c r="BN15">
        <f>Inputs!$B$21 *BN14</f>
        <v>0</v>
      </c>
      <c r="BO15">
        <f>Inputs!$B$21 *BO14</f>
        <v>0</v>
      </c>
      <c r="BP15">
        <f>Inputs!$B$21 *BP14</f>
        <v>0</v>
      </c>
      <c r="BQ15">
        <f>Inputs!$B$21 *BQ14</f>
        <v>0</v>
      </c>
      <c r="BR15">
        <f>Inputs!$B$21 *BR14</f>
        <v>0</v>
      </c>
      <c r="BS15">
        <f>Inputs!$B$21 *BS14</f>
        <v>0</v>
      </c>
      <c r="BT15">
        <f>Inputs!$B$21 *BT14</f>
        <v>0</v>
      </c>
      <c r="BU15">
        <f>Inputs!$B$21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IF(D11=1,Inputs!$B$17 * 1000 * Inputs!$B$19*D13,0)</f>
        <v>0</v>
      </c>
      <c r="E16">
        <f>IF(E11=1,Inputs!$B$17 * 1000 * Inputs!$B$19*E13,0)</f>
        <v>0</v>
      </c>
      <c r="F16">
        <f>IF(F11=1,Inputs!$B$17 * 1000 * Inputs!$B$19*F13,0)</f>
        <v>0</v>
      </c>
      <c r="G16">
        <f>IF(G11=1,Inputs!$B$17 * 1000 * Inputs!$B$19*G13,0)</f>
        <v>0</v>
      </c>
      <c r="H16">
        <f>IF(H11=1,Inputs!$B$17 * 1000 * Inputs!$B$19*H13,0)</f>
        <v>0</v>
      </c>
      <c r="I16">
        <f>IF(I11=1,Inputs!$B$17 * 1000 * Inputs!$B$19*I13,0)</f>
        <v>0</v>
      </c>
      <c r="J16">
        <f>IF(J11=1,Inputs!$B$17 * 1000 * Inputs!$B$19*J13,0)</f>
        <v>0</v>
      </c>
      <c r="K16">
        <f>IF(K11=1,Inputs!$B$17 * 1000 * Inputs!$B$19*K13,0)</f>
        <v>0</v>
      </c>
      <c r="L16">
        <f>IF(L11=1,Inputs!$B$17 * 1000 * Inputs!$B$19*L13,0)</f>
        <v>0</v>
      </c>
      <c r="M16">
        <f>IF(M11=1,Inputs!$B$17 * 1000 * Inputs!$B$19*M13,0)</f>
        <v>0</v>
      </c>
      <c r="N16">
        <f>IF(N11=1,Inputs!$B$17 * 1000 * Inputs!$B$19*N13,0)</f>
        <v>0</v>
      </c>
      <c r="O16">
        <f>IF(O11=1,Inputs!$B$17 * 1000 * Inputs!$B$19*O13,0)</f>
        <v>0</v>
      </c>
      <c r="P16">
        <f>IF(P11=1,Inputs!$B$17 * 1000 * Inputs!$B$19*P13,0)</f>
        <v>0</v>
      </c>
      <c r="Q16">
        <f>IF(Q11=1,Inputs!$B$17 * 1000 * Inputs!$B$19*Q13,0)</f>
        <v>0</v>
      </c>
      <c r="R16">
        <f>IF(R11=1,Inputs!$B$17 * 1000 * Inputs!$B$19*R13,0)</f>
        <v>0</v>
      </c>
      <c r="S16">
        <f>IF(S11=1,Inputs!$B$17 * 1000 * Inputs!$B$19*S13,0)</f>
        <v>0</v>
      </c>
      <c r="T16">
        <f>IF(T11=1,Inputs!$B$17 * 1000 * Inputs!$B$19*T13,0)</f>
        <v>0</v>
      </c>
      <c r="U16">
        <f>IF(U11=1,Inputs!$B$17 * 1000 * Inputs!$B$19*U13,0)</f>
        <v>0</v>
      </c>
      <c r="V16">
        <f>IF(V11=1,Inputs!$B$17 * 1000 * Inputs!$B$19*V13,0)</f>
        <v>0</v>
      </c>
      <c r="W16">
        <f>IF(W11=1,Inputs!$B$17 * 1000 * Inputs!$B$19*W13,0)</f>
        <v>0</v>
      </c>
      <c r="X16">
        <f>IF(X11=1,Inputs!$B$17 * 1000 * Inputs!$B$19*X13,0)</f>
        <v>0</v>
      </c>
      <c r="Y16">
        <f>IF(Y11=1,Inputs!$B$17 * 1000 * Inputs!$B$19*Y13,0)</f>
        <v>0</v>
      </c>
      <c r="Z16">
        <f>IF(Z11=1,Inputs!$B$17 * 1000 * Inputs!$B$19*Z13,0)</f>
        <v>0</v>
      </c>
      <c r="AA16">
        <f>IF(AA11=1,Inputs!$B$17 * 1000 * Inputs!$B$19*AA13,0)</f>
        <v>0</v>
      </c>
      <c r="AB16">
        <f>IF(AB11=1,Inputs!$B$17 * 1000 * Inputs!$B$19*AB13,0)</f>
        <v>0</v>
      </c>
      <c r="AC16">
        <f>IF(AC11=1,Inputs!$B$17 * 1000 * Inputs!$B$19*AC13,0)</f>
        <v>0</v>
      </c>
      <c r="AD16">
        <f>IF(AD11=1,Inputs!$B$17 * 1000 * Inputs!$B$19*AD13,0)</f>
        <v>0</v>
      </c>
      <c r="AE16">
        <f>IF(AE11=1,Inputs!$B$17 * 1000 * Inputs!$B$19*AE13,0)</f>
        <v>0</v>
      </c>
      <c r="AF16">
        <f>IF(AF11=1,Inputs!$B$17 * 1000 * Inputs!$B$19*AF13,0)</f>
        <v>0</v>
      </c>
      <c r="AG16">
        <f>IF(AG11=1,Inputs!$B$17 * 1000 * Inputs!$B$19*AG13,0)</f>
        <v>0</v>
      </c>
      <c r="AH16">
        <f>IF(AH11=1,Inputs!$B$17 * 1000 * Inputs!$B$19*AH13,0)</f>
        <v>0</v>
      </c>
      <c r="AI16">
        <f>IF(AI11=1,Inputs!$B$17 * 1000 * Inputs!$B$19*AI13,0)</f>
        <v>0</v>
      </c>
      <c r="AJ16">
        <f>IF(AJ11=1,Inputs!$B$17 * 1000 * Inputs!$B$19*AJ13,0)</f>
        <v>0</v>
      </c>
      <c r="AK16">
        <f>IF(AK11=1,Inputs!$B$17 * 1000 * Inputs!$B$19*AK13,0)</f>
        <v>0</v>
      </c>
      <c r="AL16">
        <f>IF(AL11=1,Inputs!$B$17 * 1000 * Inputs!$B$19*AL13,0)</f>
        <v>0</v>
      </c>
      <c r="AM16">
        <f>IF(AM11=1,Inputs!$B$17 * 1000 * Inputs!$B$19*AM13,0)</f>
        <v>0</v>
      </c>
      <c r="AN16">
        <f>IF(AN11=1,Inputs!$B$17 * 1000 * Inputs!$B$19*AN13,0)</f>
        <v>0</v>
      </c>
      <c r="AO16">
        <f>IF(AO11=1,Inputs!$B$17 * 1000 * Inputs!$B$19*AO13,0)</f>
        <v>0</v>
      </c>
      <c r="AP16">
        <f>IF(AP11=1,Inputs!$B$17 * 1000 * Inputs!$B$19*AP13,0)</f>
        <v>0</v>
      </c>
      <c r="AQ16">
        <f>IF(AQ11=1,Inputs!$B$17 * 1000 * Inputs!$B$19*AQ13,0)</f>
        <v>0</v>
      </c>
      <c r="AR16">
        <f>IF(AR11=1,Inputs!$B$17 * 1000 * Inputs!$B$19*AR13,0)</f>
        <v>0</v>
      </c>
      <c r="AS16">
        <f>IF(AS11=1,Inputs!$B$17 * 1000 * Inputs!$B$19*AS13,0)</f>
        <v>0</v>
      </c>
      <c r="AT16">
        <f>IF(AT11=1,Inputs!$B$17 * 1000 * Inputs!$B$19*AT13,0)</f>
        <v>0</v>
      </c>
      <c r="AU16">
        <f>IF(AU11=1,Inputs!$B$17 * 1000 * Inputs!$B$19*AU13,0)</f>
        <v>0</v>
      </c>
      <c r="AV16">
        <f>IF(AV11=1,Inputs!$B$17 * 1000 * Inputs!$B$19*AV13,0)</f>
        <v>0</v>
      </c>
      <c r="AW16">
        <f>IF(AW11=1,Inputs!$B$17 * 1000 * Inputs!$B$19*AW13,0)</f>
        <v>0</v>
      </c>
      <c r="AX16">
        <f>IF(AX11=1,Inputs!$B$17 * 1000 * Inputs!$B$19*AX13,0)</f>
        <v>0</v>
      </c>
      <c r="AY16">
        <f>IF(AY11=1,Inputs!$B$17 * 1000 * Inputs!$B$19*AY13,0)</f>
        <v>0</v>
      </c>
      <c r="AZ16">
        <f>IF(AZ11=1,Inputs!$B$17 * 1000 * Inputs!$B$19*AZ13,0)</f>
        <v>0</v>
      </c>
      <c r="BA16">
        <f>IF(BA11=1,Inputs!$B$17 * 1000 * Inputs!$B$19*BA13,0)</f>
        <v>0</v>
      </c>
      <c r="BB16">
        <f>IF(BB11=1,Inputs!$B$17 * 1000 * Inputs!$B$19*BB13,0)</f>
        <v>0</v>
      </c>
      <c r="BC16">
        <f>IF(BC11=1,Inputs!$B$17 * 1000 * Inputs!$B$19*BC13,0)</f>
        <v>0</v>
      </c>
      <c r="BD16">
        <f>IF(BD11=1,Inputs!$B$17 * 1000 * Inputs!$B$19*BD13,0)</f>
        <v>0</v>
      </c>
      <c r="BE16">
        <f>IF(BE11=1,Inputs!$B$17 * 1000 * Inputs!$B$19*BE13,0)</f>
        <v>0</v>
      </c>
      <c r="BF16">
        <f>IF(BF11=1,Inputs!$B$17 * 1000 * Inputs!$B$19*BF13,0)</f>
        <v>0</v>
      </c>
      <c r="BG16">
        <f>IF(BG11=1,Inputs!$B$17 * 1000 * Inputs!$B$19*BG13,0)</f>
        <v>0</v>
      </c>
      <c r="BH16">
        <f>IF(BH11=1,Inputs!$B$17 * 1000 * Inputs!$B$19*BH13,0)</f>
        <v>0</v>
      </c>
      <c r="BI16">
        <f>IF(BI11=1,Inputs!$B$17 * 1000 * Inputs!$B$19*BI13,0)</f>
        <v>0</v>
      </c>
      <c r="BJ16">
        <f>IF(BJ11=1,Inputs!$B$17 * 1000 * Inputs!$B$19*BJ13,0)</f>
        <v>0</v>
      </c>
      <c r="BK16">
        <f>IF(BK11=1,Inputs!$B$17 * 1000 * Inputs!$B$19*BK13,0)</f>
        <v>0</v>
      </c>
      <c r="BL16">
        <f>IF(BL11=1,Inputs!$B$17 * 1000 * Inputs!$B$19*BL13,0)</f>
        <v>0</v>
      </c>
      <c r="BM16">
        <f>IF(BM11=1,Inputs!$B$17 * 1000 * Inputs!$B$19*BM13,0)</f>
        <v>0</v>
      </c>
      <c r="BN16">
        <f>IF(BN11=1,Inputs!$B$17 * 1000 * Inputs!$B$19*BN13,0)</f>
        <v>0</v>
      </c>
      <c r="BO16">
        <f>IF(BO11=1,Inputs!$B$17 * 1000 * Inputs!$B$19*BO13,0)</f>
        <v>0</v>
      </c>
      <c r="BP16">
        <f>IF(BP11=1,Inputs!$B$17 * 1000 * Inputs!$B$19*BP13,0)</f>
        <v>0</v>
      </c>
      <c r="BQ16">
        <f>IF(BQ11=1,Inputs!$B$17 * 1000 * Inputs!$B$19*BQ13,0)</f>
        <v>0</v>
      </c>
      <c r="BR16">
        <f>IF(BR11=1,Inputs!$B$17 * 1000 * Inputs!$B$19*BR13,0)</f>
        <v>0</v>
      </c>
      <c r="BS16">
        <f>IF(BS11=1,Inputs!$B$17 * 1000 * Inputs!$B$19*BS13,0)</f>
        <v>0</v>
      </c>
      <c r="BT16">
        <f>IF(BT11=1,Inputs!$B$17 * 1000 * Inputs!$B$19*BT13,0)</f>
        <v>0</v>
      </c>
      <c r="BU16">
        <f>IF(BU11=1,Inputs!$B$17 * 1000 * Inputs!$B$19*BU13,0)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56" t="s">
        <v>194</v>
      </c>
      <c r="B19" s="56"/>
      <c r="C19" s="56"/>
      <c r="D19" s="56"/>
    </row>
    <row r="20" spans="1:73">
      <c r="A20" t="s">
        <v>182</v>
      </c>
      <c r="B20" t="s">
        <v>165</v>
      </c>
      <c r="C20">
        <f>SUM(D12:BU12)-1</f>
        <v>0</v>
      </c>
      <c r="D20" s="37" t="s">
        <v>167</v>
      </c>
    </row>
    <row r="21" spans="1:73">
      <c r="A21" t="s">
        <v>183</v>
      </c>
      <c r="B21" t="s">
        <v>165</v>
      </c>
      <c r="C21">
        <f>IF(SUM(D14:BU14)&gt;=C10,0,1)</f>
        <v>0</v>
      </c>
      <c r="D21" s="37" t="s">
        <v>167</v>
      </c>
    </row>
    <row r="24" spans="1:73" ht="15.75">
      <c r="A24" s="56" t="s">
        <v>206</v>
      </c>
      <c r="B24" s="56"/>
      <c r="C24" s="56"/>
    </row>
    <row r="25" spans="1:73">
      <c r="A25" t="s">
        <v>195</v>
      </c>
      <c r="B25" t="s">
        <v>184</v>
      </c>
      <c r="C25" s="47">
        <f>Inputs!B48*C18</f>
        <v>25005700.465124637</v>
      </c>
    </row>
    <row r="26" spans="1:73">
      <c r="A26" t="s">
        <v>196</v>
      </c>
      <c r="B26" t="s">
        <v>20</v>
      </c>
      <c r="C26" s="46">
        <f>C25/C18</f>
        <v>0.7</v>
      </c>
    </row>
    <row r="27" spans="1:73">
      <c r="A27" t="s">
        <v>197</v>
      </c>
      <c r="B27" t="s">
        <v>184</v>
      </c>
      <c r="C27">
        <f>SUM(D27:BU27)</f>
        <v>25005700.465124637</v>
      </c>
      <c r="D27">
        <f t="shared" ref="D27:AI27" si="5">D18*$C$26</f>
        <v>3695322.3230487383</v>
      </c>
      <c r="E27">
        <f t="shared" si="5"/>
        <v>8708393.1290698238</v>
      </c>
      <c r="F27">
        <f t="shared" si="5"/>
        <v>8795224.7572273295</v>
      </c>
      <c r="G27">
        <f t="shared" si="5"/>
        <v>3806760.2557787462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198</v>
      </c>
      <c r="B28" t="s">
        <v>184</v>
      </c>
      <c r="C28">
        <f>SUM(D28:BU28)</f>
        <v>10716728.770767702</v>
      </c>
      <c r="D28">
        <f t="shared" ref="D28:AI28" si="8">D18-D27</f>
        <v>1583709.567020888</v>
      </c>
      <c r="E28">
        <f t="shared" si="8"/>
        <v>3732168.4838870671</v>
      </c>
      <c r="F28">
        <f t="shared" si="8"/>
        <v>3769382.0388117135</v>
      </c>
      <c r="G28">
        <f t="shared" si="8"/>
        <v>1631468.6810480342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199</v>
      </c>
      <c r="B29" t="s">
        <v>184</v>
      </c>
      <c r="C29" t="s">
        <v>131</v>
      </c>
    </row>
    <row r="30" spans="1:73">
      <c r="A30" t="s">
        <v>202</v>
      </c>
      <c r="B30" t="s">
        <v>184</v>
      </c>
      <c r="C30" t="s">
        <v>131</v>
      </c>
      <c r="D30" s="48">
        <v>0</v>
      </c>
      <c r="E30">
        <f>D32</f>
        <v>3695322.3230487383</v>
      </c>
      <c r="F30">
        <f t="shared" ref="F30:BQ30" si="11">E32</f>
        <v>12403715.452118563</v>
      </c>
      <c r="G30">
        <f t="shared" si="11"/>
        <v>21198940.209345892</v>
      </c>
      <c r="H30">
        <f t="shared" si="11"/>
        <v>25005700.465124637</v>
      </c>
      <c r="I30">
        <f t="shared" si="11"/>
        <v>25005700.465124637</v>
      </c>
      <c r="J30">
        <f t="shared" si="11"/>
        <v>25005700.465124637</v>
      </c>
      <c r="K30">
        <f t="shared" si="11"/>
        <v>25005700.465124637</v>
      </c>
      <c r="L30">
        <f t="shared" si="11"/>
        <v>25005700.465124637</v>
      </c>
      <c r="M30">
        <f t="shared" si="11"/>
        <v>25005700.465124637</v>
      </c>
      <c r="N30">
        <f t="shared" si="11"/>
        <v>25005700.465124637</v>
      </c>
      <c r="O30">
        <f t="shared" si="11"/>
        <v>25005700.465124637</v>
      </c>
      <c r="P30">
        <f t="shared" si="11"/>
        <v>25005700.465124637</v>
      </c>
      <c r="Q30">
        <f t="shared" si="11"/>
        <v>25005700.465124637</v>
      </c>
      <c r="R30">
        <f t="shared" si="11"/>
        <v>25005700.465124637</v>
      </c>
      <c r="S30">
        <f t="shared" si="11"/>
        <v>25005700.465124637</v>
      </c>
      <c r="T30">
        <f t="shared" si="11"/>
        <v>25005700.465124637</v>
      </c>
      <c r="U30">
        <f t="shared" si="11"/>
        <v>25005700.465124637</v>
      </c>
      <c r="V30">
        <f t="shared" si="11"/>
        <v>25005700.465124637</v>
      </c>
      <c r="W30">
        <f t="shared" si="11"/>
        <v>25005700.465124637</v>
      </c>
      <c r="X30">
        <f t="shared" si="11"/>
        <v>25005700.465124637</v>
      </c>
      <c r="Y30">
        <f t="shared" si="11"/>
        <v>25005700.465124637</v>
      </c>
      <c r="Z30">
        <f t="shared" si="11"/>
        <v>25005700.465124637</v>
      </c>
      <c r="AA30">
        <f t="shared" si="11"/>
        <v>25005700.465124637</v>
      </c>
      <c r="AB30">
        <f t="shared" si="11"/>
        <v>25005700.465124637</v>
      </c>
      <c r="AC30">
        <f t="shared" si="11"/>
        <v>25005700.465124637</v>
      </c>
      <c r="AD30">
        <f t="shared" si="11"/>
        <v>25005700.465124637</v>
      </c>
      <c r="AE30">
        <f t="shared" si="11"/>
        <v>25005700.465124637</v>
      </c>
      <c r="AF30">
        <f t="shared" si="11"/>
        <v>25005700.465124637</v>
      </c>
      <c r="AG30">
        <f t="shared" si="11"/>
        <v>25005700.465124637</v>
      </c>
      <c r="AH30">
        <f t="shared" si="11"/>
        <v>25005700.465124637</v>
      </c>
      <c r="AI30">
        <f t="shared" si="11"/>
        <v>25005700.465124637</v>
      </c>
      <c r="AJ30">
        <f t="shared" si="11"/>
        <v>25005700.465124637</v>
      </c>
      <c r="AK30">
        <f t="shared" si="11"/>
        <v>25005700.465124637</v>
      </c>
      <c r="AL30">
        <f t="shared" si="11"/>
        <v>25005700.465124637</v>
      </c>
      <c r="AM30">
        <f t="shared" si="11"/>
        <v>25005700.465124637</v>
      </c>
      <c r="AN30">
        <f t="shared" si="11"/>
        <v>25005700.465124637</v>
      </c>
      <c r="AO30">
        <f t="shared" si="11"/>
        <v>25005700.465124637</v>
      </c>
      <c r="AP30">
        <f t="shared" si="11"/>
        <v>25005700.465124637</v>
      </c>
      <c r="AQ30">
        <f t="shared" si="11"/>
        <v>25005700.465124637</v>
      </c>
      <c r="AR30">
        <f t="shared" si="11"/>
        <v>25005700.465124637</v>
      </c>
      <c r="AS30">
        <f t="shared" si="11"/>
        <v>25005700.465124637</v>
      </c>
      <c r="AT30">
        <f t="shared" si="11"/>
        <v>25005700.465124637</v>
      </c>
      <c r="AU30">
        <f t="shared" si="11"/>
        <v>25005700.465124637</v>
      </c>
      <c r="AV30">
        <f t="shared" si="11"/>
        <v>25005700.465124637</v>
      </c>
      <c r="AW30">
        <f t="shared" si="11"/>
        <v>25005700.465124637</v>
      </c>
      <c r="AX30">
        <f t="shared" si="11"/>
        <v>25005700.465124637</v>
      </c>
      <c r="AY30">
        <f t="shared" si="11"/>
        <v>25005700.465124637</v>
      </c>
      <c r="AZ30">
        <f t="shared" si="11"/>
        <v>25005700.465124637</v>
      </c>
      <c r="BA30">
        <f t="shared" si="11"/>
        <v>25005700.465124637</v>
      </c>
      <c r="BB30">
        <f t="shared" si="11"/>
        <v>25005700.465124637</v>
      </c>
      <c r="BC30">
        <f t="shared" si="11"/>
        <v>25005700.465124637</v>
      </c>
      <c r="BD30">
        <f t="shared" si="11"/>
        <v>25005700.465124637</v>
      </c>
      <c r="BE30">
        <f t="shared" si="11"/>
        <v>25005700.465124637</v>
      </c>
      <c r="BF30">
        <f t="shared" si="11"/>
        <v>25005700.465124637</v>
      </c>
      <c r="BG30">
        <f t="shared" si="11"/>
        <v>25005700.465124637</v>
      </c>
      <c r="BH30">
        <f t="shared" si="11"/>
        <v>25005700.465124637</v>
      </c>
      <c r="BI30">
        <f t="shared" si="11"/>
        <v>25005700.465124637</v>
      </c>
      <c r="BJ30">
        <f t="shared" si="11"/>
        <v>25005700.465124637</v>
      </c>
      <c r="BK30">
        <f t="shared" si="11"/>
        <v>25005700.465124637</v>
      </c>
      <c r="BL30">
        <f t="shared" si="11"/>
        <v>25005700.465124637</v>
      </c>
      <c r="BM30">
        <f t="shared" si="11"/>
        <v>25005700.465124637</v>
      </c>
      <c r="BN30">
        <f t="shared" si="11"/>
        <v>25005700.465124637</v>
      </c>
      <c r="BO30">
        <f t="shared" si="11"/>
        <v>25005700.465124637</v>
      </c>
      <c r="BP30">
        <f t="shared" si="11"/>
        <v>25005700.465124637</v>
      </c>
      <c r="BQ30">
        <f t="shared" si="11"/>
        <v>25005700.465124637</v>
      </c>
      <c r="BR30">
        <f t="shared" ref="BR30:BU30" si="12">BQ32</f>
        <v>25005700.465124637</v>
      </c>
      <c r="BS30">
        <f t="shared" si="12"/>
        <v>25005700.465124637</v>
      </c>
      <c r="BT30">
        <f t="shared" si="12"/>
        <v>25005700.465124637</v>
      </c>
      <c r="BU30">
        <f t="shared" si="12"/>
        <v>25005700.465124637</v>
      </c>
    </row>
    <row r="31" spans="1:73">
      <c r="A31" t="s">
        <v>203</v>
      </c>
      <c r="B31" t="s">
        <v>184</v>
      </c>
      <c r="C31" t="s">
        <v>131</v>
      </c>
      <c r="D31">
        <f>D27</f>
        <v>3695322.3230487383</v>
      </c>
      <c r="E31">
        <f t="shared" ref="E31:BP31" si="13">E27</f>
        <v>8708393.1290698238</v>
      </c>
      <c r="F31">
        <f t="shared" si="13"/>
        <v>8795224.7572273295</v>
      </c>
      <c r="G31">
        <f t="shared" si="13"/>
        <v>3806760.2557787462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204</v>
      </c>
      <c r="B32" t="s">
        <v>184</v>
      </c>
      <c r="C32" t="s">
        <v>131</v>
      </c>
      <c r="D32">
        <f>D30+D31</f>
        <v>3695322.3230487383</v>
      </c>
      <c r="E32">
        <f t="shared" ref="E32:BP32" si="15">E30+E31</f>
        <v>12403715.452118563</v>
      </c>
      <c r="F32">
        <f t="shared" si="15"/>
        <v>21198940.209345892</v>
      </c>
      <c r="G32">
        <f t="shared" si="15"/>
        <v>25005700.465124637</v>
      </c>
      <c r="H32">
        <f t="shared" si="15"/>
        <v>25005700.465124637</v>
      </c>
      <c r="I32">
        <f t="shared" si="15"/>
        <v>25005700.465124637</v>
      </c>
      <c r="J32">
        <f t="shared" si="15"/>
        <v>25005700.465124637</v>
      </c>
      <c r="K32">
        <f t="shared" si="15"/>
        <v>25005700.465124637</v>
      </c>
      <c r="L32">
        <f t="shared" si="15"/>
        <v>25005700.465124637</v>
      </c>
      <c r="M32">
        <f t="shared" si="15"/>
        <v>25005700.465124637</v>
      </c>
      <c r="N32">
        <f t="shared" si="15"/>
        <v>25005700.465124637</v>
      </c>
      <c r="O32">
        <f t="shared" si="15"/>
        <v>25005700.465124637</v>
      </c>
      <c r="P32">
        <f t="shared" si="15"/>
        <v>25005700.465124637</v>
      </c>
      <c r="Q32">
        <f t="shared" si="15"/>
        <v>25005700.465124637</v>
      </c>
      <c r="R32">
        <f t="shared" si="15"/>
        <v>25005700.465124637</v>
      </c>
      <c r="S32">
        <f t="shared" si="15"/>
        <v>25005700.465124637</v>
      </c>
      <c r="T32">
        <f t="shared" si="15"/>
        <v>25005700.465124637</v>
      </c>
      <c r="U32">
        <f t="shared" si="15"/>
        <v>25005700.465124637</v>
      </c>
      <c r="V32">
        <f t="shared" si="15"/>
        <v>25005700.465124637</v>
      </c>
      <c r="W32">
        <f t="shared" si="15"/>
        <v>25005700.465124637</v>
      </c>
      <c r="X32">
        <f t="shared" si="15"/>
        <v>25005700.465124637</v>
      </c>
      <c r="Y32">
        <f t="shared" si="15"/>
        <v>25005700.465124637</v>
      </c>
      <c r="Z32">
        <f t="shared" si="15"/>
        <v>25005700.465124637</v>
      </c>
      <c r="AA32">
        <f t="shared" si="15"/>
        <v>25005700.465124637</v>
      </c>
      <c r="AB32">
        <f t="shared" si="15"/>
        <v>25005700.465124637</v>
      </c>
      <c r="AC32">
        <f t="shared" si="15"/>
        <v>25005700.465124637</v>
      </c>
      <c r="AD32">
        <f t="shared" si="15"/>
        <v>25005700.465124637</v>
      </c>
      <c r="AE32">
        <f t="shared" si="15"/>
        <v>25005700.465124637</v>
      </c>
      <c r="AF32">
        <f t="shared" si="15"/>
        <v>25005700.465124637</v>
      </c>
      <c r="AG32">
        <f t="shared" si="15"/>
        <v>25005700.465124637</v>
      </c>
      <c r="AH32">
        <f t="shared" si="15"/>
        <v>25005700.465124637</v>
      </c>
      <c r="AI32">
        <f t="shared" si="15"/>
        <v>25005700.465124637</v>
      </c>
      <c r="AJ32">
        <f t="shared" si="15"/>
        <v>25005700.465124637</v>
      </c>
      <c r="AK32">
        <f t="shared" si="15"/>
        <v>25005700.465124637</v>
      </c>
      <c r="AL32">
        <f t="shared" si="15"/>
        <v>25005700.465124637</v>
      </c>
      <c r="AM32">
        <f t="shared" si="15"/>
        <v>25005700.465124637</v>
      </c>
      <c r="AN32">
        <f t="shared" si="15"/>
        <v>25005700.465124637</v>
      </c>
      <c r="AO32">
        <f t="shared" si="15"/>
        <v>25005700.465124637</v>
      </c>
      <c r="AP32">
        <f t="shared" si="15"/>
        <v>25005700.465124637</v>
      </c>
      <c r="AQ32">
        <f t="shared" si="15"/>
        <v>25005700.465124637</v>
      </c>
      <c r="AR32">
        <f t="shared" si="15"/>
        <v>25005700.465124637</v>
      </c>
      <c r="AS32">
        <f t="shared" si="15"/>
        <v>25005700.465124637</v>
      </c>
      <c r="AT32">
        <f t="shared" si="15"/>
        <v>25005700.465124637</v>
      </c>
      <c r="AU32">
        <f t="shared" si="15"/>
        <v>25005700.465124637</v>
      </c>
      <c r="AV32">
        <f t="shared" si="15"/>
        <v>25005700.465124637</v>
      </c>
      <c r="AW32">
        <f t="shared" si="15"/>
        <v>25005700.465124637</v>
      </c>
      <c r="AX32">
        <f t="shared" si="15"/>
        <v>25005700.465124637</v>
      </c>
      <c r="AY32">
        <f t="shared" si="15"/>
        <v>25005700.465124637</v>
      </c>
      <c r="AZ32">
        <f t="shared" si="15"/>
        <v>25005700.465124637</v>
      </c>
      <c r="BA32">
        <f t="shared" si="15"/>
        <v>25005700.465124637</v>
      </c>
      <c r="BB32">
        <f t="shared" si="15"/>
        <v>25005700.465124637</v>
      </c>
      <c r="BC32">
        <f t="shared" si="15"/>
        <v>25005700.465124637</v>
      </c>
      <c r="BD32">
        <f t="shared" si="15"/>
        <v>25005700.465124637</v>
      </c>
      <c r="BE32">
        <f t="shared" si="15"/>
        <v>25005700.465124637</v>
      </c>
      <c r="BF32">
        <f t="shared" si="15"/>
        <v>25005700.465124637</v>
      </c>
      <c r="BG32">
        <f t="shared" si="15"/>
        <v>25005700.465124637</v>
      </c>
      <c r="BH32">
        <f t="shared" si="15"/>
        <v>25005700.465124637</v>
      </c>
      <c r="BI32">
        <f t="shared" si="15"/>
        <v>25005700.465124637</v>
      </c>
      <c r="BJ32">
        <f t="shared" si="15"/>
        <v>25005700.465124637</v>
      </c>
      <c r="BK32">
        <f t="shared" si="15"/>
        <v>25005700.465124637</v>
      </c>
      <c r="BL32">
        <f t="shared" si="15"/>
        <v>25005700.465124637</v>
      </c>
      <c r="BM32">
        <f t="shared" si="15"/>
        <v>25005700.465124637</v>
      </c>
      <c r="BN32">
        <f t="shared" si="15"/>
        <v>25005700.465124637</v>
      </c>
      <c r="BO32">
        <f t="shared" si="15"/>
        <v>25005700.465124637</v>
      </c>
      <c r="BP32">
        <f t="shared" si="15"/>
        <v>25005700.465124637</v>
      </c>
      <c r="BQ32">
        <f t="shared" ref="BQ32:BU32" si="16">BQ30+BQ31</f>
        <v>25005700.465124637</v>
      </c>
      <c r="BR32">
        <f t="shared" si="16"/>
        <v>25005700.465124637</v>
      </c>
      <c r="BS32">
        <f t="shared" si="16"/>
        <v>25005700.465124637</v>
      </c>
      <c r="BT32">
        <f t="shared" si="16"/>
        <v>25005700.465124637</v>
      </c>
      <c r="BU32">
        <f t="shared" si="16"/>
        <v>25005700.465124637</v>
      </c>
    </row>
    <row r="33" spans="1:73">
      <c r="A33" t="s">
        <v>205</v>
      </c>
      <c r="B33" t="s">
        <v>184</v>
      </c>
      <c r="C33" t="s">
        <v>131</v>
      </c>
      <c r="D33">
        <f t="shared" ref="D33:AI33" si="17">IF(D7=1,$C$25-D30,0)</f>
        <v>25005700.465124637</v>
      </c>
      <c r="E33">
        <f t="shared" si="17"/>
        <v>21310378.1420759</v>
      </c>
      <c r="F33">
        <f t="shared" si="17"/>
        <v>12601985.013006074</v>
      </c>
      <c r="G33">
        <f t="shared" si="17"/>
        <v>3806760.2557787448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56" t="s">
        <v>207</v>
      </c>
      <c r="B34" s="56"/>
      <c r="C34" s="56"/>
    </row>
    <row r="35" spans="1:73">
      <c r="A35" t="s">
        <v>201</v>
      </c>
      <c r="B35" t="s">
        <v>165</v>
      </c>
      <c r="C35">
        <f>SUM(D27:BU27)+SUM(D28:BU28)-C18</f>
        <v>0</v>
      </c>
      <c r="D35" s="37" t="s">
        <v>167</v>
      </c>
    </row>
    <row r="36" spans="1:73">
      <c r="A36" t="s">
        <v>200</v>
      </c>
      <c r="B36" t="s">
        <v>165</v>
      </c>
      <c r="C36">
        <f>INDEX(D32:BU32,MAX(D11:BU11))-$C$25</f>
        <v>0</v>
      </c>
      <c r="D36" s="37" t="s">
        <v>167</v>
      </c>
    </row>
    <row r="37" spans="1:73" ht="15.75">
      <c r="A37" s="56" t="s">
        <v>208</v>
      </c>
      <c r="B37" s="56"/>
      <c r="C37" s="56"/>
    </row>
    <row r="38" spans="1:73">
      <c r="A38" t="s">
        <v>209</v>
      </c>
      <c r="B38" t="s">
        <v>184</v>
      </c>
      <c r="D38">
        <f>(D30+D32)/2 *  D7</f>
        <v>1847661.1615243691</v>
      </c>
      <c r="E38">
        <f t="shared" ref="E38:BP38" si="20">(E30+E32)/2 *  E7</f>
        <v>8049518.8875836506</v>
      </c>
      <c r="F38">
        <f t="shared" si="20"/>
        <v>16801327.830732226</v>
      </c>
      <c r="G38">
        <f t="shared" si="20"/>
        <v>23102320.337235264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375085.50697686954</v>
      </c>
      <c r="D39">
        <f>IF(D11=1,Inputs!$B$50*$C$25,0)</f>
        <v>375085.50697686954</v>
      </c>
      <c r="E39">
        <f>IF(E11=1,Inputs!$B$50*$C$25,0)</f>
        <v>0</v>
      </c>
      <c r="F39">
        <f>IF(F11=1,Inputs!$B$50*$C$25,0)</f>
        <v>0</v>
      </c>
      <c r="G39">
        <f>IF(G11=1,Inputs!$B$50*$C$25,0)</f>
        <v>0</v>
      </c>
      <c r="H39">
        <f>IF(H11=1,Inputs!$B$50*$C$25,0)</f>
        <v>0</v>
      </c>
      <c r="I39">
        <f>IF(I11=1,Inputs!$B$50*$C$25,0)</f>
        <v>0</v>
      </c>
      <c r="J39">
        <f>IF(J11=1,Inputs!$B$50*$C$25,0)</f>
        <v>0</v>
      </c>
      <c r="K39">
        <f>IF(K11=1,Inputs!$B$50*$C$25,0)</f>
        <v>0</v>
      </c>
      <c r="L39">
        <f>IF(L11=1,Inputs!$B$50*$C$25,0)</f>
        <v>0</v>
      </c>
      <c r="M39">
        <f>IF(M11=1,Inputs!$B$50*$C$25,0)</f>
        <v>0</v>
      </c>
      <c r="N39">
        <f>IF(N11=1,Inputs!$B$50*$C$25,0)</f>
        <v>0</v>
      </c>
      <c r="O39">
        <f>IF(O11=1,Inputs!$B$50*$C$25,0)</f>
        <v>0</v>
      </c>
      <c r="P39">
        <f>IF(P11=1,Inputs!$B$50*$C$25,0)</f>
        <v>0</v>
      </c>
      <c r="Q39">
        <f>IF(Q11=1,Inputs!$B$50*$C$25,0)</f>
        <v>0</v>
      </c>
      <c r="R39">
        <f>IF(R11=1,Inputs!$B$50*$C$25,0)</f>
        <v>0</v>
      </c>
      <c r="S39">
        <f>IF(S11=1,Inputs!$B$50*$C$25,0)</f>
        <v>0</v>
      </c>
      <c r="T39">
        <f>IF(T11=1,Inputs!$B$50*$C$25,0)</f>
        <v>0</v>
      </c>
      <c r="U39">
        <f>IF(U11=1,Inputs!$B$50*$C$25,0)</f>
        <v>0</v>
      </c>
      <c r="V39">
        <f>IF(V11=1,Inputs!$B$50*$C$25,0)</f>
        <v>0</v>
      </c>
      <c r="W39">
        <f>IF(W11=1,Inputs!$B$50*$C$25,0)</f>
        <v>0</v>
      </c>
      <c r="X39">
        <f>IF(X11=1,Inputs!$B$50*$C$25,0)</f>
        <v>0</v>
      </c>
      <c r="Y39">
        <f>IF(Y11=1,Inputs!$B$50*$C$25,0)</f>
        <v>0</v>
      </c>
      <c r="Z39">
        <f>IF(Z11=1,Inputs!$B$50*$C$25,0)</f>
        <v>0</v>
      </c>
      <c r="AA39">
        <f>IF(AA11=1,Inputs!$B$50*$C$25,0)</f>
        <v>0</v>
      </c>
      <c r="AB39">
        <f>IF(AB11=1,Inputs!$B$50*$C$25,0)</f>
        <v>0</v>
      </c>
      <c r="AC39">
        <f>IF(AC11=1,Inputs!$B$50*$C$25,0)</f>
        <v>0</v>
      </c>
      <c r="AD39">
        <f>IF(AD11=1,Inputs!$B$50*$C$25,0)</f>
        <v>0</v>
      </c>
      <c r="AE39">
        <f>IF(AE11=1,Inputs!$B$50*$C$25,0)</f>
        <v>0</v>
      </c>
      <c r="AF39">
        <f>IF(AF11=1,Inputs!$B$50*$C$25,0)</f>
        <v>0</v>
      </c>
      <c r="AG39">
        <f>IF(AG11=1,Inputs!$B$50*$C$25,0)</f>
        <v>0</v>
      </c>
      <c r="AH39">
        <f>IF(AH11=1,Inputs!$B$50*$C$25,0)</f>
        <v>0</v>
      </c>
      <c r="AI39">
        <f>IF(AI11=1,Inputs!$B$50*$C$25,0)</f>
        <v>0</v>
      </c>
      <c r="AJ39">
        <f>IF(AJ11=1,Inputs!$B$50*$C$25,0)</f>
        <v>0</v>
      </c>
      <c r="AK39">
        <f>IF(AK11=1,Inputs!$B$50*$C$25,0)</f>
        <v>0</v>
      </c>
      <c r="AL39">
        <f>IF(AL11=1,Inputs!$B$50*$C$25,0)</f>
        <v>0</v>
      </c>
      <c r="AM39">
        <f>IF(AM11=1,Inputs!$B$50*$C$25,0)</f>
        <v>0</v>
      </c>
      <c r="AN39">
        <f>IF(AN11=1,Inputs!$B$50*$C$25,0)</f>
        <v>0</v>
      </c>
      <c r="AO39">
        <f>IF(AO11=1,Inputs!$B$50*$C$25,0)</f>
        <v>0</v>
      </c>
      <c r="AP39">
        <f>IF(AP11=1,Inputs!$B$50*$C$25,0)</f>
        <v>0</v>
      </c>
      <c r="AQ39">
        <f>IF(AQ11=1,Inputs!$B$50*$C$25,0)</f>
        <v>0</v>
      </c>
      <c r="AR39">
        <f>IF(AR11=1,Inputs!$B$50*$C$25,0)</f>
        <v>0</v>
      </c>
      <c r="AS39">
        <f>IF(AS11=1,Inputs!$B$50*$C$25,0)</f>
        <v>0</v>
      </c>
      <c r="AT39">
        <f>IF(AT11=1,Inputs!$B$50*$C$25,0)</f>
        <v>0</v>
      </c>
      <c r="AU39">
        <f>IF(AU11=1,Inputs!$B$50*$C$25,0)</f>
        <v>0</v>
      </c>
      <c r="AV39">
        <f>IF(AV11=1,Inputs!$B$50*$C$25,0)</f>
        <v>0</v>
      </c>
      <c r="AW39">
        <f>IF(AW11=1,Inputs!$B$50*$C$25,0)</f>
        <v>0</v>
      </c>
      <c r="AX39">
        <f>IF(AX11=1,Inputs!$B$50*$C$25,0)</f>
        <v>0</v>
      </c>
      <c r="AY39">
        <f>IF(AY11=1,Inputs!$B$50*$C$25,0)</f>
        <v>0</v>
      </c>
      <c r="AZ39">
        <f>IF(AZ11=1,Inputs!$B$50*$C$25,0)</f>
        <v>0</v>
      </c>
      <c r="BA39">
        <f>IF(BA11=1,Inputs!$B$50*$C$25,0)</f>
        <v>0</v>
      </c>
      <c r="BB39">
        <f>IF(BB11=1,Inputs!$B$50*$C$25,0)</f>
        <v>0</v>
      </c>
      <c r="BC39">
        <f>IF(BC11=1,Inputs!$B$50*$C$25,0)</f>
        <v>0</v>
      </c>
      <c r="BD39">
        <f>IF(BD11=1,Inputs!$B$50*$C$25,0)</f>
        <v>0</v>
      </c>
      <c r="BE39">
        <f>IF(BE11=1,Inputs!$B$50*$C$25,0)</f>
        <v>0</v>
      </c>
      <c r="BF39">
        <f>IF(BF11=1,Inputs!$B$50*$C$25,0)</f>
        <v>0</v>
      </c>
      <c r="BG39">
        <f>IF(BG11=1,Inputs!$B$50*$C$25,0)</f>
        <v>0</v>
      </c>
      <c r="BH39">
        <f>IF(BH11=1,Inputs!$B$50*$C$25,0)</f>
        <v>0</v>
      </c>
      <c r="BI39">
        <f>IF(BI11=1,Inputs!$B$50*$C$25,0)</f>
        <v>0</v>
      </c>
      <c r="BJ39">
        <f>IF(BJ11=1,Inputs!$B$50*$C$25,0)</f>
        <v>0</v>
      </c>
      <c r="BK39">
        <f>IF(BK11=1,Inputs!$B$50*$C$25,0)</f>
        <v>0</v>
      </c>
      <c r="BL39">
        <f>IF(BL11=1,Inputs!$B$50*$C$25,0)</f>
        <v>0</v>
      </c>
      <c r="BM39">
        <f>IF(BM11=1,Inputs!$B$50*$C$25,0)</f>
        <v>0</v>
      </c>
      <c r="BN39">
        <f>IF(BN11=1,Inputs!$B$50*$C$25,0)</f>
        <v>0</v>
      </c>
      <c r="BO39">
        <f>IF(BO11=1,Inputs!$B$50*$C$25,0)</f>
        <v>0</v>
      </c>
      <c r="BP39">
        <f>IF(BP11=1,Inputs!$B$50*$C$25,0)</f>
        <v>0</v>
      </c>
      <c r="BQ39">
        <f>IF(BQ11=1,Inputs!$B$50*$C$25,0)</f>
        <v>0</v>
      </c>
      <c r="BR39">
        <f>IF(BR11=1,Inputs!$B$50*$C$25,0)</f>
        <v>0</v>
      </c>
      <c r="BS39">
        <f>IF(BS11=1,Inputs!$B$50*$C$25,0)</f>
        <v>0</v>
      </c>
      <c r="BT39">
        <f>IF(BT11=1,Inputs!$B$50*$C$25,0)</f>
        <v>0</v>
      </c>
      <c r="BU39">
        <f>IF(BU11=1,Inputs!$B$50*$C$25,0)</f>
        <v>0</v>
      </c>
    </row>
    <row r="40" spans="1:73">
      <c r="A40" t="s">
        <v>45</v>
      </c>
      <c r="B40" t="s">
        <v>184</v>
      </c>
      <c r="C40">
        <f t="shared" ref="C40:C43" si="22">SUM(D40:BU40)</f>
        <v>125554.9341085576</v>
      </c>
      <c r="D40">
        <f>($C$25-D38)* Inputs!$B$51/2 *D7</f>
        <v>57895.098259000668</v>
      </c>
      <c r="E40">
        <f>($C$25-E38)* Inputs!$B$51/2 *E7</f>
        <v>42390.453943852466</v>
      </c>
      <c r="F40">
        <f>($C$25-F38)* Inputs!$B$51/2 *F7</f>
        <v>20510.931585981027</v>
      </c>
      <c r="G40">
        <f>($C$25-G38)* Inputs!$B$51/2 *G7</f>
        <v>4758.4503197234308</v>
      </c>
      <c r="H40">
        <f>($C$25-H38)* Inputs!$B$51/2 *H7</f>
        <v>0</v>
      </c>
      <c r="I40">
        <f>($C$25-I38)* Inputs!$B$51/2 *I7</f>
        <v>0</v>
      </c>
      <c r="J40">
        <f>($C$25-J38)* Inputs!$B$51/2 *J7</f>
        <v>0</v>
      </c>
      <c r="K40">
        <f>($C$25-K38)* Inputs!$B$51/2 *K7</f>
        <v>0</v>
      </c>
      <c r="L40">
        <f>($C$25-L38)* Inputs!$B$51/2 *L7</f>
        <v>0</v>
      </c>
      <c r="M40">
        <f>($C$25-M38)* Inputs!$B$51/2 *M7</f>
        <v>0</v>
      </c>
      <c r="N40">
        <f>($C$25-N38)* Inputs!$B$51/2 *N7</f>
        <v>0</v>
      </c>
      <c r="O40">
        <f>($C$25-O38)* Inputs!$B$51/2 *O7</f>
        <v>0</v>
      </c>
      <c r="P40">
        <f>($C$25-P38)* Inputs!$B$51/2 *P7</f>
        <v>0</v>
      </c>
      <c r="Q40">
        <f>($C$25-Q38)* Inputs!$B$51/2 *Q7</f>
        <v>0</v>
      </c>
      <c r="R40">
        <f>($C$25-R38)* Inputs!$B$51/2 *R7</f>
        <v>0</v>
      </c>
      <c r="S40">
        <f>($C$25-S38)* Inputs!$B$51/2 *S7</f>
        <v>0</v>
      </c>
      <c r="T40">
        <f>($C$25-T38)* Inputs!$B$51/2 *T7</f>
        <v>0</v>
      </c>
      <c r="U40">
        <f>($C$25-U38)* Inputs!$B$51/2 *U7</f>
        <v>0</v>
      </c>
      <c r="V40">
        <f>($C$25-V38)* Inputs!$B$51/2 *V7</f>
        <v>0</v>
      </c>
      <c r="W40">
        <f>($C$25-W38)* Inputs!$B$51/2 *W7</f>
        <v>0</v>
      </c>
      <c r="X40">
        <f>($C$25-X38)* Inputs!$B$51/2 *X7</f>
        <v>0</v>
      </c>
      <c r="Y40">
        <f>($C$25-Y38)* Inputs!$B$51/2 *Y7</f>
        <v>0</v>
      </c>
      <c r="Z40">
        <f>($C$25-Z38)* Inputs!$B$51/2 *Z7</f>
        <v>0</v>
      </c>
      <c r="AA40">
        <f>($C$25-AA38)* Inputs!$B$51/2 *AA7</f>
        <v>0</v>
      </c>
      <c r="AB40">
        <f>($C$25-AB38)* Inputs!$B$51/2 *AB7</f>
        <v>0</v>
      </c>
      <c r="AC40">
        <f>($C$25-AC38)* Inputs!$B$51/2 *AC7</f>
        <v>0</v>
      </c>
      <c r="AD40">
        <f>($C$25-AD38)* Inputs!$B$51/2 *AD7</f>
        <v>0</v>
      </c>
      <c r="AE40">
        <f>($C$25-AE38)* Inputs!$B$51/2 *AE7</f>
        <v>0</v>
      </c>
      <c r="AF40">
        <f>($C$25-AF38)* Inputs!$B$51/2 *AF7</f>
        <v>0</v>
      </c>
      <c r="AG40">
        <f>($C$25-AG38)* Inputs!$B$51/2 *AG7</f>
        <v>0</v>
      </c>
      <c r="AH40">
        <f>($C$25-AH38)* Inputs!$B$51/2 *AH7</f>
        <v>0</v>
      </c>
      <c r="AI40">
        <f>($C$25-AI38)* Inputs!$B$51/2 *AI7</f>
        <v>0</v>
      </c>
      <c r="AJ40">
        <f>($C$25-AJ38)* Inputs!$B$51/2 *AJ7</f>
        <v>0</v>
      </c>
      <c r="AK40">
        <f>($C$25-AK38)* Inputs!$B$51/2 *AK7</f>
        <v>0</v>
      </c>
      <c r="AL40">
        <f>($C$25-AL38)* Inputs!$B$51/2 *AL7</f>
        <v>0</v>
      </c>
      <c r="AM40">
        <f>($C$25-AM38)* Inputs!$B$51/2 *AM7</f>
        <v>0</v>
      </c>
      <c r="AN40">
        <f>($C$25-AN38)* Inputs!$B$51/2 *AN7</f>
        <v>0</v>
      </c>
      <c r="AO40">
        <f>($C$25-AO38)* Inputs!$B$51/2 *AO7</f>
        <v>0</v>
      </c>
      <c r="AP40">
        <f>($C$25-AP38)* Inputs!$B$51/2 *AP7</f>
        <v>0</v>
      </c>
      <c r="AQ40">
        <f>($C$25-AQ38)* Inputs!$B$51/2 *AQ7</f>
        <v>0</v>
      </c>
      <c r="AR40">
        <f>($C$25-AR38)* Inputs!$B$51/2 *AR7</f>
        <v>0</v>
      </c>
      <c r="AS40">
        <f>($C$25-AS38)* Inputs!$B$51/2 *AS7</f>
        <v>0</v>
      </c>
      <c r="AT40">
        <f>($C$25-AT38)* Inputs!$B$51/2 *AT7</f>
        <v>0</v>
      </c>
      <c r="AU40">
        <f>($C$25-AU38)* Inputs!$B$51/2 *AU7</f>
        <v>0</v>
      </c>
      <c r="AV40">
        <f>($C$25-AV38)* Inputs!$B$51/2 *AV7</f>
        <v>0</v>
      </c>
      <c r="AW40">
        <f>($C$25-AW38)* Inputs!$B$51/2 *AW7</f>
        <v>0</v>
      </c>
      <c r="AX40">
        <f>($C$25-AX38)* Inputs!$B$51/2 *AX7</f>
        <v>0</v>
      </c>
      <c r="AY40">
        <f>($C$25-AY38)* Inputs!$B$51/2 *AY7</f>
        <v>0</v>
      </c>
      <c r="AZ40">
        <f>($C$25-AZ38)* Inputs!$B$51/2 *AZ7</f>
        <v>0</v>
      </c>
      <c r="BA40">
        <f>($C$25-BA38)* Inputs!$B$51/2 *BA7</f>
        <v>0</v>
      </c>
      <c r="BB40">
        <f>($C$25-BB38)* Inputs!$B$51/2 *BB7</f>
        <v>0</v>
      </c>
      <c r="BC40">
        <f>($C$25-BC38)* Inputs!$B$51/2 *BC7</f>
        <v>0</v>
      </c>
      <c r="BD40">
        <f>($C$25-BD38)* Inputs!$B$51/2 *BD7</f>
        <v>0</v>
      </c>
      <c r="BE40">
        <f>($C$25-BE38)* Inputs!$B$51/2 *BE7</f>
        <v>0</v>
      </c>
      <c r="BF40">
        <f>($C$25-BF38)* Inputs!$B$51/2 *BF7</f>
        <v>0</v>
      </c>
      <c r="BG40">
        <f>($C$25-BG38)* Inputs!$B$51/2 *BG7</f>
        <v>0</v>
      </c>
      <c r="BH40">
        <f>($C$25-BH38)* Inputs!$B$51/2 *BH7</f>
        <v>0</v>
      </c>
      <c r="BI40">
        <f>($C$25-BI38)* Inputs!$B$51/2 *BI7</f>
        <v>0</v>
      </c>
      <c r="BJ40">
        <f>($C$25-BJ38)* Inputs!$B$51/2 *BJ7</f>
        <v>0</v>
      </c>
      <c r="BK40">
        <f>($C$25-BK38)* Inputs!$B$51/2 *BK7</f>
        <v>0</v>
      </c>
      <c r="BL40">
        <f>($C$25-BL38)* Inputs!$B$51/2 *BL7</f>
        <v>0</v>
      </c>
      <c r="BM40">
        <f>($C$25-BM38)* Inputs!$B$51/2 *BM7</f>
        <v>0</v>
      </c>
      <c r="BN40">
        <f>($C$25-BN38)* Inputs!$B$51/2 *BN7</f>
        <v>0</v>
      </c>
      <c r="BO40">
        <f>($C$25-BO38)* Inputs!$B$51/2 *BO7</f>
        <v>0</v>
      </c>
      <c r="BP40">
        <f>($C$25-BP38)* Inputs!$B$51/2 *BP7</f>
        <v>0</v>
      </c>
      <c r="BQ40">
        <f>($C$25-BQ38)* Inputs!$B$51/2 *BQ7</f>
        <v>0</v>
      </c>
      <c r="BR40">
        <f>($C$25-BR38)* Inputs!$B$51/2 *BR7</f>
        <v>0</v>
      </c>
      <c r="BS40">
        <f>($C$25-BS38)* Inputs!$B$51/2 *BS7</f>
        <v>0</v>
      </c>
      <c r="BT40">
        <f>($C$25-BT38)* Inputs!$B$51/2 *BT7</f>
        <v>0</v>
      </c>
      <c r="BU40">
        <f>($C$25-BU38)* Inputs!$B$51/2 *BU7</f>
        <v>0</v>
      </c>
    </row>
    <row r="41" spans="1:73">
      <c r="A41" t="s">
        <v>210</v>
      </c>
      <c r="B41" t="s">
        <v>184</v>
      </c>
      <c r="C41">
        <f t="shared" si="22"/>
        <v>2241037.2697683978</v>
      </c>
      <c r="D41">
        <f>D38*Inputs!$B$43*D7</f>
        <v>83144.752268596611</v>
      </c>
      <c r="E41">
        <f>E38*Inputs!$B$43*E7</f>
        <v>362228.34994126426</v>
      </c>
      <c r="F41">
        <f>F38*Inputs!$B$43*F7</f>
        <v>756059.75238295016</v>
      </c>
      <c r="G41">
        <f>G38*Inputs!$B$43*G7</f>
        <v>1039604.4151755868</v>
      </c>
      <c r="H41">
        <f>H38*Inputs!$B$43*H7</f>
        <v>0</v>
      </c>
      <c r="I41">
        <f>I38*Inputs!$B$43*I7</f>
        <v>0</v>
      </c>
      <c r="J41">
        <f>J38*Inputs!$B$43*J7</f>
        <v>0</v>
      </c>
      <c r="K41">
        <f>K38*Inputs!$B$43*K7</f>
        <v>0</v>
      </c>
      <c r="L41">
        <f>L38*Inputs!$B$43*L7</f>
        <v>0</v>
      </c>
      <c r="M41">
        <f>M38*Inputs!$B$43*M7</f>
        <v>0</v>
      </c>
      <c r="N41">
        <f>N38*Inputs!$B$43*N7</f>
        <v>0</v>
      </c>
      <c r="O41">
        <f>O38*Inputs!$B$43*O7</f>
        <v>0</v>
      </c>
      <c r="P41">
        <f>P38*Inputs!$B$43*P7</f>
        <v>0</v>
      </c>
      <c r="Q41">
        <f>Q38*Inputs!$B$43*Q7</f>
        <v>0</v>
      </c>
      <c r="R41">
        <f>R38*Inputs!$B$43*R7</f>
        <v>0</v>
      </c>
      <c r="S41">
        <f>S38*Inputs!$B$43*S7</f>
        <v>0</v>
      </c>
      <c r="T41">
        <f>T38*Inputs!$B$43*T7</f>
        <v>0</v>
      </c>
      <c r="U41">
        <f>U38*Inputs!$B$43*U7</f>
        <v>0</v>
      </c>
      <c r="V41">
        <f>V38*Inputs!$B$43*V7</f>
        <v>0</v>
      </c>
      <c r="W41">
        <f>W38*Inputs!$B$43*W7</f>
        <v>0</v>
      </c>
      <c r="X41">
        <f>X38*Inputs!$B$43*X7</f>
        <v>0</v>
      </c>
      <c r="Y41">
        <f>Y38*Inputs!$B$43*Y7</f>
        <v>0</v>
      </c>
      <c r="Z41">
        <f>Z38*Inputs!$B$43*Z7</f>
        <v>0</v>
      </c>
      <c r="AA41">
        <f>AA38*Inputs!$B$43*AA7</f>
        <v>0</v>
      </c>
      <c r="AB41">
        <f>AB38*Inputs!$B$43*AB7</f>
        <v>0</v>
      </c>
      <c r="AC41">
        <f>AC38*Inputs!$B$43*AC7</f>
        <v>0</v>
      </c>
      <c r="AD41">
        <f>AD38*Inputs!$B$43*AD7</f>
        <v>0</v>
      </c>
      <c r="AE41">
        <f>AE38*Inputs!$B$43*AE7</f>
        <v>0</v>
      </c>
      <c r="AF41">
        <f>AF38*Inputs!$B$43*AF7</f>
        <v>0</v>
      </c>
      <c r="AG41">
        <f>AG38*Inputs!$B$43*AG7</f>
        <v>0</v>
      </c>
      <c r="AH41">
        <f>AH38*Inputs!$B$43*AH7</f>
        <v>0</v>
      </c>
      <c r="AI41">
        <f>AI38*Inputs!$B$43*AI7</f>
        <v>0</v>
      </c>
      <c r="AJ41">
        <f>AJ38*Inputs!$B$43*AJ7</f>
        <v>0</v>
      </c>
      <c r="AK41">
        <f>AK38*Inputs!$B$43*AK7</f>
        <v>0</v>
      </c>
      <c r="AL41">
        <f>AL38*Inputs!$B$43*AL7</f>
        <v>0</v>
      </c>
      <c r="AM41">
        <f>AM38*Inputs!$B$43*AM7</f>
        <v>0</v>
      </c>
      <c r="AN41">
        <f>AN38*Inputs!$B$43*AN7</f>
        <v>0</v>
      </c>
      <c r="AO41">
        <f>AO38*Inputs!$B$43*AO7</f>
        <v>0</v>
      </c>
      <c r="AP41">
        <f>AP38*Inputs!$B$43*AP7</f>
        <v>0</v>
      </c>
      <c r="AQ41">
        <f>AQ38*Inputs!$B$43*AQ7</f>
        <v>0</v>
      </c>
      <c r="AR41">
        <f>AR38*Inputs!$B$43*AR7</f>
        <v>0</v>
      </c>
      <c r="AS41">
        <f>AS38*Inputs!$B$43*AS7</f>
        <v>0</v>
      </c>
      <c r="AT41">
        <f>AT38*Inputs!$B$43*AT7</f>
        <v>0</v>
      </c>
      <c r="AU41">
        <f>AU38*Inputs!$B$43*AU7</f>
        <v>0</v>
      </c>
      <c r="AV41">
        <f>AV38*Inputs!$B$43*AV7</f>
        <v>0</v>
      </c>
      <c r="AW41">
        <f>AW38*Inputs!$B$43*AW7</f>
        <v>0</v>
      </c>
      <c r="AX41">
        <f>AX38*Inputs!$B$43*AX7</f>
        <v>0</v>
      </c>
      <c r="AY41">
        <f>AY38*Inputs!$B$43*AY7</f>
        <v>0</v>
      </c>
      <c r="AZ41">
        <f>AZ38*Inputs!$B$43*AZ7</f>
        <v>0</v>
      </c>
      <c r="BA41">
        <f>BA38*Inputs!$B$43*BA7</f>
        <v>0</v>
      </c>
      <c r="BB41">
        <f>BB38*Inputs!$B$43*BB7</f>
        <v>0</v>
      </c>
      <c r="BC41">
        <f>BC38*Inputs!$B$43*BC7</f>
        <v>0</v>
      </c>
      <c r="BD41">
        <f>BD38*Inputs!$B$43*BD7</f>
        <v>0</v>
      </c>
      <c r="BE41">
        <f>BE38*Inputs!$B$43*BE7</f>
        <v>0</v>
      </c>
      <c r="BF41">
        <f>BF38*Inputs!$B$43*BF7</f>
        <v>0</v>
      </c>
      <c r="BG41">
        <f>BG38*Inputs!$B$43*BG7</f>
        <v>0</v>
      </c>
      <c r="BH41">
        <f>BH38*Inputs!$B$43*BH7</f>
        <v>0</v>
      </c>
      <c r="BI41">
        <f>BI38*Inputs!$B$43*BI7</f>
        <v>0</v>
      </c>
      <c r="BJ41">
        <f>BJ38*Inputs!$B$43*BJ7</f>
        <v>0</v>
      </c>
      <c r="BK41">
        <f>BK38*Inputs!$B$43*BK7</f>
        <v>0</v>
      </c>
      <c r="BL41">
        <f>BL38*Inputs!$B$43*BL7</f>
        <v>0</v>
      </c>
      <c r="BM41">
        <f>BM38*Inputs!$B$43*BM7</f>
        <v>0</v>
      </c>
      <c r="BN41">
        <f>BN38*Inputs!$B$43*BN7</f>
        <v>0</v>
      </c>
      <c r="BO41">
        <f>BO38*Inputs!$B$43*BO7</f>
        <v>0</v>
      </c>
      <c r="BP41">
        <f>BP38*Inputs!$B$43*BP7</f>
        <v>0</v>
      </c>
      <c r="BQ41">
        <f>BQ38*Inputs!$B$43*BQ7</f>
        <v>0</v>
      </c>
      <c r="BR41">
        <f>BR38*Inputs!$B$43*BR7</f>
        <v>0</v>
      </c>
      <c r="BS41">
        <f>BS38*Inputs!$B$43*BS7</f>
        <v>0</v>
      </c>
      <c r="BT41">
        <f>BT38*Inputs!$B$43*BT7</f>
        <v>0</v>
      </c>
      <c r="BU41">
        <f>BU38*Inputs!$B$43*BU7</f>
        <v>0</v>
      </c>
    </row>
    <row r="42" spans="1:73">
      <c r="A42" t="s">
        <v>211</v>
      </c>
      <c r="B42" t="s">
        <v>184</v>
      </c>
      <c r="C42">
        <f t="shared" si="22"/>
        <v>2741677.7108538249</v>
      </c>
      <c r="D42">
        <f>SUM(D39:D41)</f>
        <v>516125.35750446684</v>
      </c>
      <c r="E42">
        <f t="shared" ref="E42:BP42" si="23">SUM(E39:E41)</f>
        <v>404618.80388511671</v>
      </c>
      <c r="F42">
        <f t="shared" si="23"/>
        <v>776570.6839689312</v>
      </c>
      <c r="G42">
        <f t="shared" si="23"/>
        <v>1044362.8654953103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212</v>
      </c>
      <c r="B43" t="s">
        <v>184</v>
      </c>
      <c r="C43">
        <f t="shared" si="22"/>
        <v>13458406.481621528</v>
      </c>
      <c r="D43">
        <f>D28+D42</f>
        <v>2099834.924525355</v>
      </c>
      <c r="E43">
        <f t="shared" ref="E43:BP43" si="25">E28+E42</f>
        <v>4136787.2877721838</v>
      </c>
      <c r="F43">
        <f t="shared" si="25"/>
        <v>4545952.7227806449</v>
      </c>
      <c r="G43">
        <f t="shared" si="25"/>
        <v>2675831.5465433444</v>
      </c>
      <c r="H43">
        <f t="shared" si="25"/>
        <v>0</v>
      </c>
      <c r="I43">
        <f t="shared" si="25"/>
        <v>0</v>
      </c>
      <c r="J43">
        <f t="shared" si="25"/>
        <v>0</v>
      </c>
      <c r="K43">
        <f t="shared" si="25"/>
        <v>0</v>
      </c>
      <c r="L43">
        <f t="shared" si="25"/>
        <v>0</v>
      </c>
      <c r="M43">
        <f t="shared" si="25"/>
        <v>0</v>
      </c>
      <c r="N43">
        <f t="shared" si="25"/>
        <v>0</v>
      </c>
      <c r="O43">
        <f t="shared" si="25"/>
        <v>0</v>
      </c>
      <c r="P43">
        <f t="shared" si="25"/>
        <v>0</v>
      </c>
      <c r="Q43">
        <f t="shared" si="25"/>
        <v>0</v>
      </c>
      <c r="R43">
        <f t="shared" si="25"/>
        <v>0</v>
      </c>
      <c r="S43">
        <f t="shared" si="25"/>
        <v>0</v>
      </c>
      <c r="T43">
        <f t="shared" si="25"/>
        <v>0</v>
      </c>
      <c r="U43">
        <f t="shared" si="25"/>
        <v>0</v>
      </c>
      <c r="V43">
        <f t="shared" si="25"/>
        <v>0</v>
      </c>
      <c r="W43">
        <f t="shared" si="25"/>
        <v>0</v>
      </c>
      <c r="X43">
        <f t="shared" si="25"/>
        <v>0</v>
      </c>
      <c r="Y43">
        <f t="shared" si="25"/>
        <v>0</v>
      </c>
      <c r="Z43">
        <f t="shared" si="25"/>
        <v>0</v>
      </c>
      <c r="AA43">
        <f t="shared" si="25"/>
        <v>0</v>
      </c>
      <c r="AB43">
        <f t="shared" si="25"/>
        <v>0</v>
      </c>
      <c r="AC43">
        <f t="shared" si="25"/>
        <v>0</v>
      </c>
      <c r="AD43">
        <f t="shared" si="25"/>
        <v>0</v>
      </c>
      <c r="AE43">
        <f t="shared" si="25"/>
        <v>0</v>
      </c>
      <c r="AF43">
        <f t="shared" si="25"/>
        <v>0</v>
      </c>
      <c r="AG43">
        <f t="shared" si="25"/>
        <v>0</v>
      </c>
      <c r="AH43">
        <f t="shared" si="25"/>
        <v>0</v>
      </c>
      <c r="AI43">
        <f t="shared" si="25"/>
        <v>0</v>
      </c>
      <c r="AJ43">
        <f t="shared" si="25"/>
        <v>0</v>
      </c>
      <c r="AK43">
        <f t="shared" si="25"/>
        <v>0</v>
      </c>
      <c r="AL43">
        <f t="shared" si="25"/>
        <v>0</v>
      </c>
      <c r="AM43">
        <f t="shared" si="25"/>
        <v>0</v>
      </c>
      <c r="AN43">
        <f t="shared" si="25"/>
        <v>0</v>
      </c>
      <c r="AO43">
        <f t="shared" si="25"/>
        <v>0</v>
      </c>
      <c r="AP43">
        <f t="shared" si="25"/>
        <v>0</v>
      </c>
      <c r="AQ43">
        <f t="shared" si="25"/>
        <v>0</v>
      </c>
      <c r="AR43">
        <f t="shared" si="25"/>
        <v>0</v>
      </c>
      <c r="AS43">
        <f t="shared" si="25"/>
        <v>0</v>
      </c>
      <c r="AT43">
        <f t="shared" si="25"/>
        <v>0</v>
      </c>
      <c r="AU43">
        <f t="shared" si="25"/>
        <v>0</v>
      </c>
      <c r="AV43">
        <f t="shared" si="25"/>
        <v>0</v>
      </c>
      <c r="AW43">
        <f t="shared" si="25"/>
        <v>0</v>
      </c>
      <c r="AX43">
        <f t="shared" si="25"/>
        <v>0</v>
      </c>
      <c r="AY43">
        <f t="shared" si="25"/>
        <v>0</v>
      </c>
      <c r="AZ43">
        <f t="shared" si="25"/>
        <v>0</v>
      </c>
      <c r="BA43">
        <f t="shared" si="25"/>
        <v>0</v>
      </c>
      <c r="BB43">
        <f t="shared" si="25"/>
        <v>0</v>
      </c>
      <c r="BC43">
        <f t="shared" si="25"/>
        <v>0</v>
      </c>
      <c r="BD43">
        <f t="shared" si="25"/>
        <v>0</v>
      </c>
      <c r="BE43">
        <f t="shared" si="25"/>
        <v>0</v>
      </c>
      <c r="BF43">
        <f t="shared" si="25"/>
        <v>0</v>
      </c>
      <c r="BG43">
        <f t="shared" si="25"/>
        <v>0</v>
      </c>
      <c r="BH43">
        <f t="shared" si="25"/>
        <v>0</v>
      </c>
      <c r="BI43">
        <f t="shared" si="25"/>
        <v>0</v>
      </c>
      <c r="BJ43">
        <f t="shared" si="25"/>
        <v>0</v>
      </c>
      <c r="BK43">
        <f t="shared" si="25"/>
        <v>0</v>
      </c>
      <c r="BL43">
        <f t="shared" si="25"/>
        <v>0</v>
      </c>
      <c r="BM43">
        <f t="shared" si="25"/>
        <v>0</v>
      </c>
      <c r="BN43">
        <f t="shared" si="25"/>
        <v>0</v>
      </c>
      <c r="BO43">
        <f t="shared" si="25"/>
        <v>0</v>
      </c>
      <c r="BP43">
        <f t="shared" si="25"/>
        <v>0</v>
      </c>
      <c r="BQ43">
        <f t="shared" ref="BQ43:BU43" si="26">BQ28+BQ42</f>
        <v>0</v>
      </c>
      <c r="BR43">
        <f t="shared" si="26"/>
        <v>0</v>
      </c>
      <c r="BS43">
        <f t="shared" si="26"/>
        <v>0</v>
      </c>
      <c r="BT43">
        <f t="shared" si="26"/>
        <v>0</v>
      </c>
      <c r="BU43">
        <f t="shared" si="26"/>
        <v>0</v>
      </c>
    </row>
    <row r="44" spans="1:73" ht="15.75">
      <c r="A44" s="56" t="s">
        <v>216</v>
      </c>
      <c r="B44" s="56"/>
      <c r="C44" s="56"/>
    </row>
    <row r="45" spans="1:73">
      <c r="A45" t="s">
        <v>180</v>
      </c>
      <c r="B45" t="s">
        <v>184</v>
      </c>
      <c r="C45">
        <f>C14</f>
        <v>35722429.235892341</v>
      </c>
    </row>
    <row r="46" spans="1:73">
      <c r="A46" t="s">
        <v>102</v>
      </c>
      <c r="B46" t="s">
        <v>184</v>
      </c>
      <c r="C46">
        <f>C15</f>
        <v>0</v>
      </c>
    </row>
    <row r="47" spans="1:73">
      <c r="A47" t="s">
        <v>103</v>
      </c>
      <c r="B47" t="s">
        <v>184</v>
      </c>
      <c r="C47">
        <f>C16</f>
        <v>0</v>
      </c>
    </row>
    <row r="48" spans="1:73">
      <c r="A48" t="s">
        <v>44</v>
      </c>
      <c r="B48" t="s">
        <v>184</v>
      </c>
      <c r="C48">
        <f>C39</f>
        <v>375085.50697686954</v>
      </c>
    </row>
    <row r="49" spans="1:4">
      <c r="A49" t="s">
        <v>213</v>
      </c>
      <c r="B49" t="s">
        <v>184</v>
      </c>
      <c r="C49">
        <f>C40</f>
        <v>125554.9341085576</v>
      </c>
    </row>
    <row r="50" spans="1:4">
      <c r="A50" t="s">
        <v>210</v>
      </c>
      <c r="B50" t="s">
        <v>184</v>
      </c>
      <c r="C50">
        <f>C41</f>
        <v>2241037.2697683978</v>
      </c>
    </row>
    <row r="51" spans="1:4">
      <c r="A51" t="s">
        <v>214</v>
      </c>
      <c r="B51" t="s">
        <v>184</v>
      </c>
      <c r="C51" s="48">
        <v>0</v>
      </c>
      <c r="D51" t="s">
        <v>225</v>
      </c>
    </row>
    <row r="52" spans="1:4">
      <c r="A52" s="12" t="s">
        <v>215</v>
      </c>
      <c r="B52" s="12" t="s">
        <v>184</v>
      </c>
      <c r="C52" s="12">
        <f>SUM(C45:C51)</f>
        <v>38464106.946746163</v>
      </c>
    </row>
    <row r="53" spans="1:4" ht="15.75">
      <c r="A53" s="56" t="s">
        <v>217</v>
      </c>
      <c r="B53" s="56"/>
      <c r="C53" s="56"/>
    </row>
    <row r="54" spans="1:4">
      <c r="A54" t="s">
        <v>218</v>
      </c>
      <c r="B54" s="49" t="s">
        <v>184</v>
      </c>
      <c r="C54">
        <f>C27</f>
        <v>25005700.465124637</v>
      </c>
    </row>
    <row r="55" spans="1:4">
      <c r="A55" t="s">
        <v>219</v>
      </c>
      <c r="B55" s="49" t="s">
        <v>184</v>
      </c>
      <c r="C55">
        <f>C43</f>
        <v>13458406.481621528</v>
      </c>
    </row>
    <row r="56" spans="1:4">
      <c r="A56" s="12" t="s">
        <v>220</v>
      </c>
      <c r="B56" s="49" t="s">
        <v>184</v>
      </c>
      <c r="C56" s="12">
        <f>SUM(C54:C55)</f>
        <v>38464106.946746163</v>
      </c>
    </row>
    <row r="58" spans="1:4">
      <c r="A58" t="s">
        <v>221</v>
      </c>
      <c r="B58" t="s">
        <v>20</v>
      </c>
      <c r="C58" s="46">
        <f>C54/C56</f>
        <v>0.6501047976947758</v>
      </c>
    </row>
    <row r="59" spans="1:4">
      <c r="A59" t="s">
        <v>222</v>
      </c>
      <c r="B59" t="s">
        <v>20</v>
      </c>
      <c r="C59" s="46">
        <f>C55/C56</f>
        <v>0.3498952023052242</v>
      </c>
    </row>
    <row r="60" spans="1:4" ht="15.75">
      <c r="A60" s="56" t="s">
        <v>223</v>
      </c>
      <c r="B60" s="56"/>
      <c r="C60" s="56"/>
    </row>
    <row r="61" spans="1:4">
      <c r="A61" t="s">
        <v>224</v>
      </c>
      <c r="B61" t="s">
        <v>165</v>
      </c>
      <c r="C61">
        <f>C56-C52</f>
        <v>0</v>
      </c>
      <c r="D61" s="37" t="s">
        <v>167</v>
      </c>
    </row>
  </sheetData>
  <mergeCells count="9">
    <mergeCell ref="A60:C60"/>
    <mergeCell ref="A37:C37"/>
    <mergeCell ref="A44:C44"/>
    <mergeCell ref="A53:C53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zoomScale="85" zoomScaleNormal="85" workbookViewId="0">
      <pane xSplit="3" topLeftCell="D1" activePane="topRight" state="frozen"/>
      <selection pane="topRight" activeCell="D30" sqref="D30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56" t="s">
        <v>242</v>
      </c>
      <c r="B4" s="56"/>
      <c r="C4" s="56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230</v>
      </c>
      <c r="B10" t="s">
        <v>128</v>
      </c>
      <c r="C10" s="51">
        <f>Inputs!$B$6</f>
        <v>2</v>
      </c>
    </row>
    <row r="11" spans="1:75">
      <c r="A11" t="s">
        <v>238</v>
      </c>
      <c r="B11" t="s">
        <v>234</v>
      </c>
      <c r="C11" s="8">
        <f>INDEX(Data_Energy!$L$16:$L$18,$C$10)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239</v>
      </c>
      <c r="B12" t="s">
        <v>234</v>
      </c>
      <c r="C12" s="8">
        <f>INDEX(Data_Energy!$M$16:$M$18,$C$10)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231</v>
      </c>
      <c r="B13" t="s">
        <v>234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236</v>
      </c>
      <c r="B14" t="s">
        <v>235</v>
      </c>
      <c r="C14" s="8">
        <f>SUM(D14:BU14)</f>
        <v>1242578.2484487933</v>
      </c>
      <c r="D14" s="8">
        <f>D13*Inputs!$B$13*1000</f>
        <v>0</v>
      </c>
      <c r="E14" s="8">
        <f>E13*Inputs!$B$13*1000</f>
        <v>0</v>
      </c>
      <c r="F14" s="8">
        <f>F13*Inputs!$B$13*1000</f>
        <v>0</v>
      </c>
      <c r="G14" s="8">
        <f>G13*Inputs!$B$13*1000</f>
        <v>0</v>
      </c>
      <c r="H14" s="8">
        <f>H13*Inputs!$B$13*1000</f>
        <v>27224.919626067385</v>
      </c>
      <c r="I14" s="8">
        <f>I13*Inputs!$B$13*1000</f>
        <v>14194.355322225747</v>
      </c>
      <c r="J14" s="8">
        <f>J13*Inputs!$B$13*1000</f>
        <v>27224.919626067385</v>
      </c>
      <c r="K14" s="8">
        <f>K13*Inputs!$B$13*1000</f>
        <v>14194.355322225747</v>
      </c>
      <c r="L14" s="8">
        <f>L13*Inputs!$B$13*1000</f>
        <v>27224.919626067385</v>
      </c>
      <c r="M14" s="8">
        <f>M13*Inputs!$B$13*1000</f>
        <v>14194.355322225747</v>
      </c>
      <c r="N14" s="8">
        <f>N13*Inputs!$B$13*1000</f>
        <v>27224.919626067385</v>
      </c>
      <c r="O14" s="8">
        <f>O13*Inputs!$B$13*1000</f>
        <v>14194.355322225747</v>
      </c>
      <c r="P14" s="8">
        <f>P13*Inputs!$B$13*1000</f>
        <v>27224.919626067385</v>
      </c>
      <c r="Q14" s="8">
        <f>Q13*Inputs!$B$13*1000</f>
        <v>14194.355322225747</v>
      </c>
      <c r="R14" s="8">
        <f>R13*Inputs!$B$13*1000</f>
        <v>27224.919626067385</v>
      </c>
      <c r="S14" s="8">
        <f>S13*Inputs!$B$13*1000</f>
        <v>14194.355322225747</v>
      </c>
      <c r="T14" s="8">
        <f>T13*Inputs!$B$13*1000</f>
        <v>27224.919626067385</v>
      </c>
      <c r="U14" s="8">
        <f>U13*Inputs!$B$13*1000</f>
        <v>14194.355322225747</v>
      </c>
      <c r="V14" s="8">
        <f>V13*Inputs!$B$13*1000</f>
        <v>27224.919626067385</v>
      </c>
      <c r="W14" s="8">
        <f>W13*Inputs!$B$13*1000</f>
        <v>14194.355322225747</v>
      </c>
      <c r="X14" s="8">
        <f>X13*Inputs!$B$13*1000</f>
        <v>27224.919626067385</v>
      </c>
      <c r="Y14" s="8">
        <f>Y13*Inputs!$B$13*1000</f>
        <v>14194.355322225747</v>
      </c>
      <c r="Z14" s="8">
        <f>Z13*Inputs!$B$13*1000</f>
        <v>27224.919626067385</v>
      </c>
      <c r="AA14" s="8">
        <f>AA13*Inputs!$B$13*1000</f>
        <v>14194.355322225747</v>
      </c>
      <c r="AB14" s="8">
        <f>AB13*Inputs!$B$13*1000</f>
        <v>27224.919626067385</v>
      </c>
      <c r="AC14" s="8">
        <f>AC13*Inputs!$B$13*1000</f>
        <v>14194.355322225747</v>
      </c>
      <c r="AD14" s="8">
        <f>AD13*Inputs!$B$13*1000</f>
        <v>27224.919626067385</v>
      </c>
      <c r="AE14" s="8">
        <f>AE13*Inputs!$B$13*1000</f>
        <v>14194.355322225747</v>
      </c>
      <c r="AF14" s="8">
        <f>AF13*Inputs!$B$13*1000</f>
        <v>27224.919626067385</v>
      </c>
      <c r="AG14" s="8">
        <f>AG13*Inputs!$B$13*1000</f>
        <v>14194.355322225747</v>
      </c>
      <c r="AH14" s="8">
        <f>AH13*Inputs!$B$13*1000</f>
        <v>27224.919626067385</v>
      </c>
      <c r="AI14" s="8">
        <f>AI13*Inputs!$B$13*1000</f>
        <v>14194.355322225747</v>
      </c>
      <c r="AJ14" s="8">
        <f>AJ13*Inputs!$B$13*1000</f>
        <v>27224.919626067385</v>
      </c>
      <c r="AK14" s="8">
        <f>AK13*Inputs!$B$13*1000</f>
        <v>14194.355322225747</v>
      </c>
      <c r="AL14" s="8">
        <f>AL13*Inputs!$B$13*1000</f>
        <v>27224.919626067385</v>
      </c>
      <c r="AM14" s="8">
        <f>AM13*Inputs!$B$13*1000</f>
        <v>14194.355322225747</v>
      </c>
      <c r="AN14" s="8">
        <f>AN13*Inputs!$B$13*1000</f>
        <v>27224.919626067385</v>
      </c>
      <c r="AO14" s="8">
        <f>AO13*Inputs!$B$13*1000</f>
        <v>14194.355322225747</v>
      </c>
      <c r="AP14" s="8">
        <f>AP13*Inputs!$B$13*1000</f>
        <v>27224.919626067385</v>
      </c>
      <c r="AQ14" s="8">
        <f>AQ13*Inputs!$B$13*1000</f>
        <v>14194.355322225747</v>
      </c>
      <c r="AR14" s="8">
        <f>AR13*Inputs!$B$13*1000</f>
        <v>27224.919626067385</v>
      </c>
      <c r="AS14" s="8">
        <f>AS13*Inputs!$B$13*1000</f>
        <v>14194.355322225747</v>
      </c>
      <c r="AT14" s="8">
        <f>AT13*Inputs!$B$13*1000</f>
        <v>27224.919626067385</v>
      </c>
      <c r="AU14" s="8">
        <f>AU13*Inputs!$B$13*1000</f>
        <v>14194.355322225747</v>
      </c>
      <c r="AV14" s="8">
        <f>AV13*Inputs!$B$13*1000</f>
        <v>27224.919626067385</v>
      </c>
      <c r="AW14" s="8">
        <f>AW13*Inputs!$B$13*1000</f>
        <v>14194.355322225747</v>
      </c>
      <c r="AX14" s="8">
        <f>AX13*Inputs!$B$13*1000</f>
        <v>27224.919626067385</v>
      </c>
      <c r="AY14" s="8">
        <f>AY13*Inputs!$B$13*1000</f>
        <v>14194.355322225747</v>
      </c>
      <c r="AZ14" s="8">
        <f>AZ13*Inputs!$B$13*1000</f>
        <v>27224.919626067385</v>
      </c>
      <c r="BA14" s="8">
        <f>BA13*Inputs!$B$13*1000</f>
        <v>14194.355322225747</v>
      </c>
      <c r="BB14" s="8">
        <f>BB13*Inputs!$B$13*1000</f>
        <v>27224.919626067385</v>
      </c>
      <c r="BC14" s="8">
        <f>BC13*Inputs!$B$13*1000</f>
        <v>14194.355322225747</v>
      </c>
      <c r="BD14" s="8">
        <f>BD13*Inputs!$B$13*1000</f>
        <v>27224.919626067385</v>
      </c>
      <c r="BE14" s="8">
        <f>BE13*Inputs!$B$13*1000</f>
        <v>14194.355322225747</v>
      </c>
      <c r="BF14" s="8">
        <f>BF13*Inputs!$B$13*1000</f>
        <v>27224.919626067385</v>
      </c>
      <c r="BG14" s="8">
        <f>BG13*Inputs!$B$13*1000</f>
        <v>14194.355322225747</v>
      </c>
      <c r="BH14" s="8">
        <f>BH13*Inputs!$B$13*1000</f>
        <v>27224.919626067385</v>
      </c>
      <c r="BI14" s="8">
        <f>BI13*Inputs!$B$13*1000</f>
        <v>14194.355322225747</v>
      </c>
      <c r="BJ14" s="8">
        <f>BJ13*Inputs!$B$13*1000</f>
        <v>27224.919626067385</v>
      </c>
      <c r="BK14" s="8">
        <f>BK13*Inputs!$B$13*1000</f>
        <v>14194.355322225747</v>
      </c>
      <c r="BL14" s="8">
        <f>BL13*Inputs!$B$13*1000</f>
        <v>27224.919626067385</v>
      </c>
      <c r="BM14" s="8">
        <f>BM13*Inputs!$B$13*1000</f>
        <v>14194.355322225747</v>
      </c>
      <c r="BN14" s="8">
        <f>BN13*Inputs!$B$13*1000</f>
        <v>27224.919626067385</v>
      </c>
      <c r="BO14" s="8">
        <f>BO13*Inputs!$B$13*1000</f>
        <v>14194.355322225747</v>
      </c>
      <c r="BP14" s="8">
        <f>BP13*Inputs!$B$13*1000</f>
        <v>0</v>
      </c>
      <c r="BQ14" s="8">
        <f>BQ13*Inputs!$B$13*1000</f>
        <v>0</v>
      </c>
      <c r="BR14" s="8">
        <f>BR13*Inputs!$B$13*1000</f>
        <v>0</v>
      </c>
      <c r="BS14" s="8">
        <f>BS13*Inputs!$B$13*1000</f>
        <v>0</v>
      </c>
      <c r="BT14" s="8">
        <f>BT13*Inputs!$B$13*1000</f>
        <v>0</v>
      </c>
      <c r="BU14" s="8">
        <f>BU13*Inputs!$B$13*1000</f>
        <v>0</v>
      </c>
    </row>
    <row r="15" spans="1:75">
      <c r="A15" t="s">
        <v>232</v>
      </c>
      <c r="B15" t="s">
        <v>39</v>
      </c>
      <c r="C15" t="s">
        <v>131</v>
      </c>
      <c r="D15" s="8">
        <f>(1+Inputs!$B$15)^D9</f>
        <v>1</v>
      </c>
      <c r="E15" s="8">
        <f>(1+Inputs!$B$15)^E9</f>
        <v>1</v>
      </c>
      <c r="F15" s="8">
        <f>(1+Inputs!$B$15)^F9</f>
        <v>1</v>
      </c>
      <c r="G15" s="8">
        <f>(1+Inputs!$B$15)^G9</f>
        <v>1</v>
      </c>
      <c r="H15" s="8">
        <f>(1+Inputs!$B$15)^H9</f>
        <v>1</v>
      </c>
      <c r="I15" s="8">
        <f>(1+Inputs!$B$15)^I9</f>
        <v>1</v>
      </c>
      <c r="J15" s="8">
        <f>(1+Inputs!$B$15)^J9</f>
        <v>1</v>
      </c>
      <c r="K15" s="8">
        <f>(1+Inputs!$B$15)^K9</f>
        <v>1</v>
      </c>
      <c r="L15" s="8">
        <f>(1+Inputs!$B$15)^L9</f>
        <v>1</v>
      </c>
      <c r="M15" s="8">
        <f>(1+Inputs!$B$15)^M9</f>
        <v>1</v>
      </c>
      <c r="N15" s="8">
        <f>(1+Inputs!$B$15)^N9</f>
        <v>1</v>
      </c>
      <c r="O15" s="8">
        <f>(1+Inputs!$B$15)^O9</f>
        <v>1</v>
      </c>
      <c r="P15" s="8">
        <f>(1+Inputs!$B$15)^P9</f>
        <v>1</v>
      </c>
      <c r="Q15" s="8">
        <f>(1+Inputs!$B$15)^Q9</f>
        <v>1</v>
      </c>
      <c r="R15" s="8">
        <f>(1+Inputs!$B$15)^R9</f>
        <v>1</v>
      </c>
      <c r="S15" s="8">
        <f>(1+Inputs!$B$15)^S9</f>
        <v>1</v>
      </c>
      <c r="T15" s="8">
        <f>(1+Inputs!$B$15)^T9</f>
        <v>1</v>
      </c>
      <c r="U15" s="8">
        <f>(1+Inputs!$B$15)^U9</f>
        <v>1</v>
      </c>
      <c r="V15" s="8">
        <f>(1+Inputs!$B$15)^V9</f>
        <v>1</v>
      </c>
      <c r="W15" s="8">
        <f>(1+Inputs!$B$15)^W9</f>
        <v>1</v>
      </c>
      <c r="X15" s="8">
        <f>(1+Inputs!$B$15)^X9</f>
        <v>1</v>
      </c>
      <c r="Y15" s="8">
        <f>(1+Inputs!$B$15)^Y9</f>
        <v>1</v>
      </c>
      <c r="Z15" s="8">
        <f>(1+Inputs!$B$15)^Z9</f>
        <v>1</v>
      </c>
      <c r="AA15" s="8">
        <f>(1+Inputs!$B$15)^AA9</f>
        <v>1</v>
      </c>
      <c r="AB15" s="8">
        <f>(1+Inputs!$B$15)^AB9</f>
        <v>1</v>
      </c>
      <c r="AC15" s="8">
        <f>(1+Inputs!$B$15)^AC9</f>
        <v>1</v>
      </c>
      <c r="AD15" s="8">
        <f>(1+Inputs!$B$15)^AD9</f>
        <v>1</v>
      </c>
      <c r="AE15" s="8">
        <f>(1+Inputs!$B$15)^AE9</f>
        <v>1</v>
      </c>
      <c r="AF15" s="8">
        <f>(1+Inputs!$B$15)^AF9</f>
        <v>1</v>
      </c>
      <c r="AG15" s="8">
        <f>(1+Inputs!$B$15)^AG9</f>
        <v>1</v>
      </c>
      <c r="AH15" s="8">
        <f>(1+Inputs!$B$15)^AH9</f>
        <v>1</v>
      </c>
      <c r="AI15" s="8">
        <f>(1+Inputs!$B$15)^AI9</f>
        <v>1</v>
      </c>
      <c r="AJ15" s="8">
        <f>(1+Inputs!$B$15)^AJ9</f>
        <v>1</v>
      </c>
      <c r="AK15" s="8">
        <f>(1+Inputs!$B$15)^AK9</f>
        <v>1</v>
      </c>
      <c r="AL15" s="8">
        <f>(1+Inputs!$B$15)^AL9</f>
        <v>1</v>
      </c>
      <c r="AM15" s="8">
        <f>(1+Inputs!$B$15)^AM9</f>
        <v>1</v>
      </c>
      <c r="AN15" s="8">
        <f>(1+Inputs!$B$15)^AN9</f>
        <v>1</v>
      </c>
      <c r="AO15" s="8">
        <f>(1+Inputs!$B$15)^AO9</f>
        <v>1</v>
      </c>
      <c r="AP15" s="8">
        <f>(1+Inputs!$B$15)^AP9</f>
        <v>1</v>
      </c>
      <c r="AQ15" s="8">
        <f>(1+Inputs!$B$15)^AQ9</f>
        <v>1</v>
      </c>
      <c r="AR15" s="8">
        <f>(1+Inputs!$B$15)^AR9</f>
        <v>1</v>
      </c>
      <c r="AS15" s="8">
        <f>(1+Inputs!$B$15)^AS9</f>
        <v>1</v>
      </c>
      <c r="AT15" s="8">
        <f>(1+Inputs!$B$15)^AT9</f>
        <v>1</v>
      </c>
      <c r="AU15" s="8">
        <f>(1+Inputs!$B$15)^AU9</f>
        <v>1</v>
      </c>
      <c r="AV15" s="8">
        <f>(1+Inputs!$B$15)^AV9</f>
        <v>1</v>
      </c>
      <c r="AW15" s="8">
        <f>(1+Inputs!$B$15)^AW9</f>
        <v>1</v>
      </c>
      <c r="AX15" s="8">
        <f>(1+Inputs!$B$15)^AX9</f>
        <v>1</v>
      </c>
      <c r="AY15" s="8">
        <f>(1+Inputs!$B$15)^AY9</f>
        <v>1</v>
      </c>
      <c r="AZ15" s="8">
        <f>(1+Inputs!$B$15)^AZ9</f>
        <v>1</v>
      </c>
      <c r="BA15" s="8">
        <f>(1+Inputs!$B$15)^BA9</f>
        <v>1</v>
      </c>
      <c r="BB15" s="8">
        <f>(1+Inputs!$B$15)^BB9</f>
        <v>1</v>
      </c>
      <c r="BC15" s="8">
        <f>(1+Inputs!$B$15)^BC9</f>
        <v>1</v>
      </c>
      <c r="BD15" s="8">
        <f>(1+Inputs!$B$15)^BD9</f>
        <v>1</v>
      </c>
      <c r="BE15" s="8">
        <f>(1+Inputs!$B$15)^BE9</f>
        <v>1</v>
      </c>
      <c r="BF15" s="8">
        <f>(1+Inputs!$B$15)^BF9</f>
        <v>1</v>
      </c>
      <c r="BG15" s="8">
        <f>(1+Inputs!$B$15)^BG9</f>
        <v>1</v>
      </c>
      <c r="BH15" s="8">
        <f>(1+Inputs!$B$15)^BH9</f>
        <v>1</v>
      </c>
      <c r="BI15" s="8">
        <f>(1+Inputs!$B$15)^BI9</f>
        <v>1</v>
      </c>
      <c r="BJ15" s="8">
        <f>(1+Inputs!$B$15)^BJ9</f>
        <v>1</v>
      </c>
      <c r="BK15" s="8">
        <f>(1+Inputs!$B$15)^BK9</f>
        <v>1</v>
      </c>
      <c r="BL15" s="8">
        <f>(1+Inputs!$B$15)^BL9</f>
        <v>1</v>
      </c>
      <c r="BM15" s="8">
        <f>(1+Inputs!$B$15)^BM9</f>
        <v>1</v>
      </c>
      <c r="BN15" s="8">
        <f>(1+Inputs!$B$15)^BN9</f>
        <v>1</v>
      </c>
      <c r="BO15" s="8">
        <f>(1+Inputs!$B$15)^BO9</f>
        <v>1</v>
      </c>
      <c r="BP15" s="8">
        <f>(1+Inputs!$B$15)^BP9</f>
        <v>1</v>
      </c>
      <c r="BQ15" s="8">
        <f>(1+Inputs!$B$15)^BQ9</f>
        <v>1</v>
      </c>
      <c r="BR15" s="8">
        <f>(1+Inputs!$B$15)^BR9</f>
        <v>1</v>
      </c>
      <c r="BS15" s="8">
        <f>(1+Inputs!$B$15)^BS9</f>
        <v>1</v>
      </c>
      <c r="BT15" s="8">
        <f>(1+Inputs!$B$15)^BT9</f>
        <v>1</v>
      </c>
      <c r="BU15" s="8">
        <f>(1+Inputs!$B$15)^BU9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Inputs!$B$14 * D15</f>
        <v>65</v>
      </c>
      <c r="E16" s="8">
        <f>Inputs!$B$14 * E15</f>
        <v>65</v>
      </c>
      <c r="F16" s="8">
        <f>Inputs!$B$14 * F15</f>
        <v>65</v>
      </c>
      <c r="G16" s="8">
        <f>Inputs!$B$14 * G15</f>
        <v>65</v>
      </c>
      <c r="H16" s="8">
        <f>Inputs!$B$14 * H15</f>
        <v>65</v>
      </c>
      <c r="I16" s="8">
        <f>Inputs!$B$14 * I15</f>
        <v>65</v>
      </c>
      <c r="J16" s="8">
        <f>Inputs!$B$14 * J15</f>
        <v>65</v>
      </c>
      <c r="K16" s="8">
        <f>Inputs!$B$14 * K15</f>
        <v>65</v>
      </c>
      <c r="L16" s="8">
        <f>Inputs!$B$14 * L15</f>
        <v>65</v>
      </c>
      <c r="M16" s="8">
        <f>Inputs!$B$14 * M15</f>
        <v>65</v>
      </c>
      <c r="N16" s="8">
        <f>Inputs!$B$14 * N15</f>
        <v>65</v>
      </c>
      <c r="O16" s="8">
        <f>Inputs!$B$14 * O15</f>
        <v>65</v>
      </c>
      <c r="P16" s="8">
        <f>Inputs!$B$14 * P15</f>
        <v>65</v>
      </c>
      <c r="Q16" s="8">
        <f>Inputs!$B$14 * Q15</f>
        <v>65</v>
      </c>
      <c r="R16" s="8">
        <f>Inputs!$B$14 * R15</f>
        <v>65</v>
      </c>
      <c r="S16" s="8">
        <f>Inputs!$B$14 * S15</f>
        <v>65</v>
      </c>
      <c r="T16" s="8">
        <f>Inputs!$B$14 * T15</f>
        <v>65</v>
      </c>
      <c r="U16" s="8">
        <f>Inputs!$B$14 * U15</f>
        <v>65</v>
      </c>
      <c r="V16" s="8">
        <f>Inputs!$B$14 * V15</f>
        <v>65</v>
      </c>
      <c r="W16" s="8">
        <f>Inputs!$B$14 * W15</f>
        <v>65</v>
      </c>
      <c r="X16" s="8">
        <f>Inputs!$B$14 * X15</f>
        <v>65</v>
      </c>
      <c r="Y16" s="8">
        <f>Inputs!$B$14 * Y15</f>
        <v>65</v>
      </c>
      <c r="Z16" s="8">
        <f>Inputs!$B$14 * Z15</f>
        <v>65</v>
      </c>
      <c r="AA16" s="8">
        <f>Inputs!$B$14 * AA15</f>
        <v>65</v>
      </c>
      <c r="AB16" s="8">
        <f>Inputs!$B$14 * AB15</f>
        <v>65</v>
      </c>
      <c r="AC16" s="8">
        <f>Inputs!$B$14 * AC15</f>
        <v>65</v>
      </c>
      <c r="AD16" s="8">
        <f>Inputs!$B$14 * AD15</f>
        <v>65</v>
      </c>
      <c r="AE16" s="8">
        <f>Inputs!$B$14 * AE15</f>
        <v>65</v>
      </c>
      <c r="AF16" s="8">
        <f>Inputs!$B$14 * AF15</f>
        <v>65</v>
      </c>
      <c r="AG16" s="8">
        <f>Inputs!$B$14 * AG15</f>
        <v>65</v>
      </c>
      <c r="AH16" s="8">
        <f>Inputs!$B$14 * AH15</f>
        <v>65</v>
      </c>
      <c r="AI16" s="8">
        <f>Inputs!$B$14 * AI15</f>
        <v>65</v>
      </c>
      <c r="AJ16" s="8">
        <f>Inputs!$B$14 * AJ15</f>
        <v>65</v>
      </c>
      <c r="AK16" s="8">
        <f>Inputs!$B$14 * AK15</f>
        <v>65</v>
      </c>
      <c r="AL16" s="8">
        <f>Inputs!$B$14 * AL15</f>
        <v>65</v>
      </c>
      <c r="AM16" s="8">
        <f>Inputs!$B$14 * AM15</f>
        <v>65</v>
      </c>
      <c r="AN16" s="8">
        <f>Inputs!$B$14 * AN15</f>
        <v>65</v>
      </c>
      <c r="AO16" s="8">
        <f>Inputs!$B$14 * AO15</f>
        <v>65</v>
      </c>
      <c r="AP16" s="8">
        <f>Inputs!$B$14 * AP15</f>
        <v>65</v>
      </c>
      <c r="AQ16" s="8">
        <f>Inputs!$B$14 * AQ15</f>
        <v>65</v>
      </c>
      <c r="AR16" s="8">
        <f>Inputs!$B$14 * AR15</f>
        <v>65</v>
      </c>
      <c r="AS16" s="8">
        <f>Inputs!$B$14 * AS15</f>
        <v>65</v>
      </c>
      <c r="AT16" s="8">
        <f>Inputs!$B$14 * AT15</f>
        <v>65</v>
      </c>
      <c r="AU16" s="8">
        <f>Inputs!$B$14 * AU15</f>
        <v>65</v>
      </c>
      <c r="AV16" s="8">
        <f>Inputs!$B$14 * AV15</f>
        <v>65</v>
      </c>
      <c r="AW16" s="8">
        <f>Inputs!$B$14 * AW15</f>
        <v>65</v>
      </c>
      <c r="AX16" s="8">
        <f>Inputs!$B$14 * AX15</f>
        <v>65</v>
      </c>
      <c r="AY16" s="8">
        <f>Inputs!$B$14 * AY15</f>
        <v>65</v>
      </c>
      <c r="AZ16" s="8">
        <f>Inputs!$B$14 * AZ15</f>
        <v>65</v>
      </c>
      <c r="BA16" s="8">
        <f>Inputs!$B$14 * BA15</f>
        <v>65</v>
      </c>
      <c r="BB16" s="8">
        <f>Inputs!$B$14 * BB15</f>
        <v>65</v>
      </c>
      <c r="BC16" s="8">
        <f>Inputs!$B$14 * BC15</f>
        <v>65</v>
      </c>
      <c r="BD16" s="8">
        <f>Inputs!$B$14 * BD15</f>
        <v>65</v>
      </c>
      <c r="BE16" s="8">
        <f>Inputs!$B$14 * BE15</f>
        <v>65</v>
      </c>
      <c r="BF16" s="8">
        <f>Inputs!$B$14 * BF15</f>
        <v>65</v>
      </c>
      <c r="BG16" s="8">
        <f>Inputs!$B$14 * BG15</f>
        <v>65</v>
      </c>
      <c r="BH16" s="8">
        <f>Inputs!$B$14 * BH15</f>
        <v>65</v>
      </c>
      <c r="BI16" s="8">
        <f>Inputs!$B$14 * BI15</f>
        <v>65</v>
      </c>
      <c r="BJ16" s="8">
        <f>Inputs!$B$14 * BJ15</f>
        <v>65</v>
      </c>
      <c r="BK16" s="8">
        <f>Inputs!$B$14 * BK15</f>
        <v>65</v>
      </c>
      <c r="BL16" s="8">
        <f>Inputs!$B$14 * BL15</f>
        <v>65</v>
      </c>
      <c r="BM16" s="8">
        <f>Inputs!$B$14 * BM15</f>
        <v>65</v>
      </c>
      <c r="BN16" s="8">
        <f>Inputs!$B$14 * BN15</f>
        <v>65</v>
      </c>
      <c r="BO16" s="8">
        <f>Inputs!$B$14 * BO15</f>
        <v>65</v>
      </c>
      <c r="BP16" s="8">
        <f>Inputs!$B$14 * BP15</f>
        <v>65</v>
      </c>
      <c r="BQ16" s="8">
        <f>Inputs!$B$14 * BQ15</f>
        <v>65</v>
      </c>
      <c r="BR16" s="8">
        <f>Inputs!$B$14 * BR15</f>
        <v>65</v>
      </c>
      <c r="BS16" s="8">
        <f>Inputs!$B$14 * BS15</f>
        <v>65</v>
      </c>
      <c r="BT16" s="8">
        <f>Inputs!$B$14 * BT15</f>
        <v>65</v>
      </c>
      <c r="BU16" s="8">
        <f>Inputs!$B$14 * BU15</f>
        <v>65</v>
      </c>
    </row>
    <row r="17" spans="1:73">
      <c r="A17" t="s">
        <v>233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56" t="s">
        <v>241</v>
      </c>
      <c r="B18" s="56"/>
      <c r="C18" s="56"/>
    </row>
    <row r="19" spans="1:73">
      <c r="A19" t="s">
        <v>240</v>
      </c>
      <c r="B19" t="s">
        <v>165</v>
      </c>
      <c r="C19">
        <f>C13 - INDEX(Data_Energy!N16:N18,C10)*Inputs!$B$10</f>
        <v>0</v>
      </c>
      <c r="D19" s="37" t="s">
        <v>167</v>
      </c>
    </row>
    <row r="20" spans="1:73">
      <c r="A20" t="s">
        <v>237</v>
      </c>
      <c r="B20" t="s">
        <v>165</v>
      </c>
      <c r="C20">
        <f>IF(MIN(D17:BU17)&gt;=0,0,1)</f>
        <v>0</v>
      </c>
      <c r="D20" s="37" t="s">
        <v>167</v>
      </c>
    </row>
    <row r="21" spans="1:73" ht="15.75">
      <c r="A21" s="56" t="s">
        <v>247</v>
      </c>
      <c r="B21" s="56"/>
      <c r="C21" s="56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243</v>
      </c>
      <c r="B23" t="s">
        <v>39</v>
      </c>
      <c r="C23" t="s">
        <v>131</v>
      </c>
      <c r="D23" s="8">
        <f>(1+Inputs!$B$32)^D22</f>
        <v>1.0664710889029547</v>
      </c>
      <c r="E23" s="8">
        <f>(1+Inputs!$B$32)^E22</f>
        <v>1.0771049015547092</v>
      </c>
      <c r="F23" s="8">
        <f>(1+Inputs!$B$32)^F22</f>
        <v>1.0878447442458046</v>
      </c>
      <c r="G23" s="8">
        <f>(1+Inputs!$B$32)^G22</f>
        <v>1.0986321084498547</v>
      </c>
      <c r="H23" s="8">
        <f>(1+Inputs!$B$32)^H22</f>
        <v>1.1095865995148448</v>
      </c>
      <c r="I23" s="8">
        <f>(1+Inputs!$B$32)^I22</f>
        <v>1.1205895618660566</v>
      </c>
      <c r="J23" s="8">
        <f>(1+Inputs!$B$32)^J22</f>
        <v>1.1317629913048732</v>
      </c>
      <c r="K23" s="8">
        <f>(1+Inputs!$B$32)^K22</f>
        <v>1.1429858607855135</v>
      </c>
      <c r="L23" s="8">
        <f>(1+Inputs!$B$32)^L22</f>
        <v>1.1543826043387775</v>
      </c>
      <c r="M23" s="8">
        <f>(1+Inputs!$B$32)^M22</f>
        <v>1.1658929851364512</v>
      </c>
      <c r="N23" s="8">
        <f>(1+Inputs!$B$32)^N22</f>
        <v>1.1775181362586338</v>
      </c>
      <c r="O23" s="8">
        <f>(1+Inputs!$B$32)^O22</f>
        <v>1.1891947261947307</v>
      </c>
      <c r="P23" s="8">
        <f>(1+Inputs!$B$32)^P22</f>
        <v>1.2010522196199085</v>
      </c>
      <c r="Q23" s="8">
        <f>(1+Inputs!$B$32)^Q22</f>
        <v>1.2129621799241295</v>
      </c>
      <c r="R23" s="8">
        <f>(1+Inputs!$B$32)^R22</f>
        <v>1.2250566592861951</v>
      </c>
      <c r="S23" s="8">
        <f>(1+Inputs!$B$32)^S22</f>
        <v>1.2372046541395227</v>
      </c>
      <c r="T23" s="8">
        <f>(1+Inputs!$B$32)^T22</f>
        <v>1.2495408558808483</v>
      </c>
      <c r="U23" s="8">
        <f>(1+Inputs!$B$32)^U22</f>
        <v>1.2620000622300969</v>
      </c>
      <c r="V23" s="8">
        <f>(1+Inputs!$B$32)^V22</f>
        <v>1.2745834996696075</v>
      </c>
      <c r="W23" s="8">
        <f>(1+Inputs!$B$32)^W22</f>
        <v>1.2872226161355711</v>
      </c>
      <c r="X23" s="8">
        <f>(1+Inputs!$B$32)^X22</f>
        <v>1.300057548355972</v>
      </c>
      <c r="Y23" s="8">
        <f>(1+Inputs!$B$32)^Y22</f>
        <v>1.3129492724135841</v>
      </c>
      <c r="Z23" s="8">
        <f>(1+Inputs!$B$32)^Z22</f>
        <v>1.3260407258335405</v>
      </c>
      <c r="AA23" s="8">
        <f>(1+Inputs!$B$32)^AA22</f>
        <v>1.3391901061422966</v>
      </c>
      <c r="AB23" s="8">
        <f>(1+Inputs!$B$32)^AB22</f>
        <v>1.3525432076393555</v>
      </c>
      <c r="AC23" s="8">
        <f>(1+Inputs!$B$32)^AC22</f>
        <v>1.3660294532798583</v>
      </c>
      <c r="AD23" s="8">
        <f>(1+Inputs!$B$32)^AD22</f>
        <v>1.3796501706477327</v>
      </c>
      <c r="AE23" s="8">
        <f>(1+Inputs!$B$32)^AE22</f>
        <v>1.3933311567844771</v>
      </c>
      <c r="AF23" s="8">
        <f>(1+Inputs!$B$32)^AF22</f>
        <v>1.4072241001912593</v>
      </c>
      <c r="AG23" s="8">
        <f>(1+Inputs!$B$32)^AG22</f>
        <v>1.4211785169090643</v>
      </c>
      <c r="AH23" s="8">
        <f>(1+Inputs!$B$32)^AH22</f>
        <v>1.4353491271119672</v>
      </c>
      <c r="AI23" s="8">
        <f>(1+Inputs!$B$32)^AI22</f>
        <v>1.4495824392422354</v>
      </c>
      <c r="AJ23" s="8">
        <f>(1+Inputs!$B$32)^AJ22</f>
        <v>1.4640362657383961</v>
      </c>
      <c r="AK23" s="8">
        <f>(1+Inputs!$B$32)^AK22</f>
        <v>1.4786342117373361</v>
      </c>
      <c r="AL23" s="8">
        <f>(1+Inputs!$B$32)^AL22</f>
        <v>1.493377714258594</v>
      </c>
      <c r="AM23" s="8">
        <f>(1+Inputs!$B$32)^AM22</f>
        <v>1.5081864536335203</v>
      </c>
      <c r="AN23" s="8">
        <f>(1+Inputs!$B$32)^AN22</f>
        <v>1.5232246223740813</v>
      </c>
      <c r="AO23" s="8">
        <f>(1+Inputs!$B$32)^AO22</f>
        <v>1.5383293318034752</v>
      </c>
      <c r="AP23" s="8">
        <f>(1+Inputs!$B$32)^AP22</f>
        <v>1.5536680560139213</v>
      </c>
      <c r="AQ23" s="8">
        <f>(1+Inputs!$B$32)^AQ22</f>
        <v>1.5690746508070417</v>
      </c>
      <c r="AR23" s="8">
        <f>(1+Inputs!$B$32)^AR22</f>
        <v>1.5847199374415462</v>
      </c>
      <c r="AS23" s="8">
        <f>(1+Inputs!$B$32)^AS22</f>
        <v>1.6005212236607422</v>
      </c>
      <c r="AT23" s="8">
        <f>(1+Inputs!$B$32)^AT22</f>
        <v>1.6164800649407927</v>
      </c>
      <c r="AU23" s="8">
        <f>(1+Inputs!$B$32)^AU22</f>
        <v>1.6325095206892712</v>
      </c>
      <c r="AV23" s="8">
        <f>(1+Inputs!$B$32)^AV22</f>
        <v>1.6487873181615613</v>
      </c>
      <c r="AW23" s="8">
        <f>(1+Inputs!$B$32)^AW22</f>
        <v>1.6651371414153926</v>
      </c>
      <c r="AX23" s="8">
        <f>(1+Inputs!$B$32)^AX22</f>
        <v>1.6817402697941497</v>
      </c>
      <c r="AY23" s="8">
        <f>(1+Inputs!$B$32)^AY22</f>
        <v>1.698416863474312</v>
      </c>
      <c r="AZ23" s="8">
        <f>(1+Inputs!$B$32)^AZ22</f>
        <v>1.715351824879918</v>
      </c>
      <c r="BA23" s="8">
        <f>(1+Inputs!$B$32)^BA22</f>
        <v>1.7324556452529403</v>
      </c>
      <c r="BB23" s="8">
        <f>(1+Inputs!$B$32)^BB22</f>
        <v>1.7497300082908027</v>
      </c>
      <c r="BC23" s="8">
        <f>(1+Inputs!$B$32)^BC22</f>
        <v>1.7670808067002528</v>
      </c>
      <c r="BD23" s="8">
        <f>(1+Inputs!$B$32)^BD22</f>
        <v>1.7847004181782262</v>
      </c>
      <c r="BE23" s="8">
        <f>(1+Inputs!$B$32)^BE22</f>
        <v>1.8023979926784888</v>
      </c>
      <c r="BF23" s="8">
        <f>(1+Inputs!$B$32)^BF22</f>
        <v>1.8203697527922644</v>
      </c>
      <c r="BG23" s="8">
        <f>(1+Inputs!$B$32)^BG22</f>
        <v>1.8384210341109248</v>
      </c>
      <c r="BH23" s="8">
        <f>(1+Inputs!$B$32)^BH22</f>
        <v>1.8567519809647113</v>
      </c>
      <c r="BI23" s="8">
        <f>(1+Inputs!$B$32)^BI22</f>
        <v>1.8752657061953342</v>
      </c>
      <c r="BJ23" s="8">
        <f>(1+Inputs!$B$32)^BJ22</f>
        <v>1.8939640322910316</v>
      </c>
      <c r="BK23" s="8">
        <f>(1+Inputs!$B$32)^BK22</f>
        <v>1.9127450944910973</v>
      </c>
      <c r="BL23" s="8">
        <f>(1+Inputs!$B$32)^BL22</f>
        <v>1.9318171286015606</v>
      </c>
      <c r="BM23" s="8">
        <f>(1+Inputs!$B$32)^BM22</f>
        <v>1.950973552394641</v>
      </c>
      <c r="BN23" s="8">
        <f>(1+Inputs!$B$32)^BN22</f>
        <v>1.970426763513597</v>
      </c>
      <c r="BO23" s="8">
        <f>(1+Inputs!$B$32)^BO22</f>
        <v>1.989966050942122</v>
      </c>
      <c r="BP23" s="8">
        <f>(1+Inputs!$B$32)^BP22</f>
        <v>2.0098080573399115</v>
      </c>
      <c r="BQ23" s="8">
        <f>(1+Inputs!$B$32)^BQ22</f>
        <v>2.0298479089309409</v>
      </c>
      <c r="BR23" s="8">
        <f>(1+Inputs!$B$32)^BR22</f>
        <v>2.0500875784350909</v>
      </c>
      <c r="BS23" s="8">
        <f>(1+Inputs!$B$32)^BS22</f>
        <v>2.0704168041594029</v>
      </c>
      <c r="BT23" s="8">
        <f>(1+Inputs!$B$32)^BT22</f>
        <v>2.0910609872371855</v>
      </c>
      <c r="BU23" s="8">
        <f>(1+Inputs!$B$32)^BU22</f>
        <v>2.1117965164214043</v>
      </c>
    </row>
    <row r="24" spans="1:73">
      <c r="A24" t="s">
        <v>249</v>
      </c>
      <c r="B24" t="s">
        <v>184</v>
      </c>
      <c r="C24" s="8">
        <f>SUM(D24:BU24)</f>
        <v>44784592.120154262</v>
      </c>
      <c r="D24" s="8">
        <f>Inputs!$B$30 * Construction!$C$10 / 2 * D23 * D8</f>
        <v>0</v>
      </c>
      <c r="E24" s="8">
        <f>Inputs!$B$30 * Construction!$C$10 / 2 * E23 * E8</f>
        <v>0</v>
      </c>
      <c r="F24" s="8">
        <f>Inputs!$B$30 * Construction!$C$10 / 2 * F23 * F8</f>
        <v>0</v>
      </c>
      <c r="G24" s="8">
        <f>Inputs!$B$30 * Construction!$C$10 / 2 * G23 * G8</f>
        <v>0</v>
      </c>
      <c r="H24" s="8">
        <f>Inputs!$B$30 * Construction!$C$10 / 2 * H23 * H8</f>
        <v>549245.3667598482</v>
      </c>
      <c r="I24" s="8">
        <f>Inputs!$B$30 * Construction!$C$10 / 2 * I23 * I8</f>
        <v>554691.83312369802</v>
      </c>
      <c r="J24" s="8">
        <f>Inputs!$B$30 * Construction!$C$10 / 2 * J23 * J8</f>
        <v>560222.68069591222</v>
      </c>
      <c r="K24" s="8">
        <f>Inputs!$B$30 * Construction!$C$10 / 2 * K23 * K8</f>
        <v>565778.00108882913</v>
      </c>
      <c r="L24" s="8">
        <f>Inputs!$B$30 * Construction!$C$10 / 2 * L23 * L8</f>
        <v>571419.3891476948</v>
      </c>
      <c r="M24" s="8">
        <f>Inputs!$B$30 * Construction!$C$10 / 2 * M23 * M8</f>
        <v>577117.02764254331</v>
      </c>
      <c r="N24" s="8">
        <f>Inputs!$B$30 * Construction!$C$10 / 2 * N23 * N8</f>
        <v>582871.47744802374</v>
      </c>
      <c r="O24" s="8">
        <f>Inputs!$B$30 * Construction!$C$10 / 2 * O23 * O8</f>
        <v>588651.38946639164</v>
      </c>
      <c r="P24" s="8">
        <f>Inputs!$B$30 * Construction!$C$10 / 2 * P23 * P8</f>
        <v>594520.84871185466</v>
      </c>
      <c r="Q24" s="8">
        <f>Inputs!$B$30 * Construction!$C$10 / 2 * Q23 * Q8</f>
        <v>600416.27906244411</v>
      </c>
      <c r="R24" s="8">
        <f>Inputs!$B$30 * Construction!$C$10 / 2 * R23 * R8</f>
        <v>606403.04634666652</v>
      </c>
      <c r="S24" s="8">
        <f>Inputs!$B$30 * Construction!$C$10 / 2 * S23 * S8</f>
        <v>612416.30379906378</v>
      </c>
      <c r="T24" s="8">
        <f>Inputs!$B$30 * Construction!$C$10 / 2 * T23 * T8</f>
        <v>618522.72366101993</v>
      </c>
      <c r="U24" s="8">
        <f>Inputs!$B$30 * Construction!$C$10 / 2 * U23 * U8</f>
        <v>624690.030803898</v>
      </c>
      <c r="V24" s="8">
        <f>Inputs!$B$30 * Construction!$C$10 / 2 * V23 * V8</f>
        <v>630918.8323364557</v>
      </c>
      <c r="W24" s="8">
        <f>Inputs!$B$30 * Construction!$C$10 / 2 * W23 * W8</f>
        <v>637175.19498710765</v>
      </c>
      <c r="X24" s="8">
        <f>Inputs!$B$30 * Construction!$C$10 / 2 * X23 * X8</f>
        <v>643528.48643620615</v>
      </c>
      <c r="Y24" s="8">
        <f>Inputs!$B$30 * Construction!$C$10 / 2 * Y23 * Y8</f>
        <v>649909.88984472409</v>
      </c>
      <c r="Z24" s="8">
        <f>Inputs!$B$30 * Construction!$C$10 / 2 * Z23 * Z8</f>
        <v>656390.15928760252</v>
      </c>
      <c r="AA24" s="8">
        <f>Inputs!$B$30 * Construction!$C$10 / 2 * AA23 * AA8</f>
        <v>662899.10254043678</v>
      </c>
      <c r="AB24" s="8">
        <f>Inputs!$B$30 * Construction!$C$10 / 2 * AB23 * AB8</f>
        <v>669508.88778148103</v>
      </c>
      <c r="AC24" s="8">
        <f>Inputs!$B$30 * Construction!$C$10 / 2 * AC23 * AC8</f>
        <v>676184.57937352988</v>
      </c>
      <c r="AD24" s="8">
        <f>Inputs!$B$30 * Construction!$C$10 / 2 * AD23 * AD8</f>
        <v>682926.83447062771</v>
      </c>
      <c r="AE24" s="8">
        <f>Inputs!$B$30 * Construction!$C$10 / 2 * AE23 * AE8</f>
        <v>689698.92260831618</v>
      </c>
      <c r="AF24" s="8">
        <f>Inputs!$B$30 * Construction!$C$10 / 2 * AF23 * AF8</f>
        <v>696575.92959467333</v>
      </c>
      <c r="AG24" s="8">
        <f>Inputs!$B$30 * Construction!$C$10 / 2 * AG23 * AG8</f>
        <v>703483.36586998682</v>
      </c>
      <c r="AH24" s="8">
        <f>Inputs!$B$30 * Construction!$C$10 / 2 * AH23 * AH8</f>
        <v>710497.81792042369</v>
      </c>
      <c r="AI24" s="8">
        <f>Inputs!$B$30 * Construction!$C$10 / 2 * AI23 * AI8</f>
        <v>717543.30742490652</v>
      </c>
      <c r="AJ24" s="8">
        <f>Inputs!$B$30 * Construction!$C$10 / 2 * AJ23 * AJ8</f>
        <v>724697.9515405061</v>
      </c>
      <c r="AK24" s="8">
        <f>Inputs!$B$30 * Construction!$C$10 / 2 * AK23 * AK8</f>
        <v>731923.93480998138</v>
      </c>
      <c r="AL24" s="8">
        <f>Inputs!$B$30 * Construction!$C$10 / 2 * AL23 * AL8</f>
        <v>739221.96855800401</v>
      </c>
      <c r="AM24" s="8">
        <f>Inputs!$B$30 * Construction!$C$10 / 2 * AM23 * AM8</f>
        <v>746552.29454859253</v>
      </c>
      <c r="AN24" s="8">
        <f>Inputs!$B$30 * Construction!$C$10 / 2 * AN23 * AN8</f>
        <v>753996.18807517027</v>
      </c>
      <c r="AO24" s="8">
        <f>Inputs!$B$30 * Construction!$C$10 / 2 * AO23 * AO8</f>
        <v>761473.01924272021</v>
      </c>
      <c r="AP24" s="8">
        <f>Inputs!$B$30 * Construction!$C$10 / 2 * AP23 * AP8</f>
        <v>769065.68772689102</v>
      </c>
      <c r="AQ24" s="8">
        <f>Inputs!$B$30 * Construction!$C$10 / 2 * AQ23 * AQ8</f>
        <v>776691.95214948559</v>
      </c>
      <c r="AR24" s="8">
        <f>Inputs!$B$30 * Construction!$C$10 / 2 * AR23 * AR8</f>
        <v>784436.3690335654</v>
      </c>
      <c r="AS24" s="8">
        <f>Inputs!$B$30 * Construction!$C$10 / 2 * AS23 * AS8</f>
        <v>792258.00571206736</v>
      </c>
      <c r="AT24" s="8">
        <f>Inputs!$B$30 * Construction!$C$10 / 2 * AT23 * AT8</f>
        <v>800157.63214569236</v>
      </c>
      <c r="AU24" s="8">
        <f>Inputs!$B$30 * Construction!$C$10 / 2 * AU23 * AU8</f>
        <v>808092.21274118929</v>
      </c>
      <c r="AV24" s="8">
        <f>Inputs!$B$30 * Construction!$C$10 / 2 * AV23 * AV8</f>
        <v>816149.72248997283</v>
      </c>
      <c r="AW24" s="8">
        <f>Inputs!$B$30 * Construction!$C$10 / 2 * AW23 * AW8</f>
        <v>824242.88500061934</v>
      </c>
      <c r="AX24" s="8">
        <f>Inputs!$B$30 * Construction!$C$10 / 2 * AX23 * AX8</f>
        <v>832461.43354810413</v>
      </c>
      <c r="AY24" s="8">
        <f>Inputs!$B$30 * Construction!$C$10 / 2 * AY23 * AY8</f>
        <v>840716.3474197844</v>
      </c>
      <c r="AZ24" s="8">
        <f>Inputs!$B$30 * Construction!$C$10 / 2 * AZ23 * AZ8</f>
        <v>849099.15331555938</v>
      </c>
      <c r="BA24" s="8">
        <f>Inputs!$B$30 * Construction!$C$10 / 2 * BA23 * BA8</f>
        <v>857565.54440020549</v>
      </c>
      <c r="BB24" s="8">
        <f>Inputs!$B$30 * Construction!$C$10 / 2 * BB23 * BB8</f>
        <v>866116.35410394729</v>
      </c>
      <c r="BC24" s="8">
        <f>Inputs!$B$30 * Construction!$C$10 / 2 * BC23 * BC8</f>
        <v>874704.99931662518</v>
      </c>
      <c r="BD24" s="8">
        <f>Inputs!$B$30 * Construction!$C$10 / 2 * BD23 * BD8</f>
        <v>883426.70699822193</v>
      </c>
      <c r="BE24" s="8">
        <f>Inputs!$B$30 * Construction!$C$10 / 2 * BE23 * BE8</f>
        <v>892187.00637585192</v>
      </c>
      <c r="BF24" s="8">
        <f>Inputs!$B$30 * Construction!$C$10 / 2 * BF23 * BF8</f>
        <v>901083.02763217094</v>
      </c>
      <c r="BG24" s="8">
        <f>Inputs!$B$30 * Construction!$C$10 / 2 * BG23 * BG8</f>
        <v>910018.41188490775</v>
      </c>
      <c r="BH24" s="8">
        <f>Inputs!$B$30 * Construction!$C$10 / 2 * BH23 * BH8</f>
        <v>919092.23057753209</v>
      </c>
      <c r="BI24" s="8">
        <f>Inputs!$B$30 * Construction!$C$10 / 2 * BI23 * BI8</f>
        <v>928256.52456669044</v>
      </c>
      <c r="BJ24" s="8">
        <f>Inputs!$B$30 * Construction!$C$10 / 2 * BJ23 * BJ8</f>
        <v>937512.19598406064</v>
      </c>
      <c r="BK24" s="8">
        <f>Inputs!$B$30 * Construction!$C$10 / 2 * BK23 * BK8</f>
        <v>946808.82177309319</v>
      </c>
      <c r="BL24" s="8">
        <f>Inputs!$B$30 * Construction!$C$10 / 2 * BL23 * BL8</f>
        <v>956249.47865777253</v>
      </c>
      <c r="BM24" s="8">
        <f>Inputs!$B$30 * Construction!$C$10 / 2 * BM23 * BM8</f>
        <v>965731.90843534726</v>
      </c>
      <c r="BN24" s="8">
        <f>Inputs!$B$30 * Construction!$C$10 / 2 * BN23 * BN8</f>
        <v>975361.24793923052</v>
      </c>
      <c r="BO24" s="8">
        <f>Inputs!$B$30 * Construction!$C$10 / 2 * BO23 * BO8</f>
        <v>985033.19521635037</v>
      </c>
      <c r="BP24" s="8">
        <f>Inputs!$B$30 * Construction!$C$10 / 2 * BP23 * BP8</f>
        <v>0</v>
      </c>
      <c r="BQ24" s="8">
        <f>Inputs!$B$30 * Construction!$C$10 / 2 * BQ23 * BQ8</f>
        <v>0</v>
      </c>
      <c r="BR24" s="8">
        <f>Inputs!$B$30 * Construction!$C$10 / 2 * BR23 * BR8</f>
        <v>0</v>
      </c>
      <c r="BS24" s="8">
        <f>Inputs!$B$30 * Construction!$C$10 / 2 * BS23 * BS8</f>
        <v>0</v>
      </c>
      <c r="BT24" s="8">
        <f>Inputs!$B$30 * Construction!$C$10 / 2 * BT23 * BT8</f>
        <v>0</v>
      </c>
      <c r="BU24" s="8">
        <f>Inputs!$B$30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Inputs!$B$31 * D23</f>
        <v>0</v>
      </c>
      <c r="E25" s="8">
        <f>E14 * Inputs!$B$31 * E23</f>
        <v>0</v>
      </c>
      <c r="F25" s="8">
        <f>F14 * Inputs!$B$31 * F23</f>
        <v>0</v>
      </c>
      <c r="G25" s="8">
        <f>G14 * Inputs!$B$31 * G23</f>
        <v>0</v>
      </c>
      <c r="H25" s="8">
        <f>H14 * Inputs!$B$31 * H23</f>
        <v>0</v>
      </c>
      <c r="I25" s="8">
        <f>I14 * Inputs!$B$31 * I23</f>
        <v>0</v>
      </c>
      <c r="J25" s="8">
        <f>J14 * Inputs!$B$31 * J23</f>
        <v>0</v>
      </c>
      <c r="K25" s="8">
        <f>K14 * Inputs!$B$31 * K23</f>
        <v>0</v>
      </c>
      <c r="L25" s="8">
        <f>L14 * Inputs!$B$31 * L23</f>
        <v>0</v>
      </c>
      <c r="M25" s="8">
        <f>M14 * Inputs!$B$31 * M23</f>
        <v>0</v>
      </c>
      <c r="N25" s="8">
        <f>N14 * Inputs!$B$31 * N23</f>
        <v>0</v>
      </c>
      <c r="O25" s="8">
        <f>O14 * Inputs!$B$31 * O23</f>
        <v>0</v>
      </c>
      <c r="P25" s="8">
        <f>P14 * Inputs!$B$31 * P23</f>
        <v>0</v>
      </c>
      <c r="Q25" s="8">
        <f>Q14 * Inputs!$B$31 * Q23</f>
        <v>0</v>
      </c>
      <c r="R25" s="8">
        <f>R14 * Inputs!$B$31 * R23</f>
        <v>0</v>
      </c>
      <c r="S25" s="8">
        <f>S14 * Inputs!$B$31 * S23</f>
        <v>0</v>
      </c>
      <c r="T25" s="8">
        <f>T14 * Inputs!$B$31 * T23</f>
        <v>0</v>
      </c>
      <c r="U25" s="8">
        <f>U14 * Inputs!$B$31 * U23</f>
        <v>0</v>
      </c>
      <c r="V25" s="8">
        <f>V14 * Inputs!$B$31 * V23</f>
        <v>0</v>
      </c>
      <c r="W25" s="8">
        <f>W14 * Inputs!$B$31 * W23</f>
        <v>0</v>
      </c>
      <c r="X25" s="8">
        <f>X14 * Inputs!$B$31 * X23</f>
        <v>0</v>
      </c>
      <c r="Y25" s="8">
        <f>Y14 * Inputs!$B$31 * Y23</f>
        <v>0</v>
      </c>
      <c r="Z25" s="8">
        <f>Z14 * Inputs!$B$31 * Z23</f>
        <v>0</v>
      </c>
      <c r="AA25" s="8">
        <f>AA14 * Inputs!$B$31 * AA23</f>
        <v>0</v>
      </c>
      <c r="AB25" s="8">
        <f>AB14 * Inputs!$B$31 * AB23</f>
        <v>0</v>
      </c>
      <c r="AC25" s="8">
        <f>AC14 * Inputs!$B$31 * AC23</f>
        <v>0</v>
      </c>
      <c r="AD25" s="8">
        <f>AD14 * Inputs!$B$31 * AD23</f>
        <v>0</v>
      </c>
      <c r="AE25" s="8">
        <f>AE14 * Inputs!$B$31 * AE23</f>
        <v>0</v>
      </c>
      <c r="AF25" s="8">
        <f>AF14 * Inputs!$B$31 * AF23</f>
        <v>0</v>
      </c>
      <c r="AG25" s="8">
        <f>AG14 * Inputs!$B$31 * AG23</f>
        <v>0</v>
      </c>
      <c r="AH25" s="8">
        <f>AH14 * Inputs!$B$31 * AH23</f>
        <v>0</v>
      </c>
      <c r="AI25" s="8">
        <f>AI14 * Inputs!$B$31 * AI23</f>
        <v>0</v>
      </c>
      <c r="AJ25" s="8">
        <f>AJ14 * Inputs!$B$31 * AJ23</f>
        <v>0</v>
      </c>
      <c r="AK25" s="8">
        <f>AK14 * Inputs!$B$31 * AK23</f>
        <v>0</v>
      </c>
      <c r="AL25" s="8">
        <f>AL14 * Inputs!$B$31 * AL23</f>
        <v>0</v>
      </c>
      <c r="AM25" s="8">
        <f>AM14 * Inputs!$B$31 * AM23</f>
        <v>0</v>
      </c>
      <c r="AN25" s="8">
        <f>AN14 * Inputs!$B$31 * AN23</f>
        <v>0</v>
      </c>
      <c r="AO25" s="8">
        <f>AO14 * Inputs!$B$31 * AO23</f>
        <v>0</v>
      </c>
      <c r="AP25" s="8">
        <f>AP14 * Inputs!$B$31 * AP23</f>
        <v>0</v>
      </c>
      <c r="AQ25" s="8">
        <f>AQ14 * Inputs!$B$31 * AQ23</f>
        <v>0</v>
      </c>
      <c r="AR25" s="8">
        <f>AR14 * Inputs!$B$31 * AR23</f>
        <v>0</v>
      </c>
      <c r="AS25" s="8">
        <f>AS14 * Inputs!$B$31 * AS23</f>
        <v>0</v>
      </c>
      <c r="AT25" s="8">
        <f>AT14 * Inputs!$B$31 * AT23</f>
        <v>0</v>
      </c>
      <c r="AU25" s="8">
        <f>AU14 * Inputs!$B$31 * AU23</f>
        <v>0</v>
      </c>
      <c r="AV25" s="8">
        <f>AV14 * Inputs!$B$31 * AV23</f>
        <v>0</v>
      </c>
      <c r="AW25" s="8">
        <f>AW14 * Inputs!$B$31 * AW23</f>
        <v>0</v>
      </c>
      <c r="AX25" s="8">
        <f>AX14 * Inputs!$B$31 * AX23</f>
        <v>0</v>
      </c>
      <c r="AY25" s="8">
        <f>AY14 * Inputs!$B$31 * AY23</f>
        <v>0</v>
      </c>
      <c r="AZ25" s="8">
        <f>AZ14 * Inputs!$B$31 * AZ23</f>
        <v>0</v>
      </c>
      <c r="BA25" s="8">
        <f>BA14 * Inputs!$B$31 * BA23</f>
        <v>0</v>
      </c>
      <c r="BB25" s="8">
        <f>BB14 * Inputs!$B$31 * BB23</f>
        <v>0</v>
      </c>
      <c r="BC25" s="8">
        <f>BC14 * Inputs!$B$31 * BC23</f>
        <v>0</v>
      </c>
      <c r="BD25" s="8">
        <f>BD14 * Inputs!$B$31 * BD23</f>
        <v>0</v>
      </c>
      <c r="BE25" s="8">
        <f>BE14 * Inputs!$B$31 * BE23</f>
        <v>0</v>
      </c>
      <c r="BF25" s="8">
        <f>BF14 * Inputs!$B$31 * BF23</f>
        <v>0</v>
      </c>
      <c r="BG25" s="8">
        <f>BG14 * Inputs!$B$31 * BG23</f>
        <v>0</v>
      </c>
      <c r="BH25" s="8">
        <f>BH14 * Inputs!$B$31 * BH23</f>
        <v>0</v>
      </c>
      <c r="BI25" s="8">
        <f>BI14 * Inputs!$B$31 * BI23</f>
        <v>0</v>
      </c>
      <c r="BJ25" s="8">
        <f>BJ14 * Inputs!$B$31 * BJ23</f>
        <v>0</v>
      </c>
      <c r="BK25" s="8">
        <f>BK14 * Inputs!$B$31 * BK23</f>
        <v>0</v>
      </c>
      <c r="BL25" s="8">
        <f>BL14 * Inputs!$B$31 * BL23</f>
        <v>0</v>
      </c>
      <c r="BM25" s="8">
        <f>BM14 * Inputs!$B$31 * BM23</f>
        <v>0</v>
      </c>
      <c r="BN25" s="8">
        <f>BN14 * Inputs!$B$31 * BN23</f>
        <v>0</v>
      </c>
      <c r="BO25" s="8">
        <f>BO14 * Inputs!$B$31 * BO23</f>
        <v>0</v>
      </c>
      <c r="BP25" s="8">
        <f>BP14 * Inputs!$B$31 * BP23</f>
        <v>0</v>
      </c>
      <c r="BQ25" s="8">
        <f>BQ14 * Inputs!$B$31 * BQ23</f>
        <v>0</v>
      </c>
      <c r="BR25" s="8">
        <f>BR14 * Inputs!$B$31 * BR23</f>
        <v>0</v>
      </c>
      <c r="BS25" s="8">
        <f>BS14 * Inputs!$B$31 * BS23</f>
        <v>0</v>
      </c>
      <c r="BT25" s="8">
        <f>BT14 * Inputs!$B$31 * BT23</f>
        <v>0</v>
      </c>
      <c r="BU25" s="8">
        <f>BU14 * Inputs!$B$31 * BU23</f>
        <v>0</v>
      </c>
    </row>
    <row r="26" spans="1:73">
      <c r="A26" t="s">
        <v>244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245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246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56" t="s">
        <v>207</v>
      </c>
      <c r="B29" s="56"/>
      <c r="C29" s="56"/>
    </row>
    <row r="30" spans="1:73">
      <c r="A30" t="s">
        <v>248</v>
      </c>
      <c r="B30" t="s">
        <v>165</v>
      </c>
      <c r="C30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6"/>
  <sheetViews>
    <sheetView tabSelected="1" topLeftCell="A4" workbookViewId="0">
      <pane xSplit="3" topLeftCell="D1" activePane="topRight" state="frozen"/>
      <selection pane="topRight" activeCell="C24" sqref="C24"/>
    </sheetView>
  </sheetViews>
  <sheetFormatPr baseColWidth="10" defaultColWidth="9.140625" defaultRowHeight="15"/>
  <cols>
    <col min="1" max="1" width="58.42578125" bestFit="1" customWidth="1"/>
    <col min="2" max="2" width="7.5703125" customWidth="1"/>
    <col min="3" max="3" width="16.28515625" customWidth="1"/>
    <col min="4" max="4" width="18.42578125" customWidth="1"/>
  </cols>
  <sheetData>
    <row r="1" spans="1:73" ht="18.75">
      <c r="A1" s="1" t="s">
        <v>54</v>
      </c>
    </row>
    <row r="2" spans="1:73">
      <c r="A2" t="s">
        <v>55</v>
      </c>
    </row>
    <row r="4" spans="1:73" ht="15.75">
      <c r="A4" s="56" t="s">
        <v>257</v>
      </c>
      <c r="B4" s="56"/>
      <c r="C4" s="56"/>
    </row>
    <row r="5" spans="1:73">
      <c r="A5" t="s">
        <v>145</v>
      </c>
      <c r="B5" t="s">
        <v>13</v>
      </c>
      <c r="C5" t="s">
        <v>187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Timeline!A21</f>
        <v>Operations flag</v>
      </c>
      <c r="B7" t="str">
        <f>Timeline!B21</f>
        <v>flag</v>
      </c>
      <c r="C7">
        <f>Timeline!C21</f>
        <v>60</v>
      </c>
      <c r="D7">
        <f>Timeline!D21</f>
        <v>0</v>
      </c>
      <c r="E7">
        <f>Timeline!E21</f>
        <v>0</v>
      </c>
      <c r="F7">
        <f>Timeline!F21</f>
        <v>0</v>
      </c>
      <c r="G7">
        <f>Timeline!G21</f>
        <v>0</v>
      </c>
      <c r="H7">
        <f>Timeline!H21</f>
        <v>1</v>
      </c>
      <c r="I7">
        <f>Timeline!I21</f>
        <v>1</v>
      </c>
      <c r="J7">
        <f>Timeline!J21</f>
        <v>1</v>
      </c>
      <c r="K7">
        <f>Timeline!K21</f>
        <v>1</v>
      </c>
      <c r="L7">
        <f>Timeline!L21</f>
        <v>1</v>
      </c>
      <c r="M7">
        <f>Timeline!M21</f>
        <v>1</v>
      </c>
      <c r="N7">
        <f>Timeline!N21</f>
        <v>1</v>
      </c>
      <c r="O7">
        <f>Timeline!O21</f>
        <v>1</v>
      </c>
      <c r="P7">
        <f>Timeline!P21</f>
        <v>1</v>
      </c>
      <c r="Q7">
        <f>Timeline!Q21</f>
        <v>1</v>
      </c>
      <c r="R7">
        <f>Timeline!R21</f>
        <v>1</v>
      </c>
      <c r="S7">
        <f>Timeline!S21</f>
        <v>1</v>
      </c>
      <c r="T7">
        <f>Timeline!T21</f>
        <v>1</v>
      </c>
      <c r="U7">
        <f>Timeline!U21</f>
        <v>1</v>
      </c>
      <c r="V7">
        <f>Timeline!V21</f>
        <v>1</v>
      </c>
      <c r="W7">
        <f>Timeline!W21</f>
        <v>1</v>
      </c>
      <c r="X7">
        <f>Timeline!X21</f>
        <v>1</v>
      </c>
      <c r="Y7">
        <f>Timeline!Y21</f>
        <v>1</v>
      </c>
      <c r="Z7">
        <f>Timeline!Z21</f>
        <v>1</v>
      </c>
      <c r="AA7">
        <f>Timeline!AA21</f>
        <v>1</v>
      </c>
      <c r="AB7">
        <f>Timeline!AB21</f>
        <v>1</v>
      </c>
      <c r="AC7">
        <f>Timeline!AC21</f>
        <v>1</v>
      </c>
      <c r="AD7">
        <f>Timeline!AD21</f>
        <v>1</v>
      </c>
      <c r="AE7">
        <f>Timeline!AE21</f>
        <v>1</v>
      </c>
      <c r="AF7">
        <f>Timeline!AF21</f>
        <v>1</v>
      </c>
      <c r="AG7">
        <f>Timeline!AG21</f>
        <v>1</v>
      </c>
      <c r="AH7">
        <f>Timeline!AH21</f>
        <v>1</v>
      </c>
      <c r="AI7">
        <f>Timeline!AI21</f>
        <v>1</v>
      </c>
      <c r="AJ7">
        <f>Timeline!AJ21</f>
        <v>1</v>
      </c>
      <c r="AK7">
        <f>Timeline!AK21</f>
        <v>1</v>
      </c>
      <c r="AL7">
        <f>Timeline!AL21</f>
        <v>1</v>
      </c>
      <c r="AM7">
        <f>Timeline!AM21</f>
        <v>1</v>
      </c>
      <c r="AN7">
        <f>Timeline!AN21</f>
        <v>1</v>
      </c>
      <c r="AO7">
        <f>Timeline!AO21</f>
        <v>1</v>
      </c>
      <c r="AP7">
        <f>Timeline!AP21</f>
        <v>1</v>
      </c>
      <c r="AQ7">
        <f>Timeline!AQ21</f>
        <v>1</v>
      </c>
      <c r="AR7">
        <f>Timeline!AR21</f>
        <v>1</v>
      </c>
      <c r="AS7">
        <f>Timeline!AS21</f>
        <v>1</v>
      </c>
      <c r="AT7">
        <f>Timeline!AT21</f>
        <v>1</v>
      </c>
      <c r="AU7">
        <f>Timeline!AU21</f>
        <v>1</v>
      </c>
      <c r="AV7">
        <f>Timeline!AV21</f>
        <v>1</v>
      </c>
      <c r="AW7">
        <f>Timeline!AW21</f>
        <v>1</v>
      </c>
      <c r="AX7">
        <f>Timeline!AX21</f>
        <v>1</v>
      </c>
      <c r="AY7">
        <f>Timeline!AY21</f>
        <v>1</v>
      </c>
      <c r="AZ7">
        <f>Timeline!AZ21</f>
        <v>1</v>
      </c>
      <c r="BA7">
        <f>Timeline!BA21</f>
        <v>1</v>
      </c>
      <c r="BB7">
        <f>Timeline!BB21</f>
        <v>1</v>
      </c>
      <c r="BC7">
        <f>Timeline!BC21</f>
        <v>1</v>
      </c>
      <c r="BD7">
        <f>Timeline!BD21</f>
        <v>1</v>
      </c>
      <c r="BE7">
        <f>Timeline!BE21</f>
        <v>1</v>
      </c>
      <c r="BF7">
        <f>Timeline!BF21</f>
        <v>1</v>
      </c>
      <c r="BG7">
        <f>Timeline!BG21</f>
        <v>1</v>
      </c>
      <c r="BH7">
        <f>Timeline!BH21</f>
        <v>1</v>
      </c>
      <c r="BI7">
        <f>Timeline!BI21</f>
        <v>1</v>
      </c>
      <c r="BJ7">
        <f>Timeline!BJ21</f>
        <v>1</v>
      </c>
      <c r="BK7">
        <f>Timeline!BK21</f>
        <v>1</v>
      </c>
      <c r="BL7">
        <f>Timeline!BL21</f>
        <v>1</v>
      </c>
      <c r="BM7">
        <f>Timeline!BM21</f>
        <v>1</v>
      </c>
      <c r="BN7">
        <f>Timeline!BN21</f>
        <v>1</v>
      </c>
      <c r="BO7">
        <f>Timeline!BO21</f>
        <v>1</v>
      </c>
      <c r="BP7">
        <f>Timeline!BP21</f>
        <v>0</v>
      </c>
      <c r="BQ7">
        <f>Timeline!BQ21</f>
        <v>0</v>
      </c>
      <c r="BR7">
        <f>Timeline!BR21</f>
        <v>0</v>
      </c>
      <c r="BS7">
        <f>Timeline!BS21</f>
        <v>0</v>
      </c>
      <c r="BT7">
        <f>Timeline!BT21</f>
        <v>0</v>
      </c>
      <c r="BU7">
        <f>Timeline!BU21</f>
        <v>0</v>
      </c>
    </row>
    <row r="8" spans="1:73">
      <c r="A8" t="str">
        <f>Operations!A27</f>
        <v>EBITDA</v>
      </c>
      <c r="B8" t="str">
        <f>Operations!B27</f>
        <v>USD</v>
      </c>
      <c r="C8">
        <f>Operations!C27</f>
        <v>35982994.029017337</v>
      </c>
      <c r="D8">
        <f>Operations!D27</f>
        <v>0</v>
      </c>
      <c r="E8">
        <f>Operations!E27</f>
        <v>0</v>
      </c>
      <c r="F8">
        <f>Operations!F27</f>
        <v>0</v>
      </c>
      <c r="G8">
        <f>Operations!G27</f>
        <v>0</v>
      </c>
      <c r="H8">
        <f>Operations!H27</f>
        <v>1220374.4089345317</v>
      </c>
      <c r="I8">
        <f>Operations!I27</f>
        <v>367941.26282097551</v>
      </c>
      <c r="J8">
        <f>Operations!J27</f>
        <v>1209397.0949984677</v>
      </c>
      <c r="K8">
        <f>Operations!K27</f>
        <v>356855.09485584439</v>
      </c>
      <c r="L8">
        <f>Operations!L27</f>
        <v>1198200.3865466854</v>
      </c>
      <c r="M8">
        <f>Operations!M27</f>
        <v>345516.06830213021</v>
      </c>
      <c r="N8">
        <f>Operations!N27</f>
        <v>1186748.2982463562</v>
      </c>
      <c r="O8">
        <f>Operations!O27</f>
        <v>333981.70647828188</v>
      </c>
      <c r="P8">
        <f>Operations!P27</f>
        <v>1175098.9269825253</v>
      </c>
      <c r="Q8">
        <f>Operations!Q27</f>
        <v>322216.81688222941</v>
      </c>
      <c r="R8">
        <f>Operations!R27</f>
        <v>1163216.7293477135</v>
      </c>
      <c r="S8">
        <f>Operations!S27</f>
        <v>310216.79214560974</v>
      </c>
      <c r="T8">
        <f>Operations!T27</f>
        <v>1151097.0520333601</v>
      </c>
      <c r="U8">
        <f>Operations!U27</f>
        <v>297943.06514077552</v>
      </c>
      <c r="V8">
        <f>Operations!V27</f>
        <v>1138700.9433579245</v>
      </c>
      <c r="W8">
        <f>Operations!W27</f>
        <v>285457.90095756587</v>
      </c>
      <c r="X8">
        <f>Operations!X27</f>
        <v>1126091.2892581739</v>
      </c>
      <c r="Y8">
        <f>Operations!Y27</f>
        <v>272723.20609994943</v>
      </c>
      <c r="Z8">
        <f>Operations!Z27</f>
        <v>1113229.6164067774</v>
      </c>
      <c r="AA8">
        <f>Operations!AA27</f>
        <v>259733.99340423674</v>
      </c>
      <c r="AB8">
        <f>Operations!AB27</f>
        <v>1100110.887912899</v>
      </c>
      <c r="AC8">
        <f>Operations!AC27</f>
        <v>246448.51657114364</v>
      </c>
      <c r="AD8">
        <f>Operations!AD27</f>
        <v>1086692.9412237522</v>
      </c>
      <c r="AE8">
        <f>Operations!AE27</f>
        <v>232934.17333635734</v>
      </c>
      <c r="AF8">
        <f>Operations!AF27</f>
        <v>1073043.8460997068</v>
      </c>
      <c r="AG8">
        <f>Operations!AG27</f>
        <v>219149.7300746867</v>
      </c>
      <c r="AH8">
        <f>Operations!AH27</f>
        <v>1059121.9577739565</v>
      </c>
      <c r="AI8">
        <f>Operations!AI27</f>
        <v>205089.788519767</v>
      </c>
      <c r="AJ8">
        <f>Operations!AJ27</f>
        <v>1044921.824153874</v>
      </c>
      <c r="AK8">
        <f>Operations!AK27</f>
        <v>190709.16113469214</v>
      </c>
      <c r="AL8">
        <f>Operations!AL27</f>
        <v>1030397.807136376</v>
      </c>
      <c r="AM8">
        <f>Operations!AM27</f>
        <v>176080.80139608099</v>
      </c>
      <c r="AN8">
        <f>Operations!AN27</f>
        <v>1015623.5876192098</v>
      </c>
      <c r="AO8">
        <f>Operations!AO27</f>
        <v>161160.07670195331</v>
      </c>
      <c r="AP8">
        <f>Operations!AP27</f>
        <v>1000554.087967489</v>
      </c>
      <c r="AQ8">
        <f>Operations!AQ27</f>
        <v>145941.14379518793</v>
      </c>
      <c r="AR8">
        <f>Operations!AR27</f>
        <v>985183.40666081465</v>
      </c>
      <c r="AS8">
        <f>Operations!AS27</f>
        <v>130375.09023260616</v>
      </c>
      <c r="AT8">
        <f>Operations!AT27</f>
        <v>969462.14354868769</v>
      </c>
      <c r="AU8">
        <f>Operations!AU27</f>
        <v>114540.88320348423</v>
      </c>
      <c r="AV8">
        <f>Operations!AV27</f>
        <v>953470.05320440722</v>
      </c>
      <c r="AW8">
        <f>Operations!AW27</f>
        <v>98390.210944054183</v>
      </c>
      <c r="AX8">
        <f>Operations!AX27</f>
        <v>937158.34214627591</v>
      </c>
      <c r="AY8">
        <f>Operations!AY27</f>
        <v>81916.748524889117</v>
      </c>
      <c r="AZ8">
        <f>Operations!AZ27</f>
        <v>920520.62237882067</v>
      </c>
      <c r="BA8">
        <f>Operations!BA27</f>
        <v>65067.551544468035</v>
      </c>
      <c r="BB8">
        <f>Operations!BB27</f>
        <v>903503.42159043276</v>
      </c>
      <c r="BC8">
        <f>Operations!BC27</f>
        <v>47928.096628048341</v>
      </c>
      <c r="BD8">
        <f>Operations!BD27</f>
        <v>886193.06869615812</v>
      </c>
      <c r="BE8">
        <f>Operations!BE27</f>
        <v>30446.089568821597</v>
      </c>
      <c r="BF8">
        <f>Operations!BF27</f>
        <v>868536.74806220911</v>
      </c>
      <c r="BG8">
        <f>Operations!BG27</f>
        <v>12614.684059765772</v>
      </c>
      <c r="BH8">
        <f>Operations!BH27</f>
        <v>850527.54511684796</v>
      </c>
      <c r="BI8">
        <f>Operations!BI27</f>
        <v>-5623.4286220169161</v>
      </c>
      <c r="BJ8">
        <f>Operations!BJ27</f>
        <v>832107.57971031941</v>
      </c>
      <c r="BK8">
        <f>Operations!BK27</f>
        <v>-24175.725828419672</v>
      </c>
      <c r="BL8">
        <f>Operations!BL27</f>
        <v>813370.29703660752</v>
      </c>
      <c r="BM8">
        <f>Operations!BM27</f>
        <v>-43098.812490673736</v>
      </c>
      <c r="BN8">
        <f>Operations!BN27</f>
        <v>794258.52775514952</v>
      </c>
      <c r="BO8">
        <f>Operations!BO27</f>
        <v>-62400.099271676852</v>
      </c>
      <c r="BP8">
        <f>Operations!BP27</f>
        <v>0</v>
      </c>
      <c r="BQ8">
        <f>Operations!BQ27</f>
        <v>0</v>
      </c>
      <c r="BR8">
        <f>Operations!BR27</f>
        <v>0</v>
      </c>
      <c r="BS8">
        <f>Operations!BS27</f>
        <v>0</v>
      </c>
      <c r="BT8">
        <f>Operations!BT27</f>
        <v>0</v>
      </c>
      <c r="BU8">
        <f>Operations!BU27</f>
        <v>0</v>
      </c>
    </row>
    <row r="9" spans="1:73">
      <c r="A9" t="s">
        <v>250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25</v>
      </c>
      <c r="AG9">
        <f>IF(AG7=1,SUM($D$7:AG7),0)</f>
        <v>26</v>
      </c>
      <c r="AH9">
        <f>IF(AH7=1,SUM($D$7:AH7),0)</f>
        <v>27</v>
      </c>
      <c r="AI9">
        <f>IF(AI7=1,SUM($D$7:AI7),0)</f>
        <v>28</v>
      </c>
      <c r="AJ9">
        <f>IF(AJ7=1,SUM($D$7:AJ7),0)</f>
        <v>29</v>
      </c>
      <c r="AK9">
        <f>IF(AK7=1,SUM($D$7:AK7),0)</f>
        <v>30</v>
      </c>
      <c r="AL9">
        <f>IF(AL7=1,SUM($D$7:AL7),0)</f>
        <v>31</v>
      </c>
      <c r="AM9">
        <f>IF(AM7=1,SUM($D$7:AM7),0)</f>
        <v>32</v>
      </c>
      <c r="AN9">
        <f>IF(AN7=1,SUM($D$7:AN7),0)</f>
        <v>33</v>
      </c>
      <c r="AO9">
        <f>IF(AO7=1,SUM($D$7:AO7),0)</f>
        <v>34</v>
      </c>
      <c r="AP9">
        <f>IF(AP7=1,SUM($D$7:AP7),0)</f>
        <v>35</v>
      </c>
      <c r="AQ9">
        <f>IF(AQ7=1,SUM($D$7:AQ7),0)</f>
        <v>36</v>
      </c>
      <c r="AR9">
        <f>IF(AR7=1,SUM($D$7:AR7),0)</f>
        <v>37</v>
      </c>
      <c r="AS9">
        <f>IF(AS7=1,SUM($D$7:AS7),0)</f>
        <v>38</v>
      </c>
      <c r="AT9">
        <f>IF(AT7=1,SUM($D$7:AT7),0)</f>
        <v>39</v>
      </c>
      <c r="AU9">
        <f>IF(AU7=1,SUM($D$7:AU7),0)</f>
        <v>40</v>
      </c>
      <c r="AV9">
        <f>IF(AV7=1,SUM($D$7:AV7),0)</f>
        <v>41</v>
      </c>
      <c r="AW9">
        <f>IF(AW7=1,SUM($D$7:AW7),0)</f>
        <v>42</v>
      </c>
      <c r="AX9">
        <f>IF(AX7=1,SUM($D$7:AX7),0)</f>
        <v>43</v>
      </c>
      <c r="AY9">
        <f>IF(AY7=1,SUM($D$7:AY7),0)</f>
        <v>44</v>
      </c>
      <c r="AZ9">
        <f>IF(AZ7=1,SUM($D$7:AZ7),0)</f>
        <v>45</v>
      </c>
      <c r="BA9">
        <f>IF(BA7=1,SUM($D$7:BA7),0)</f>
        <v>46</v>
      </c>
      <c r="BB9">
        <f>IF(BB7=1,SUM($D$7:BB7),0)</f>
        <v>47</v>
      </c>
      <c r="BC9">
        <f>IF(BC7=1,SUM($D$7:BC7),0)</f>
        <v>48</v>
      </c>
      <c r="BD9">
        <f>IF(BD7=1,SUM($D$7:BD7),0)</f>
        <v>49</v>
      </c>
      <c r="BE9">
        <f>IF(BE7=1,SUM($D$7:BE7),0)</f>
        <v>50</v>
      </c>
      <c r="BF9">
        <f>IF(BF7=1,SUM($D$7:BF7),0)</f>
        <v>51</v>
      </c>
      <c r="BG9">
        <f>IF(BG7=1,SUM($D$7:BG7),0)</f>
        <v>52</v>
      </c>
      <c r="BH9">
        <f>IF(BH7=1,SUM($D$7:BH7),0)</f>
        <v>53</v>
      </c>
      <c r="BI9">
        <f>IF(BI7=1,SUM($D$7:BI7),0)</f>
        <v>54</v>
      </c>
      <c r="BJ9">
        <f>IF(BJ7=1,SUM($D$7:BJ7),0)</f>
        <v>55</v>
      </c>
      <c r="BK9">
        <f>IF(BK7=1,SUM($D$7:BK7),0)</f>
        <v>56</v>
      </c>
      <c r="BL9">
        <f>IF(BL7=1,SUM($D$7:BL7),0)</f>
        <v>57</v>
      </c>
      <c r="BM9">
        <f>IF(BM7=1,SUM($D$7:BM7),0)</f>
        <v>58</v>
      </c>
      <c r="BN9">
        <f>IF(BN7=1,SUM($D$7:BN7),0)</f>
        <v>59</v>
      </c>
      <c r="BO9">
        <f>IF(BO7=1,SUM($D$7:BO7),0)</f>
        <v>60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251</v>
      </c>
      <c r="B10" t="s">
        <v>184</v>
      </c>
      <c r="C10">
        <f>Construction!C45+Construction!C46+Construction!C47</f>
        <v>35722429.235892341</v>
      </c>
    </row>
    <row r="11" spans="1:73">
      <c r="A11" t="s">
        <v>252</v>
      </c>
      <c r="B11" t="s">
        <v>184</v>
      </c>
      <c r="C11">
        <f>C10 * Inputs!B36</f>
        <v>17861214.61794617</v>
      </c>
    </row>
    <row r="12" spans="1:73">
      <c r="A12" t="s">
        <v>253</v>
      </c>
      <c r="B12" t="s">
        <v>184</v>
      </c>
      <c r="C12">
        <f>C10-C11</f>
        <v>17861214.61794617</v>
      </c>
    </row>
    <row r="13" spans="1:73">
      <c r="A13" t="s">
        <v>254</v>
      </c>
      <c r="B13" t="s">
        <v>184</v>
      </c>
      <c r="C13">
        <f>SUM(D13:BU13)</f>
        <v>10716728.770767707</v>
      </c>
      <c r="D13">
        <f xml:space="preserve"> $C$11 / (Inputs!$B$37 * 2) * D7</f>
        <v>0</v>
      </c>
      <c r="E13">
        <f xml:space="preserve"> $C$11 / (Inputs!$B$37 * 2) * E7</f>
        <v>0</v>
      </c>
      <c r="F13">
        <f xml:space="preserve"> $C$11 / (Inputs!$B$37 * 2) * F7</f>
        <v>0</v>
      </c>
      <c r="G13">
        <f xml:space="preserve"> $C$11 / (Inputs!$B$37 * 2) * G7</f>
        <v>0</v>
      </c>
      <c r="H13">
        <f xml:space="preserve"> $C$11 / (Inputs!$B$37 * 2) * H7</f>
        <v>178612.14617946171</v>
      </c>
      <c r="I13">
        <f xml:space="preserve"> $C$11 / (Inputs!$B$37 * 2) * I7</f>
        <v>178612.14617946171</v>
      </c>
      <c r="J13">
        <f xml:space="preserve"> $C$11 / (Inputs!$B$37 * 2) * J7</f>
        <v>178612.14617946171</v>
      </c>
      <c r="K13">
        <f xml:space="preserve"> $C$11 / (Inputs!$B$37 * 2) * K7</f>
        <v>178612.14617946171</v>
      </c>
      <c r="L13">
        <f xml:space="preserve"> $C$11 / (Inputs!$B$37 * 2) * L7</f>
        <v>178612.14617946171</v>
      </c>
      <c r="M13">
        <f xml:space="preserve"> $C$11 / (Inputs!$B$37 * 2) * M7</f>
        <v>178612.14617946171</v>
      </c>
      <c r="N13">
        <f xml:space="preserve"> $C$11 / (Inputs!$B$37 * 2) * N7</f>
        <v>178612.14617946171</v>
      </c>
      <c r="O13">
        <f xml:space="preserve"> $C$11 / (Inputs!$B$37 * 2) * O7</f>
        <v>178612.14617946171</v>
      </c>
      <c r="P13">
        <f xml:space="preserve"> $C$11 / (Inputs!$B$37 * 2) * P7</f>
        <v>178612.14617946171</v>
      </c>
      <c r="Q13">
        <f xml:space="preserve"> $C$11 / (Inputs!$B$37 * 2) * Q7</f>
        <v>178612.14617946171</v>
      </c>
      <c r="R13">
        <f xml:space="preserve"> $C$11 / (Inputs!$B$37 * 2) * R7</f>
        <v>178612.14617946171</v>
      </c>
      <c r="S13">
        <f xml:space="preserve"> $C$11 / (Inputs!$B$37 * 2) * S7</f>
        <v>178612.14617946171</v>
      </c>
      <c r="T13">
        <f xml:space="preserve"> $C$11 / (Inputs!$B$37 * 2) * T7</f>
        <v>178612.14617946171</v>
      </c>
      <c r="U13">
        <f xml:space="preserve"> $C$11 / (Inputs!$B$37 * 2) * U7</f>
        <v>178612.14617946171</v>
      </c>
      <c r="V13">
        <f xml:space="preserve"> $C$11 / (Inputs!$B$37 * 2) * V7</f>
        <v>178612.14617946171</v>
      </c>
      <c r="W13">
        <f xml:space="preserve"> $C$11 / (Inputs!$B$37 * 2) * W7</f>
        <v>178612.14617946171</v>
      </c>
      <c r="X13">
        <f xml:space="preserve"> $C$11 / (Inputs!$B$37 * 2) * X7</f>
        <v>178612.14617946171</v>
      </c>
      <c r="Y13">
        <f xml:space="preserve"> $C$11 / (Inputs!$B$37 * 2) * Y7</f>
        <v>178612.14617946171</v>
      </c>
      <c r="Z13">
        <f xml:space="preserve"> $C$11 / (Inputs!$B$37 * 2) * Z7</f>
        <v>178612.14617946171</v>
      </c>
      <c r="AA13">
        <f xml:space="preserve"> $C$11 / (Inputs!$B$37 * 2) * AA7</f>
        <v>178612.14617946171</v>
      </c>
      <c r="AB13">
        <f xml:space="preserve"> $C$11 / (Inputs!$B$37 * 2) * AB7</f>
        <v>178612.14617946171</v>
      </c>
      <c r="AC13">
        <f xml:space="preserve"> $C$11 / (Inputs!$B$37 * 2) * AC7</f>
        <v>178612.14617946171</v>
      </c>
      <c r="AD13">
        <f xml:space="preserve"> $C$11 / (Inputs!$B$37 * 2) * AD7</f>
        <v>178612.14617946171</v>
      </c>
      <c r="AE13">
        <f xml:space="preserve"> $C$11 / (Inputs!$B$37 * 2) * AE7</f>
        <v>178612.14617946171</v>
      </c>
      <c r="AF13">
        <f xml:space="preserve"> $C$11 / (Inputs!$B$37 * 2) * AF7</f>
        <v>178612.14617946171</v>
      </c>
      <c r="AG13">
        <f xml:space="preserve"> $C$11 / (Inputs!$B$37 * 2) * AG7</f>
        <v>178612.14617946171</v>
      </c>
      <c r="AH13">
        <f xml:space="preserve"> $C$11 / (Inputs!$B$37 * 2) * AH7</f>
        <v>178612.14617946171</v>
      </c>
      <c r="AI13">
        <f xml:space="preserve"> $C$11 / (Inputs!$B$37 * 2) * AI7</f>
        <v>178612.14617946171</v>
      </c>
      <c r="AJ13">
        <f xml:space="preserve"> $C$11 / (Inputs!$B$37 * 2) * AJ7</f>
        <v>178612.14617946171</v>
      </c>
      <c r="AK13">
        <f xml:space="preserve"> $C$11 / (Inputs!$B$37 * 2) * AK7</f>
        <v>178612.14617946171</v>
      </c>
      <c r="AL13">
        <f xml:space="preserve"> $C$11 / (Inputs!$B$37 * 2) * AL7</f>
        <v>178612.14617946171</v>
      </c>
      <c r="AM13">
        <f xml:space="preserve"> $C$11 / (Inputs!$B$37 * 2) * AM7</f>
        <v>178612.14617946171</v>
      </c>
      <c r="AN13">
        <f xml:space="preserve"> $C$11 / (Inputs!$B$37 * 2) * AN7</f>
        <v>178612.14617946171</v>
      </c>
      <c r="AO13">
        <f xml:space="preserve"> $C$11 / (Inputs!$B$37 * 2) * AO7</f>
        <v>178612.14617946171</v>
      </c>
      <c r="AP13">
        <f xml:space="preserve"> $C$11 / (Inputs!$B$37 * 2) * AP7</f>
        <v>178612.14617946171</v>
      </c>
      <c r="AQ13">
        <f xml:space="preserve"> $C$11 / (Inputs!$B$37 * 2) * AQ7</f>
        <v>178612.14617946171</v>
      </c>
      <c r="AR13">
        <f xml:space="preserve"> $C$11 / (Inputs!$B$37 * 2) * AR7</f>
        <v>178612.14617946171</v>
      </c>
      <c r="AS13">
        <f xml:space="preserve"> $C$11 / (Inputs!$B$37 * 2) * AS7</f>
        <v>178612.14617946171</v>
      </c>
      <c r="AT13">
        <f xml:space="preserve"> $C$11 / (Inputs!$B$37 * 2) * AT7</f>
        <v>178612.14617946171</v>
      </c>
      <c r="AU13">
        <f xml:space="preserve"> $C$11 / (Inputs!$B$37 * 2) * AU7</f>
        <v>178612.14617946171</v>
      </c>
      <c r="AV13">
        <f xml:space="preserve"> $C$11 / (Inputs!$B$37 * 2) * AV7</f>
        <v>178612.14617946171</v>
      </c>
      <c r="AW13">
        <f xml:space="preserve"> $C$11 / (Inputs!$B$37 * 2) * AW7</f>
        <v>178612.14617946171</v>
      </c>
      <c r="AX13">
        <f xml:space="preserve"> $C$11 / (Inputs!$B$37 * 2) * AX7</f>
        <v>178612.14617946171</v>
      </c>
      <c r="AY13">
        <f xml:space="preserve"> $C$11 / (Inputs!$B$37 * 2) * AY7</f>
        <v>178612.14617946171</v>
      </c>
      <c r="AZ13">
        <f xml:space="preserve"> $C$11 / (Inputs!$B$37 * 2) * AZ7</f>
        <v>178612.14617946171</v>
      </c>
      <c r="BA13">
        <f xml:space="preserve"> $C$11 / (Inputs!$B$37 * 2) * BA7</f>
        <v>178612.14617946171</v>
      </c>
      <c r="BB13">
        <f xml:space="preserve"> $C$11 / (Inputs!$B$37 * 2) * BB7</f>
        <v>178612.14617946171</v>
      </c>
      <c r="BC13">
        <f xml:space="preserve"> $C$11 / (Inputs!$B$37 * 2) * BC7</f>
        <v>178612.14617946171</v>
      </c>
      <c r="BD13">
        <f xml:space="preserve"> $C$11 / (Inputs!$B$37 * 2) * BD7</f>
        <v>178612.14617946171</v>
      </c>
      <c r="BE13">
        <f xml:space="preserve"> $C$11 / (Inputs!$B$37 * 2) * BE7</f>
        <v>178612.14617946171</v>
      </c>
      <c r="BF13">
        <f xml:space="preserve"> $C$11 / (Inputs!$B$37 * 2) * BF7</f>
        <v>178612.14617946171</v>
      </c>
      <c r="BG13">
        <f xml:space="preserve"> $C$11 / (Inputs!$B$37 * 2) * BG7</f>
        <v>178612.14617946171</v>
      </c>
      <c r="BH13">
        <f xml:space="preserve"> $C$11 / (Inputs!$B$37 * 2) * BH7</f>
        <v>178612.14617946171</v>
      </c>
      <c r="BI13">
        <f xml:space="preserve"> $C$11 / (Inputs!$B$37 * 2) * BI7</f>
        <v>178612.14617946171</v>
      </c>
      <c r="BJ13">
        <f xml:space="preserve"> $C$11 / (Inputs!$B$37 * 2) * BJ7</f>
        <v>178612.14617946171</v>
      </c>
      <c r="BK13">
        <f xml:space="preserve"> $C$11 / (Inputs!$B$37 * 2) * BK7</f>
        <v>178612.14617946171</v>
      </c>
      <c r="BL13">
        <f xml:space="preserve"> $C$11 / (Inputs!$B$37 * 2) * BL7</f>
        <v>178612.14617946171</v>
      </c>
      <c r="BM13">
        <f xml:space="preserve"> $C$11 / (Inputs!$B$37 * 2) * BM7</f>
        <v>178612.14617946171</v>
      </c>
      <c r="BN13">
        <f xml:space="preserve"> $C$11 / (Inputs!$B$37 * 2) * BN7</f>
        <v>178612.14617946171</v>
      </c>
      <c r="BO13">
        <f xml:space="preserve"> $C$11 / (Inputs!$B$37 * 2) * BO7</f>
        <v>178612.14617946171</v>
      </c>
      <c r="BP13">
        <f xml:space="preserve"> $C$11 / (Inputs!$B$37 * 2) * BP7</f>
        <v>0</v>
      </c>
      <c r="BQ13">
        <f xml:space="preserve"> $C$11 / (Inputs!$B$37 * 2) * BQ7</f>
        <v>0</v>
      </c>
      <c r="BR13">
        <f xml:space="preserve"> $C$11 / (Inputs!$B$37 * 2) * BR7</f>
        <v>0</v>
      </c>
      <c r="BS13">
        <f xml:space="preserve"> $C$11 / (Inputs!$B$37 * 2) * BS7</f>
        <v>0</v>
      </c>
      <c r="BT13">
        <f xml:space="preserve"> $C$11 / (Inputs!$B$37 * 2) * BT7</f>
        <v>0</v>
      </c>
      <c r="BU13">
        <f xml:space="preserve"> $C$11 / (Inputs!$B$37 * 2) * BU7</f>
        <v>0</v>
      </c>
    </row>
    <row r="14" spans="1:73">
      <c r="A14" t="s">
        <v>255</v>
      </c>
      <c r="B14" t="s">
        <v>184</v>
      </c>
      <c r="C14">
        <f>SUM(D14:BU14)</f>
        <v>17861214.617946174</v>
      </c>
      <c r="D14">
        <f>IF(D9 &lt;= Inputs!$B$38 * 2, $C$12 / (Inputs!$B$38 * 2) * D7,0)</f>
        <v>0</v>
      </c>
      <c r="E14">
        <f>IF(E9 &lt;= Inputs!$B$38 * 2, $C$12 / (Inputs!$B$38 * 2) * E7,0)</f>
        <v>0</v>
      </c>
      <c r="F14">
        <f>IF(F9 &lt;= Inputs!$B$38 * 2, $C$12 / (Inputs!$B$38 * 2) * F7,0)</f>
        <v>0</v>
      </c>
      <c r="G14">
        <f>IF(G9 &lt;= Inputs!$B$38 * 2, $C$12 / (Inputs!$B$38 * 2) * G7,0)</f>
        <v>0</v>
      </c>
      <c r="H14">
        <f>IF(H9 &lt;= Inputs!$B$38 * 2, $C$12 / (Inputs!$B$38 * 2) * H7,0)</f>
        <v>893060.73089730856</v>
      </c>
      <c r="I14">
        <f>IF(I9 &lt;= Inputs!$B$38 * 2, $C$12 / (Inputs!$B$38 * 2) * I7,0)</f>
        <v>893060.73089730856</v>
      </c>
      <c r="J14">
        <f>IF(J9 &lt;= Inputs!$B$38 * 2, $C$12 / (Inputs!$B$38 * 2) * J7,0)</f>
        <v>893060.73089730856</v>
      </c>
      <c r="K14">
        <f>IF(K9 &lt;= Inputs!$B$38 * 2, $C$12 / (Inputs!$B$38 * 2) * K7,0)</f>
        <v>893060.73089730856</v>
      </c>
      <c r="L14">
        <f>IF(L9 &lt;= Inputs!$B$38 * 2, $C$12 / (Inputs!$B$38 * 2) * L7,0)</f>
        <v>893060.73089730856</v>
      </c>
      <c r="M14">
        <f>IF(M9 &lt;= Inputs!$B$38 * 2, $C$12 / (Inputs!$B$38 * 2) * M7,0)</f>
        <v>893060.73089730856</v>
      </c>
      <c r="N14">
        <f>IF(N9 &lt;= Inputs!$B$38 * 2, $C$12 / (Inputs!$B$38 * 2) * N7,0)</f>
        <v>893060.73089730856</v>
      </c>
      <c r="O14">
        <f>IF(O9 &lt;= Inputs!$B$38 * 2, $C$12 / (Inputs!$B$38 * 2) * O7,0)</f>
        <v>893060.73089730856</v>
      </c>
      <c r="P14">
        <f>IF(P9 &lt;= Inputs!$B$38 * 2, $C$12 / (Inputs!$B$38 * 2) * P7,0)</f>
        <v>893060.73089730856</v>
      </c>
      <c r="Q14">
        <f>IF(Q9 &lt;= Inputs!$B$38 * 2, $C$12 / (Inputs!$B$38 * 2) * Q7,0)</f>
        <v>893060.73089730856</v>
      </c>
      <c r="R14">
        <f>IF(R9 &lt;= Inputs!$B$38 * 2, $C$12 / (Inputs!$B$38 * 2) * R7,0)</f>
        <v>893060.73089730856</v>
      </c>
      <c r="S14">
        <f>IF(S9 &lt;= Inputs!$B$38 * 2, $C$12 / (Inputs!$B$38 * 2) * S7,0)</f>
        <v>893060.73089730856</v>
      </c>
      <c r="T14">
        <f>IF(T9 &lt;= Inputs!$B$38 * 2, $C$12 / (Inputs!$B$38 * 2) * T7,0)</f>
        <v>893060.73089730856</v>
      </c>
      <c r="U14">
        <f>IF(U9 &lt;= Inputs!$B$38 * 2, $C$12 / (Inputs!$B$38 * 2) * U7,0)</f>
        <v>893060.73089730856</v>
      </c>
      <c r="V14">
        <f>IF(V9 &lt;= Inputs!$B$38 * 2, $C$12 / (Inputs!$B$38 * 2) * V7,0)</f>
        <v>893060.73089730856</v>
      </c>
      <c r="W14">
        <f>IF(W9 &lt;= Inputs!$B$38 * 2, $C$12 / (Inputs!$B$38 * 2) * W7,0)</f>
        <v>893060.73089730856</v>
      </c>
      <c r="X14">
        <f>IF(X9 &lt;= Inputs!$B$38 * 2, $C$12 / (Inputs!$B$38 * 2) * X7,0)</f>
        <v>893060.73089730856</v>
      </c>
      <c r="Y14">
        <f>IF(Y9 &lt;= Inputs!$B$38 * 2, $C$12 / (Inputs!$B$38 * 2) * Y7,0)</f>
        <v>893060.73089730856</v>
      </c>
      <c r="Z14">
        <f>IF(Z9 &lt;= Inputs!$B$38 * 2, $C$12 / (Inputs!$B$38 * 2) * Z7,0)</f>
        <v>893060.73089730856</v>
      </c>
      <c r="AA14">
        <f>IF(AA9 &lt;= Inputs!$B$38 * 2, $C$12 / (Inputs!$B$38 * 2) * AA7,0)</f>
        <v>893060.73089730856</v>
      </c>
      <c r="AB14">
        <f>IF(AB9 &lt;= Inputs!$B$38 * 2, $C$12 / (Inputs!$B$38 * 2) * AB7,0)</f>
        <v>0</v>
      </c>
      <c r="AC14">
        <f>IF(AC9 &lt;= Inputs!$B$38 * 2, $C$12 / (Inputs!$B$38 * 2) * AC7,0)</f>
        <v>0</v>
      </c>
      <c r="AD14">
        <f>IF(AD9 &lt;= Inputs!$B$38 * 2, $C$12 / (Inputs!$B$38 * 2) * AD7,0)</f>
        <v>0</v>
      </c>
      <c r="AE14">
        <f>IF(AE9 &lt;= Inputs!$B$38 * 2, $C$12 / (Inputs!$B$38 * 2) * AE7,0)</f>
        <v>0</v>
      </c>
      <c r="AF14">
        <f>IF(AF9 &lt;= Inputs!$B$38 * 2, $C$12 / (Inputs!$B$38 * 2) * AF7,0)</f>
        <v>0</v>
      </c>
      <c r="AG14">
        <f>IF(AG9 &lt;= Inputs!$B$38 * 2, $C$12 / (Inputs!$B$38 * 2) * AG7,0)</f>
        <v>0</v>
      </c>
      <c r="AH14">
        <f>IF(AH9 &lt;= Inputs!$B$38 * 2, $C$12 / (Inputs!$B$38 * 2) * AH7,0)</f>
        <v>0</v>
      </c>
      <c r="AI14">
        <f>IF(AI9 &lt;= Inputs!$B$38 * 2, $C$12 / (Inputs!$B$38 * 2) * AI7,0)</f>
        <v>0</v>
      </c>
      <c r="AJ14">
        <f>IF(AJ9 &lt;= Inputs!$B$38 * 2, $C$12 / (Inputs!$B$38 * 2) * AJ7,0)</f>
        <v>0</v>
      </c>
      <c r="AK14">
        <f>IF(AK9 &lt;= Inputs!$B$38 * 2, $C$12 / (Inputs!$B$38 * 2) * AK7,0)</f>
        <v>0</v>
      </c>
      <c r="AL14">
        <f>IF(AL9 &lt;= Inputs!$B$38 * 2, $C$12 / (Inputs!$B$38 * 2) * AL7,0)</f>
        <v>0</v>
      </c>
      <c r="AM14">
        <f>IF(AM9 &lt;= Inputs!$B$38 * 2, $C$12 / (Inputs!$B$38 * 2) * AM7,0)</f>
        <v>0</v>
      </c>
      <c r="AN14">
        <f>IF(AN9 &lt;= Inputs!$B$38 * 2, $C$12 / (Inputs!$B$38 * 2) * AN7,0)</f>
        <v>0</v>
      </c>
      <c r="AO14">
        <f>IF(AO9 &lt;= Inputs!$B$38 * 2, $C$12 / (Inputs!$B$38 * 2) * AO7,0)</f>
        <v>0</v>
      </c>
      <c r="AP14">
        <f>IF(AP9 &lt;= Inputs!$B$38 * 2, $C$12 / (Inputs!$B$38 * 2) * AP7,0)</f>
        <v>0</v>
      </c>
      <c r="AQ14">
        <f>IF(AQ9 &lt;= Inputs!$B$38 * 2, $C$12 / (Inputs!$B$38 * 2) * AQ7,0)</f>
        <v>0</v>
      </c>
      <c r="AR14">
        <f>IF(AR9 &lt;= Inputs!$B$38 * 2, $C$12 / (Inputs!$B$38 * 2) * AR7,0)</f>
        <v>0</v>
      </c>
      <c r="AS14">
        <f>IF(AS9 &lt;= Inputs!$B$38 * 2, $C$12 / (Inputs!$B$38 * 2) * AS7,0)</f>
        <v>0</v>
      </c>
      <c r="AT14">
        <f>IF(AT9 &lt;= Inputs!$B$38 * 2, $C$12 / (Inputs!$B$38 * 2) * AT7,0)</f>
        <v>0</v>
      </c>
      <c r="AU14">
        <f>IF(AU9 &lt;= Inputs!$B$38 * 2, $C$12 / (Inputs!$B$38 * 2) * AU7,0)</f>
        <v>0</v>
      </c>
      <c r="AV14">
        <f>IF(AV9 &lt;= Inputs!$B$38 * 2, $C$12 / (Inputs!$B$38 * 2) * AV7,0)</f>
        <v>0</v>
      </c>
      <c r="AW14">
        <f>IF(AW9 &lt;= Inputs!$B$38 * 2, $C$12 / (Inputs!$B$38 * 2) * AW7,0)</f>
        <v>0</v>
      </c>
      <c r="AX14">
        <f>IF(AX9 &lt;= Inputs!$B$38 * 2, $C$12 / (Inputs!$B$38 * 2) * AX7,0)</f>
        <v>0</v>
      </c>
      <c r="AY14">
        <f>IF(AY9 &lt;= Inputs!$B$38 * 2, $C$12 / (Inputs!$B$38 * 2) * AY7,0)</f>
        <v>0</v>
      </c>
      <c r="AZ14">
        <f>IF(AZ9 &lt;= Inputs!$B$38 * 2, $C$12 / (Inputs!$B$38 * 2) * AZ7,0)</f>
        <v>0</v>
      </c>
      <c r="BA14">
        <f>IF(BA9 &lt;= Inputs!$B$38 * 2, $C$12 / (Inputs!$B$38 * 2) * BA7,0)</f>
        <v>0</v>
      </c>
      <c r="BB14">
        <f>IF(BB9 &lt;= Inputs!$B$38 * 2, $C$12 / (Inputs!$B$38 * 2) * BB7,0)</f>
        <v>0</v>
      </c>
      <c r="BC14">
        <f>IF(BC9 &lt;= Inputs!$B$38 * 2, $C$12 / (Inputs!$B$38 * 2) * BC7,0)</f>
        <v>0</v>
      </c>
      <c r="BD14">
        <f>IF(BD9 &lt;= Inputs!$B$38 * 2, $C$12 / (Inputs!$B$38 * 2) * BD7,0)</f>
        <v>0</v>
      </c>
      <c r="BE14">
        <f>IF(BE9 &lt;= Inputs!$B$38 * 2, $C$12 / (Inputs!$B$38 * 2) * BE7,0)</f>
        <v>0</v>
      </c>
      <c r="BF14">
        <f>IF(BF9 &lt;= Inputs!$B$38 * 2, $C$12 / (Inputs!$B$38 * 2) * BF7,0)</f>
        <v>0</v>
      </c>
      <c r="BG14">
        <f>IF(BG9 &lt;= Inputs!$B$38 * 2, $C$12 / (Inputs!$B$38 * 2) * BG7,0)</f>
        <v>0</v>
      </c>
      <c r="BH14">
        <f>IF(BH9 &lt;= Inputs!$B$38 * 2, $C$12 / (Inputs!$B$38 * 2) * BH7,0)</f>
        <v>0</v>
      </c>
      <c r="BI14">
        <f>IF(BI9 &lt;= Inputs!$B$38 * 2, $C$12 / (Inputs!$B$38 * 2) * BI7,0)</f>
        <v>0</v>
      </c>
      <c r="BJ14">
        <f>IF(BJ9 &lt;= Inputs!$B$38 * 2, $C$12 / (Inputs!$B$38 * 2) * BJ7,0)</f>
        <v>0</v>
      </c>
      <c r="BK14">
        <f>IF(BK9 &lt;= Inputs!$B$38 * 2, $C$12 / (Inputs!$B$38 * 2) * BK7,0)</f>
        <v>0</v>
      </c>
      <c r="BL14">
        <f>IF(BL9 &lt;= Inputs!$B$38 * 2, $C$12 / (Inputs!$B$38 * 2) * BL7,0)</f>
        <v>0</v>
      </c>
      <c r="BM14">
        <f>IF(BM9 &lt;= Inputs!$B$38 * 2, $C$12 / (Inputs!$B$38 * 2) * BM7,0)</f>
        <v>0</v>
      </c>
      <c r="BN14">
        <f>IF(BN9 &lt;= Inputs!$B$38 * 2, $C$12 / (Inputs!$B$38 * 2) * BN7,0)</f>
        <v>0</v>
      </c>
      <c r="BO14">
        <f>IF(BO9 &lt;= Inputs!$B$38 * 2, $C$12 / (Inputs!$B$38 * 2) * BO7,0)</f>
        <v>0</v>
      </c>
      <c r="BP14">
        <f>IF(BP9 &lt;= Inputs!$B$38 * 2, $C$12 / (Inputs!$B$38 * 2) * BP7,0)</f>
        <v>0</v>
      </c>
      <c r="BQ14">
        <f>IF(BQ9 &lt;= Inputs!$B$38 * 2, $C$12 / (Inputs!$B$38 * 2) * BQ7,0)</f>
        <v>0</v>
      </c>
      <c r="BR14">
        <f>IF(BR9 &lt;= Inputs!$B$38 * 2, $C$12 / (Inputs!$B$38 * 2) * BR7,0)</f>
        <v>0</v>
      </c>
      <c r="BS14">
        <f>IF(BS9 &lt;= Inputs!$B$38 * 2, $C$12 / (Inputs!$B$38 * 2) * BS7,0)</f>
        <v>0</v>
      </c>
      <c r="BT14">
        <f>IF(BT9 &lt;= Inputs!$B$38 * 2, $C$12 / (Inputs!$B$38 * 2) * BT7,0)</f>
        <v>0</v>
      </c>
      <c r="BU14">
        <f>IF(BU9 &lt;= Inputs!$B$38 * 2, $C$12 / (Inputs!$B$38 * 2) * BU7,0)</f>
        <v>0</v>
      </c>
    </row>
    <row r="15" spans="1:73">
      <c r="A15" t="s">
        <v>256</v>
      </c>
      <c r="B15" t="s">
        <v>184</v>
      </c>
      <c r="C15">
        <f>C13+C14</f>
        <v>28577943.388713881</v>
      </c>
      <c r="D15">
        <f t="shared" ref="D15:BO15" si="0">D13+D14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1071672.8770767702</v>
      </c>
      <c r="I15">
        <f t="shared" si="0"/>
        <v>1071672.8770767702</v>
      </c>
      <c r="J15">
        <f t="shared" si="0"/>
        <v>1071672.8770767702</v>
      </c>
      <c r="K15">
        <f t="shared" si="0"/>
        <v>1071672.8770767702</v>
      </c>
      <c r="L15">
        <f t="shared" si="0"/>
        <v>1071672.8770767702</v>
      </c>
      <c r="M15">
        <f t="shared" si="0"/>
        <v>1071672.8770767702</v>
      </c>
      <c r="N15">
        <f t="shared" si="0"/>
        <v>1071672.8770767702</v>
      </c>
      <c r="O15">
        <f t="shared" si="0"/>
        <v>1071672.8770767702</v>
      </c>
      <c r="P15">
        <f t="shared" si="0"/>
        <v>1071672.8770767702</v>
      </c>
      <c r="Q15">
        <f t="shared" si="0"/>
        <v>1071672.8770767702</v>
      </c>
      <c r="R15">
        <f t="shared" si="0"/>
        <v>1071672.8770767702</v>
      </c>
      <c r="S15">
        <f t="shared" si="0"/>
        <v>1071672.8770767702</v>
      </c>
      <c r="T15">
        <f t="shared" si="0"/>
        <v>1071672.8770767702</v>
      </c>
      <c r="U15">
        <f t="shared" si="0"/>
        <v>1071672.8770767702</v>
      </c>
      <c r="V15">
        <f t="shared" si="0"/>
        <v>1071672.8770767702</v>
      </c>
      <c r="W15">
        <f t="shared" si="0"/>
        <v>1071672.8770767702</v>
      </c>
      <c r="X15">
        <f t="shared" si="0"/>
        <v>1071672.8770767702</v>
      </c>
      <c r="Y15">
        <f t="shared" si="0"/>
        <v>1071672.8770767702</v>
      </c>
      <c r="Z15">
        <f t="shared" si="0"/>
        <v>1071672.8770767702</v>
      </c>
      <c r="AA15">
        <f t="shared" si="0"/>
        <v>1071672.8770767702</v>
      </c>
      <c r="AB15">
        <f t="shared" si="0"/>
        <v>178612.14617946171</v>
      </c>
      <c r="AC15">
        <f t="shared" si="0"/>
        <v>178612.14617946171</v>
      </c>
      <c r="AD15">
        <f t="shared" si="0"/>
        <v>178612.14617946171</v>
      </c>
      <c r="AE15">
        <f t="shared" si="0"/>
        <v>178612.14617946171</v>
      </c>
      <c r="AF15">
        <f t="shared" si="0"/>
        <v>178612.14617946171</v>
      </c>
      <c r="AG15">
        <f t="shared" si="0"/>
        <v>178612.14617946171</v>
      </c>
      <c r="AH15">
        <f t="shared" si="0"/>
        <v>178612.14617946171</v>
      </c>
      <c r="AI15">
        <f t="shared" si="0"/>
        <v>178612.14617946171</v>
      </c>
      <c r="AJ15">
        <f t="shared" si="0"/>
        <v>178612.14617946171</v>
      </c>
      <c r="AK15">
        <f t="shared" si="0"/>
        <v>178612.14617946171</v>
      </c>
      <c r="AL15">
        <f t="shared" si="0"/>
        <v>178612.14617946171</v>
      </c>
      <c r="AM15">
        <f t="shared" si="0"/>
        <v>178612.14617946171</v>
      </c>
      <c r="AN15">
        <f t="shared" si="0"/>
        <v>178612.14617946171</v>
      </c>
      <c r="AO15">
        <f t="shared" si="0"/>
        <v>178612.14617946171</v>
      </c>
      <c r="AP15">
        <f t="shared" si="0"/>
        <v>178612.14617946171</v>
      </c>
      <c r="AQ15">
        <f t="shared" si="0"/>
        <v>178612.14617946171</v>
      </c>
      <c r="AR15">
        <f t="shared" si="0"/>
        <v>178612.14617946171</v>
      </c>
      <c r="AS15">
        <f t="shared" si="0"/>
        <v>178612.14617946171</v>
      </c>
      <c r="AT15">
        <f t="shared" si="0"/>
        <v>178612.14617946171</v>
      </c>
      <c r="AU15">
        <f t="shared" si="0"/>
        <v>178612.14617946171</v>
      </c>
      <c r="AV15">
        <f t="shared" si="0"/>
        <v>178612.14617946171</v>
      </c>
      <c r="AW15">
        <f t="shared" si="0"/>
        <v>178612.14617946171</v>
      </c>
      <c r="AX15">
        <f t="shared" si="0"/>
        <v>178612.14617946171</v>
      </c>
      <c r="AY15">
        <f t="shared" si="0"/>
        <v>178612.14617946171</v>
      </c>
      <c r="AZ15">
        <f t="shared" si="0"/>
        <v>178612.14617946171</v>
      </c>
      <c r="BA15">
        <f t="shared" si="0"/>
        <v>178612.14617946171</v>
      </c>
      <c r="BB15">
        <f t="shared" si="0"/>
        <v>178612.14617946171</v>
      </c>
      <c r="BC15">
        <f t="shared" si="0"/>
        <v>178612.14617946171</v>
      </c>
      <c r="BD15">
        <f t="shared" si="0"/>
        <v>178612.14617946171</v>
      </c>
      <c r="BE15">
        <f t="shared" si="0"/>
        <v>178612.14617946171</v>
      </c>
      <c r="BF15">
        <f t="shared" si="0"/>
        <v>178612.14617946171</v>
      </c>
      <c r="BG15">
        <f t="shared" si="0"/>
        <v>178612.14617946171</v>
      </c>
      <c r="BH15">
        <f t="shared" si="0"/>
        <v>178612.14617946171</v>
      </c>
      <c r="BI15">
        <f t="shared" si="0"/>
        <v>178612.14617946171</v>
      </c>
      <c r="BJ15">
        <f t="shared" si="0"/>
        <v>178612.14617946171</v>
      </c>
      <c r="BK15">
        <f t="shared" si="0"/>
        <v>178612.14617946171</v>
      </c>
      <c r="BL15">
        <f t="shared" si="0"/>
        <v>178612.14617946171</v>
      </c>
      <c r="BM15">
        <f t="shared" si="0"/>
        <v>178612.14617946171</v>
      </c>
      <c r="BN15">
        <f t="shared" si="0"/>
        <v>178612.14617946171</v>
      </c>
      <c r="BO15">
        <f t="shared" si="0"/>
        <v>178612.14617946171</v>
      </c>
      <c r="BP15">
        <f t="shared" ref="BP15:BU15" si="1">BP13+BP14</f>
        <v>0</v>
      </c>
      <c r="BQ15">
        <f t="shared" si="1"/>
        <v>0</v>
      </c>
      <c r="BR15">
        <f t="shared" si="1"/>
        <v>0</v>
      </c>
      <c r="BS15">
        <f t="shared" si="1"/>
        <v>0</v>
      </c>
      <c r="BT15">
        <f t="shared" si="1"/>
        <v>0</v>
      </c>
      <c r="BU15">
        <f t="shared" si="1"/>
        <v>0</v>
      </c>
    </row>
    <row r="16" spans="1:73" ht="15.75">
      <c r="A16" s="56" t="s">
        <v>241</v>
      </c>
      <c r="B16" s="56"/>
      <c r="C16" s="56"/>
    </row>
    <row r="17" spans="1:73" ht="30">
      <c r="A17" s="52" t="s">
        <v>258</v>
      </c>
      <c r="B17" s="53" t="s">
        <v>165</v>
      </c>
      <c r="C17" s="53">
        <f>C15-(C12+C11*Inputs!$B$10 / Inputs!$B$37)</f>
        <v>0</v>
      </c>
      <c r="D17" s="54" t="s">
        <v>167</v>
      </c>
    </row>
    <row r="18" spans="1:73" ht="15.75">
      <c r="A18" s="56" t="s">
        <v>259</v>
      </c>
      <c r="B18" s="56"/>
      <c r="C18" s="56"/>
    </row>
    <row r="19" spans="1:73">
      <c r="A19" t="s">
        <v>273</v>
      </c>
      <c r="B19" s="55" t="s">
        <v>184</v>
      </c>
      <c r="C19">
        <f>SUM(D19:BU19)</f>
        <v>2741677.7108538249</v>
      </c>
      <c r="D19" s="52">
        <f>Construction!D42</f>
        <v>516125.35750446684</v>
      </c>
      <c r="E19" s="52">
        <f>Construction!E42</f>
        <v>404618.80388511671</v>
      </c>
      <c r="F19" s="52">
        <f>Construction!F42</f>
        <v>776570.6839689312</v>
      </c>
      <c r="G19" s="52">
        <f>Construction!G42</f>
        <v>1044362.8654953103</v>
      </c>
      <c r="H19" s="52">
        <f>Construction!H42</f>
        <v>0</v>
      </c>
      <c r="I19" s="52">
        <f>Construction!I42</f>
        <v>0</v>
      </c>
      <c r="J19" s="52">
        <f>Construction!J42</f>
        <v>0</v>
      </c>
      <c r="K19" s="52">
        <f>Construction!K42</f>
        <v>0</v>
      </c>
      <c r="L19" s="52">
        <f>Construction!L42</f>
        <v>0</v>
      </c>
      <c r="M19" s="52">
        <f>Construction!M42</f>
        <v>0</v>
      </c>
      <c r="N19" s="52">
        <f>Construction!N42</f>
        <v>0</v>
      </c>
      <c r="O19" s="52">
        <f>Construction!O42</f>
        <v>0</v>
      </c>
      <c r="P19" s="52">
        <f>Construction!P42</f>
        <v>0</v>
      </c>
      <c r="Q19" s="52">
        <f>Construction!Q42</f>
        <v>0</v>
      </c>
      <c r="R19" s="52">
        <f>Construction!R42</f>
        <v>0</v>
      </c>
      <c r="S19" s="52">
        <f>Construction!S42</f>
        <v>0</v>
      </c>
      <c r="T19" s="52">
        <f>Construction!T42</f>
        <v>0</v>
      </c>
      <c r="U19" s="52">
        <f>Construction!U42</f>
        <v>0</v>
      </c>
      <c r="V19" s="52">
        <f>Construction!V42</f>
        <v>0</v>
      </c>
      <c r="W19" s="52">
        <f>Construction!W42</f>
        <v>0</v>
      </c>
      <c r="X19" s="52">
        <f>Construction!X42</f>
        <v>0</v>
      </c>
      <c r="Y19" s="52">
        <f>Construction!Y42</f>
        <v>0</v>
      </c>
      <c r="Z19" s="52">
        <f>Construction!Z42</f>
        <v>0</v>
      </c>
      <c r="AA19" s="52">
        <f>Construction!AA42</f>
        <v>0</v>
      </c>
      <c r="AB19" s="52">
        <f>Construction!AB42</f>
        <v>0</v>
      </c>
      <c r="AC19" s="52">
        <f>Construction!AC42</f>
        <v>0</v>
      </c>
      <c r="AD19" s="52">
        <f>Construction!AD42</f>
        <v>0</v>
      </c>
      <c r="AE19" s="52">
        <f>Construction!AE42</f>
        <v>0</v>
      </c>
      <c r="AF19" s="52">
        <f>Construction!AF42</f>
        <v>0</v>
      </c>
      <c r="AG19" s="52">
        <f>Construction!AG42</f>
        <v>0</v>
      </c>
      <c r="AH19" s="52">
        <f>Construction!AH42</f>
        <v>0</v>
      </c>
      <c r="AI19" s="52">
        <f>Construction!AI42</f>
        <v>0</v>
      </c>
      <c r="AJ19" s="52">
        <f>Construction!AJ42</f>
        <v>0</v>
      </c>
      <c r="AK19" s="52">
        <f>Construction!AK42</f>
        <v>0</v>
      </c>
      <c r="AL19" s="52">
        <f>Construction!AL42</f>
        <v>0</v>
      </c>
      <c r="AM19" s="52">
        <f>Construction!AM42</f>
        <v>0</v>
      </c>
      <c r="AN19" s="52">
        <f>Construction!AN42</f>
        <v>0</v>
      </c>
      <c r="AO19" s="52">
        <f>Construction!AO42</f>
        <v>0</v>
      </c>
      <c r="AP19" s="52">
        <f>Construction!AP42</f>
        <v>0</v>
      </c>
      <c r="AQ19" s="52">
        <f>Construction!AQ42</f>
        <v>0</v>
      </c>
      <c r="AR19" s="52">
        <f>Construction!AR42</f>
        <v>0</v>
      </c>
      <c r="AS19" s="52">
        <f>Construction!AS42</f>
        <v>0</v>
      </c>
      <c r="AT19" s="52">
        <f>Construction!AT42</f>
        <v>0</v>
      </c>
      <c r="AU19" s="52">
        <f>Construction!AU42</f>
        <v>0</v>
      </c>
      <c r="AV19" s="52">
        <f>Construction!AV42</f>
        <v>0</v>
      </c>
      <c r="AW19" s="52">
        <f>Construction!AW42</f>
        <v>0</v>
      </c>
      <c r="AX19" s="52">
        <f>Construction!AX42</f>
        <v>0</v>
      </c>
      <c r="AY19" s="52">
        <f>Construction!AY42</f>
        <v>0</v>
      </c>
      <c r="AZ19" s="52">
        <f>Construction!AZ42</f>
        <v>0</v>
      </c>
      <c r="BA19" s="52">
        <f>Construction!BA42</f>
        <v>0</v>
      </c>
      <c r="BB19" s="52">
        <f>Construction!BB42</f>
        <v>0</v>
      </c>
      <c r="BC19" s="52">
        <f>Construction!BC42</f>
        <v>0</v>
      </c>
      <c r="BD19" s="52">
        <f>Construction!BD42</f>
        <v>0</v>
      </c>
      <c r="BE19" s="52">
        <f>Construction!BE42</f>
        <v>0</v>
      </c>
      <c r="BF19" s="52">
        <f>Construction!BF42</f>
        <v>0</v>
      </c>
      <c r="BG19" s="52">
        <f>Construction!BG42</f>
        <v>0</v>
      </c>
      <c r="BH19" s="52">
        <f>Construction!BH42</f>
        <v>0</v>
      </c>
      <c r="BI19" s="52">
        <f>Construction!BI42</f>
        <v>0</v>
      </c>
      <c r="BJ19" s="52">
        <f>Construction!BJ42</f>
        <v>0</v>
      </c>
      <c r="BK19" s="52">
        <f>Construction!BK42</f>
        <v>0</v>
      </c>
      <c r="BL19" s="52">
        <f>Construction!BL42</f>
        <v>0</v>
      </c>
      <c r="BM19" s="52">
        <f>Construction!BM42</f>
        <v>0</v>
      </c>
      <c r="BN19" s="52">
        <f>Construction!BN42</f>
        <v>0</v>
      </c>
      <c r="BO19" s="52">
        <f>Construction!BO42</f>
        <v>0</v>
      </c>
      <c r="BP19" s="52">
        <f>Construction!BP42</f>
        <v>0</v>
      </c>
      <c r="BQ19" s="52">
        <f>Construction!BQ42</f>
        <v>0</v>
      </c>
      <c r="BR19" s="52">
        <f>Construction!BR42</f>
        <v>0</v>
      </c>
      <c r="BS19" s="52">
        <f>Construction!BS42</f>
        <v>0</v>
      </c>
      <c r="BT19" s="52">
        <f>Construction!BT42</f>
        <v>0</v>
      </c>
      <c r="BU19" s="52">
        <f>Construction!BU42</f>
        <v>0</v>
      </c>
    </row>
    <row r="20" spans="1:73">
      <c r="A20" t="s">
        <v>274</v>
      </c>
      <c r="B20" s="27" t="s">
        <v>184</v>
      </c>
      <c r="C20">
        <f>SUM(D20:BU20)</f>
        <v>0</v>
      </c>
      <c r="D20" s="52">
        <v>0</v>
      </c>
      <c r="E20" s="52">
        <v>0</v>
      </c>
      <c r="F20" s="52">
        <v>0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  <c r="O20" s="52">
        <v>0</v>
      </c>
      <c r="P20" s="52">
        <v>0</v>
      </c>
      <c r="Q20" s="52">
        <v>0</v>
      </c>
      <c r="R20" s="52">
        <v>0</v>
      </c>
      <c r="S20" s="52">
        <v>0</v>
      </c>
      <c r="T20" s="52">
        <v>0</v>
      </c>
      <c r="U20" s="52">
        <v>0</v>
      </c>
      <c r="V20" s="52">
        <v>0</v>
      </c>
      <c r="W20" s="52">
        <v>0</v>
      </c>
      <c r="X20" s="52">
        <v>0</v>
      </c>
      <c r="Y20" s="52">
        <v>0</v>
      </c>
      <c r="Z20" s="52">
        <v>0</v>
      </c>
      <c r="AA20" s="52">
        <v>0</v>
      </c>
      <c r="AB20" s="52">
        <v>0</v>
      </c>
      <c r="AC20" s="52">
        <v>0</v>
      </c>
      <c r="AD20" s="52">
        <v>0</v>
      </c>
      <c r="AE20" s="52">
        <v>0</v>
      </c>
      <c r="AF20" s="52">
        <v>0</v>
      </c>
      <c r="AG20" s="52">
        <v>0</v>
      </c>
      <c r="AH20" s="52">
        <v>0</v>
      </c>
      <c r="AI20" s="52">
        <v>0</v>
      </c>
      <c r="AJ20" s="52">
        <v>0</v>
      </c>
      <c r="AK20" s="52">
        <v>0</v>
      </c>
      <c r="AL20" s="52">
        <v>0</v>
      </c>
      <c r="AM20" s="52">
        <v>0</v>
      </c>
      <c r="AN20" s="52">
        <v>0</v>
      </c>
      <c r="AO20" s="52">
        <v>0</v>
      </c>
      <c r="AP20" s="52">
        <v>0</v>
      </c>
      <c r="AQ20" s="52">
        <v>0</v>
      </c>
      <c r="AR20" s="52">
        <v>0</v>
      </c>
      <c r="AS20" s="52">
        <v>0</v>
      </c>
      <c r="AT20" s="52">
        <v>0</v>
      </c>
      <c r="AU20" s="52">
        <v>0</v>
      </c>
      <c r="AV20" s="52">
        <v>0</v>
      </c>
      <c r="AW20" s="52">
        <v>0</v>
      </c>
      <c r="AX20" s="52">
        <v>0</v>
      </c>
      <c r="AY20" s="52">
        <v>0</v>
      </c>
      <c r="AZ20" s="52">
        <v>0</v>
      </c>
      <c r="BA20" s="52">
        <v>0</v>
      </c>
      <c r="BB20" s="52">
        <v>0</v>
      </c>
      <c r="BC20" s="52">
        <v>0</v>
      </c>
      <c r="BD20" s="52">
        <v>0</v>
      </c>
      <c r="BE20" s="52">
        <v>0</v>
      </c>
      <c r="BF20" s="52">
        <v>0</v>
      </c>
      <c r="BG20" s="52">
        <v>0</v>
      </c>
      <c r="BH20" s="52">
        <v>0</v>
      </c>
      <c r="BI20" s="52">
        <v>0</v>
      </c>
      <c r="BJ20" s="52">
        <v>0</v>
      </c>
      <c r="BK20" s="52">
        <v>0</v>
      </c>
      <c r="BL20" s="52">
        <v>0</v>
      </c>
      <c r="BM20" s="52">
        <v>0</v>
      </c>
      <c r="BN20" s="52">
        <v>0</v>
      </c>
      <c r="BO20" s="52">
        <v>0</v>
      </c>
      <c r="BP20" s="52">
        <v>0</v>
      </c>
      <c r="BQ20" s="52">
        <v>0</v>
      </c>
      <c r="BR20" s="52">
        <v>0</v>
      </c>
      <c r="BS20" s="52">
        <v>0</v>
      </c>
      <c r="BT20" s="52">
        <v>0</v>
      </c>
      <c r="BU20" s="52">
        <v>0</v>
      </c>
    </row>
    <row r="21" spans="1:73">
      <c r="A21" t="s">
        <v>272</v>
      </c>
      <c r="B21" s="27" t="s">
        <v>184</v>
      </c>
      <c r="C21">
        <f>SUM(D21:BU21)</f>
        <v>2741677.7108538249</v>
      </c>
      <c r="D21" s="52">
        <f>D19+D20</f>
        <v>516125.35750446684</v>
      </c>
      <c r="E21" s="52">
        <f t="shared" ref="E21:BP21" si="2">E19+E20</f>
        <v>404618.80388511671</v>
      </c>
      <c r="F21" s="52">
        <f t="shared" si="2"/>
        <v>776570.6839689312</v>
      </c>
      <c r="G21" s="52">
        <f t="shared" si="2"/>
        <v>1044362.8654953103</v>
      </c>
      <c r="H21" s="52">
        <f t="shared" si="2"/>
        <v>0</v>
      </c>
      <c r="I21" s="52">
        <f t="shared" si="2"/>
        <v>0</v>
      </c>
      <c r="J21" s="52">
        <f t="shared" si="2"/>
        <v>0</v>
      </c>
      <c r="K21" s="52">
        <f t="shared" si="2"/>
        <v>0</v>
      </c>
      <c r="L21" s="52">
        <f t="shared" si="2"/>
        <v>0</v>
      </c>
      <c r="M21" s="52">
        <f t="shared" si="2"/>
        <v>0</v>
      </c>
      <c r="N21" s="52">
        <f t="shared" si="2"/>
        <v>0</v>
      </c>
      <c r="O21" s="52">
        <f t="shared" si="2"/>
        <v>0</v>
      </c>
      <c r="P21" s="52">
        <f t="shared" si="2"/>
        <v>0</v>
      </c>
      <c r="Q21" s="52">
        <f t="shared" si="2"/>
        <v>0</v>
      </c>
      <c r="R21" s="52">
        <f t="shared" si="2"/>
        <v>0</v>
      </c>
      <c r="S21" s="52">
        <f t="shared" si="2"/>
        <v>0</v>
      </c>
      <c r="T21" s="52">
        <f t="shared" si="2"/>
        <v>0</v>
      </c>
      <c r="U21" s="52">
        <f t="shared" si="2"/>
        <v>0</v>
      </c>
      <c r="V21" s="52">
        <f t="shared" si="2"/>
        <v>0</v>
      </c>
      <c r="W21" s="52">
        <f t="shared" si="2"/>
        <v>0</v>
      </c>
      <c r="X21" s="52">
        <f t="shared" si="2"/>
        <v>0</v>
      </c>
      <c r="Y21" s="52">
        <f t="shared" si="2"/>
        <v>0</v>
      </c>
      <c r="Z21" s="52">
        <f t="shared" si="2"/>
        <v>0</v>
      </c>
      <c r="AA21" s="52">
        <f t="shared" si="2"/>
        <v>0</v>
      </c>
      <c r="AB21" s="52">
        <f t="shared" si="2"/>
        <v>0</v>
      </c>
      <c r="AC21" s="52">
        <f t="shared" si="2"/>
        <v>0</v>
      </c>
      <c r="AD21" s="52">
        <f t="shared" si="2"/>
        <v>0</v>
      </c>
      <c r="AE21" s="52">
        <f t="shared" si="2"/>
        <v>0</v>
      </c>
      <c r="AF21" s="52">
        <f t="shared" si="2"/>
        <v>0</v>
      </c>
      <c r="AG21" s="52">
        <f t="shared" si="2"/>
        <v>0</v>
      </c>
      <c r="AH21" s="52">
        <f t="shared" si="2"/>
        <v>0</v>
      </c>
      <c r="AI21" s="52">
        <f t="shared" si="2"/>
        <v>0</v>
      </c>
      <c r="AJ21" s="52">
        <f t="shared" si="2"/>
        <v>0</v>
      </c>
      <c r="AK21" s="52">
        <f t="shared" si="2"/>
        <v>0</v>
      </c>
      <c r="AL21" s="52">
        <f t="shared" si="2"/>
        <v>0</v>
      </c>
      <c r="AM21" s="52">
        <f t="shared" si="2"/>
        <v>0</v>
      </c>
      <c r="AN21" s="52">
        <f t="shared" si="2"/>
        <v>0</v>
      </c>
      <c r="AO21" s="52">
        <f t="shared" si="2"/>
        <v>0</v>
      </c>
      <c r="AP21" s="52">
        <f t="shared" si="2"/>
        <v>0</v>
      </c>
      <c r="AQ21" s="52">
        <f t="shared" si="2"/>
        <v>0</v>
      </c>
      <c r="AR21" s="52">
        <f t="shared" si="2"/>
        <v>0</v>
      </c>
      <c r="AS21" s="52">
        <f t="shared" si="2"/>
        <v>0</v>
      </c>
      <c r="AT21" s="52">
        <f t="shared" si="2"/>
        <v>0</v>
      </c>
      <c r="AU21" s="52">
        <f t="shared" si="2"/>
        <v>0</v>
      </c>
      <c r="AV21" s="52">
        <f t="shared" si="2"/>
        <v>0</v>
      </c>
      <c r="AW21" s="52">
        <f t="shared" si="2"/>
        <v>0</v>
      </c>
      <c r="AX21" s="52">
        <f t="shared" si="2"/>
        <v>0</v>
      </c>
      <c r="AY21" s="52">
        <f t="shared" si="2"/>
        <v>0</v>
      </c>
      <c r="AZ21" s="52">
        <f t="shared" si="2"/>
        <v>0</v>
      </c>
      <c r="BA21" s="52">
        <f t="shared" si="2"/>
        <v>0</v>
      </c>
      <c r="BB21" s="52">
        <f t="shared" si="2"/>
        <v>0</v>
      </c>
      <c r="BC21" s="52">
        <f t="shared" si="2"/>
        <v>0</v>
      </c>
      <c r="BD21" s="52">
        <f t="shared" si="2"/>
        <v>0</v>
      </c>
      <c r="BE21" s="52">
        <f t="shared" si="2"/>
        <v>0</v>
      </c>
      <c r="BF21" s="52">
        <f t="shared" si="2"/>
        <v>0</v>
      </c>
      <c r="BG21" s="52">
        <f t="shared" si="2"/>
        <v>0</v>
      </c>
      <c r="BH21" s="52">
        <f t="shared" si="2"/>
        <v>0</v>
      </c>
      <c r="BI21" s="52">
        <f t="shared" si="2"/>
        <v>0</v>
      </c>
      <c r="BJ21" s="52">
        <f t="shared" si="2"/>
        <v>0</v>
      </c>
      <c r="BK21" s="52">
        <f t="shared" si="2"/>
        <v>0</v>
      </c>
      <c r="BL21" s="52">
        <f t="shared" si="2"/>
        <v>0</v>
      </c>
      <c r="BM21" s="52">
        <f t="shared" si="2"/>
        <v>0</v>
      </c>
      <c r="BN21" s="52">
        <f t="shared" si="2"/>
        <v>0</v>
      </c>
      <c r="BO21" s="52">
        <f t="shared" si="2"/>
        <v>0</v>
      </c>
      <c r="BP21" s="52">
        <f t="shared" si="2"/>
        <v>0</v>
      </c>
      <c r="BQ21" s="52">
        <f t="shared" ref="BQ21:BU21" si="3">BQ19+BQ20</f>
        <v>0</v>
      </c>
      <c r="BR21" s="52">
        <f t="shared" si="3"/>
        <v>0</v>
      </c>
      <c r="BS21" s="52">
        <f t="shared" si="3"/>
        <v>0</v>
      </c>
      <c r="BT21" s="52">
        <f t="shared" si="3"/>
        <v>0</v>
      </c>
      <c r="BU21" s="52">
        <f t="shared" si="3"/>
        <v>0</v>
      </c>
    </row>
    <row r="22" spans="1:73">
      <c r="A22" t="s">
        <v>260</v>
      </c>
      <c r="B22" t="s">
        <v>184</v>
      </c>
      <c r="D22">
        <f>D8 - D15 - D21</f>
        <v>-516125.35750446684</v>
      </c>
      <c r="E22">
        <f t="shared" ref="E22:BP22" si="4">E8 - E15 - E21</f>
        <v>-404618.80388511671</v>
      </c>
      <c r="F22">
        <f t="shared" si="4"/>
        <v>-776570.6839689312</v>
      </c>
      <c r="G22">
        <f t="shared" si="4"/>
        <v>-1044362.8654953103</v>
      </c>
      <c r="H22">
        <f t="shared" si="4"/>
        <v>148701.53185776155</v>
      </c>
      <c r="I22">
        <f t="shared" si="4"/>
        <v>-703731.61425579467</v>
      </c>
      <c r="J22">
        <f t="shared" si="4"/>
        <v>137724.21792169753</v>
      </c>
      <c r="K22">
        <f t="shared" si="4"/>
        <v>-714817.78222092579</v>
      </c>
      <c r="L22">
        <f t="shared" si="4"/>
        <v>126527.50946991518</v>
      </c>
      <c r="M22">
        <f t="shared" si="4"/>
        <v>-726156.80877463997</v>
      </c>
      <c r="N22">
        <f t="shared" si="4"/>
        <v>115075.42116958601</v>
      </c>
      <c r="O22">
        <f t="shared" si="4"/>
        <v>-737691.1705984883</v>
      </c>
      <c r="P22">
        <f t="shared" si="4"/>
        <v>103426.04990575509</v>
      </c>
      <c r="Q22">
        <f t="shared" si="4"/>
        <v>-749456.06019454077</v>
      </c>
      <c r="R22">
        <f t="shared" si="4"/>
        <v>91543.852270943346</v>
      </c>
      <c r="S22">
        <f t="shared" si="4"/>
        <v>-761456.08493116044</v>
      </c>
      <c r="T22">
        <f t="shared" si="4"/>
        <v>79424.174956589937</v>
      </c>
      <c r="U22">
        <f t="shared" si="4"/>
        <v>-773729.81193599466</v>
      </c>
      <c r="V22">
        <f t="shared" si="4"/>
        <v>67028.066281154286</v>
      </c>
      <c r="W22">
        <f t="shared" si="4"/>
        <v>-786214.97611920431</v>
      </c>
      <c r="X22">
        <f t="shared" si="4"/>
        <v>54418.412181403721</v>
      </c>
      <c r="Y22">
        <f t="shared" si="4"/>
        <v>-798949.67097682075</v>
      </c>
      <c r="Z22">
        <f t="shared" si="4"/>
        <v>41556.739330007229</v>
      </c>
      <c r="AA22">
        <f t="shared" si="4"/>
        <v>-811938.88367253344</v>
      </c>
      <c r="AB22">
        <f t="shared" si="4"/>
        <v>921498.74173343729</v>
      </c>
      <c r="AC22">
        <f t="shared" si="4"/>
        <v>67836.370391681936</v>
      </c>
      <c r="AD22">
        <f t="shared" si="4"/>
        <v>908080.79504429048</v>
      </c>
      <c r="AE22">
        <f t="shared" si="4"/>
        <v>54322.027156895638</v>
      </c>
      <c r="AF22">
        <f t="shared" si="4"/>
        <v>894431.6999202451</v>
      </c>
      <c r="AG22">
        <f t="shared" si="4"/>
        <v>40537.583895224991</v>
      </c>
      <c r="AH22">
        <f t="shared" si="4"/>
        <v>880509.81159449473</v>
      </c>
      <c r="AI22">
        <f t="shared" si="4"/>
        <v>26477.64234030529</v>
      </c>
      <c r="AJ22">
        <f t="shared" si="4"/>
        <v>866309.67797441222</v>
      </c>
      <c r="AK22">
        <f t="shared" si="4"/>
        <v>12097.014955230436</v>
      </c>
      <c r="AL22">
        <f t="shared" si="4"/>
        <v>851785.6609569143</v>
      </c>
      <c r="AM22">
        <f t="shared" si="4"/>
        <v>-2531.3447833807149</v>
      </c>
      <c r="AN22">
        <f t="shared" si="4"/>
        <v>837011.44143974804</v>
      </c>
      <c r="AO22">
        <f t="shared" si="4"/>
        <v>-17452.069477508398</v>
      </c>
      <c r="AP22">
        <f t="shared" si="4"/>
        <v>821941.9417880273</v>
      </c>
      <c r="AQ22">
        <f t="shared" si="4"/>
        <v>-32671.002384273772</v>
      </c>
      <c r="AR22">
        <f t="shared" si="4"/>
        <v>806571.26048135292</v>
      </c>
      <c r="AS22">
        <f t="shared" si="4"/>
        <v>-48237.055946855544</v>
      </c>
      <c r="AT22">
        <f t="shared" si="4"/>
        <v>790849.99736922595</v>
      </c>
      <c r="AU22">
        <f t="shared" si="4"/>
        <v>-64071.262975977472</v>
      </c>
      <c r="AV22">
        <f t="shared" si="4"/>
        <v>774857.90702494548</v>
      </c>
      <c r="AW22">
        <f t="shared" si="4"/>
        <v>-80221.935235407524</v>
      </c>
      <c r="AX22">
        <f t="shared" si="4"/>
        <v>758546.19596681418</v>
      </c>
      <c r="AY22">
        <f t="shared" si="4"/>
        <v>-96695.397654572589</v>
      </c>
      <c r="AZ22">
        <f t="shared" si="4"/>
        <v>741908.47619935893</v>
      </c>
      <c r="BA22">
        <f t="shared" si="4"/>
        <v>-113544.59463499367</v>
      </c>
      <c r="BB22">
        <f t="shared" si="4"/>
        <v>724891.27541097102</v>
      </c>
      <c r="BC22">
        <f t="shared" si="4"/>
        <v>-130684.04955141337</v>
      </c>
      <c r="BD22">
        <f t="shared" si="4"/>
        <v>707580.92251669639</v>
      </c>
      <c r="BE22">
        <f t="shared" si="4"/>
        <v>-148166.05661064011</v>
      </c>
      <c r="BF22">
        <f t="shared" si="4"/>
        <v>689924.60188274737</v>
      </c>
      <c r="BG22">
        <f t="shared" si="4"/>
        <v>-165997.46211969593</v>
      </c>
      <c r="BH22">
        <f t="shared" si="4"/>
        <v>671915.39893738623</v>
      </c>
      <c r="BI22">
        <f t="shared" si="4"/>
        <v>-184235.57480147862</v>
      </c>
      <c r="BJ22">
        <f t="shared" si="4"/>
        <v>653495.43353085767</v>
      </c>
      <c r="BK22">
        <f t="shared" si="4"/>
        <v>-202787.87200788138</v>
      </c>
      <c r="BL22">
        <f t="shared" si="4"/>
        <v>634758.15085714578</v>
      </c>
      <c r="BM22">
        <f t="shared" si="4"/>
        <v>-221710.95867013544</v>
      </c>
      <c r="BN22">
        <f t="shared" si="4"/>
        <v>615646.38157568779</v>
      </c>
      <c r="BO22">
        <f t="shared" si="4"/>
        <v>-241012.24545113856</v>
      </c>
      <c r="BP22">
        <f t="shared" si="4"/>
        <v>0</v>
      </c>
      <c r="BQ22">
        <f t="shared" ref="BQ22:BU22" si="5">BQ8 - BQ15 - BQ21</f>
        <v>0</v>
      </c>
      <c r="BR22">
        <f t="shared" si="5"/>
        <v>0</v>
      </c>
      <c r="BS22">
        <f t="shared" si="5"/>
        <v>0</v>
      </c>
      <c r="BT22">
        <f t="shared" si="5"/>
        <v>0</v>
      </c>
      <c r="BU22">
        <f t="shared" si="5"/>
        <v>0</v>
      </c>
    </row>
    <row r="23" spans="1:73">
      <c r="A23" t="s">
        <v>261</v>
      </c>
    </row>
    <row r="24" spans="1:73">
      <c r="A24" t="s">
        <v>202</v>
      </c>
      <c r="B24" t="s">
        <v>184</v>
      </c>
      <c r="D24" s="48">
        <v>0</v>
      </c>
      <c r="E24">
        <f>D29</f>
        <v>516125.35750446684</v>
      </c>
      <c r="F24">
        <f t="shared" ref="F24:BQ24" si="6">E29</f>
        <v>920744.16138958349</v>
      </c>
      <c r="G24">
        <f t="shared" si="6"/>
        <v>1697314.8453585147</v>
      </c>
      <c r="H24">
        <f t="shared" si="6"/>
        <v>2741677.7108538249</v>
      </c>
      <c r="I24">
        <f t="shared" si="6"/>
        <v>2592976.1789960633</v>
      </c>
      <c r="J24">
        <f t="shared" si="6"/>
        <v>3296707.7932518581</v>
      </c>
      <c r="K24">
        <f t="shared" si="6"/>
        <v>3158983.5753301606</v>
      </c>
      <c r="L24">
        <f t="shared" si="6"/>
        <v>3873801.3575510862</v>
      </c>
      <c r="M24">
        <f t="shared" si="6"/>
        <v>3747273.848081171</v>
      </c>
      <c r="N24">
        <f t="shared" si="6"/>
        <v>4473430.6568558114</v>
      </c>
      <c r="O24">
        <f t="shared" si="6"/>
        <v>4358355.2356862258</v>
      </c>
      <c r="P24">
        <f t="shared" si="6"/>
        <v>4703330.9253140902</v>
      </c>
      <c r="Q24">
        <f t="shared" si="6"/>
        <v>3926760.2413451588</v>
      </c>
      <c r="R24">
        <f t="shared" si="6"/>
        <v>3631853.4360443894</v>
      </c>
      <c r="S24">
        <f t="shared" si="6"/>
        <v>3540309.5837734463</v>
      </c>
      <c r="T24">
        <f t="shared" si="6"/>
        <v>3689577.9067197554</v>
      </c>
      <c r="U24">
        <f t="shared" si="6"/>
        <v>3610153.7317631654</v>
      </c>
      <c r="V24">
        <f t="shared" si="6"/>
        <v>3748489.936434824</v>
      </c>
      <c r="W24">
        <f t="shared" si="6"/>
        <v>3681461.8701536697</v>
      </c>
      <c r="X24">
        <f t="shared" si="6"/>
        <v>3808548.1037793886</v>
      </c>
      <c r="Y24">
        <f t="shared" si="6"/>
        <v>3754129.6915979851</v>
      </c>
      <c r="Z24">
        <f t="shared" si="6"/>
        <v>3869806.6041577212</v>
      </c>
      <c r="AA24">
        <f t="shared" si="6"/>
        <v>3828249.8648277139</v>
      </c>
      <c r="AB24">
        <f t="shared" si="6"/>
        <v>3932289.4276357139</v>
      </c>
      <c r="AC24">
        <f t="shared" si="6"/>
        <v>3010790.6859022765</v>
      </c>
      <c r="AD24">
        <f t="shared" si="6"/>
        <v>2942954.3155105948</v>
      </c>
      <c r="AE24">
        <f t="shared" si="6"/>
        <v>2034873.5204663044</v>
      </c>
      <c r="AF24">
        <f t="shared" si="6"/>
        <v>1980551.4933094087</v>
      </c>
      <c r="AG24">
        <f t="shared" si="6"/>
        <v>1086119.7933891634</v>
      </c>
      <c r="AH24">
        <f t="shared" si="6"/>
        <v>1045582.2094939385</v>
      </c>
      <c r="AI24">
        <f t="shared" si="6"/>
        <v>165072.39789944375</v>
      </c>
      <c r="AJ24">
        <f t="shared" si="6"/>
        <v>138594.75555913846</v>
      </c>
      <c r="AK24">
        <f t="shared" si="6"/>
        <v>0</v>
      </c>
      <c r="AL24">
        <f t="shared" si="6"/>
        <v>0</v>
      </c>
      <c r="AM24">
        <f t="shared" si="6"/>
        <v>0</v>
      </c>
      <c r="AN24">
        <f t="shared" si="6"/>
        <v>2531.3447833807149</v>
      </c>
      <c r="AO24">
        <f t="shared" si="6"/>
        <v>0</v>
      </c>
      <c r="AP24">
        <f t="shared" si="6"/>
        <v>17452.069477508398</v>
      </c>
      <c r="AQ24">
        <f t="shared" si="6"/>
        <v>0</v>
      </c>
      <c r="AR24">
        <f t="shared" si="6"/>
        <v>32671.002384273772</v>
      </c>
      <c r="AS24">
        <f t="shared" si="6"/>
        <v>0</v>
      </c>
      <c r="AT24">
        <f t="shared" si="6"/>
        <v>48237.055946855544</v>
      </c>
      <c r="AU24">
        <f t="shared" si="6"/>
        <v>0</v>
      </c>
      <c r="AV24">
        <f t="shared" si="6"/>
        <v>64071.262975977472</v>
      </c>
      <c r="AW24">
        <f t="shared" si="6"/>
        <v>0</v>
      </c>
      <c r="AX24">
        <f t="shared" si="6"/>
        <v>80221.935235407524</v>
      </c>
      <c r="AY24">
        <f t="shared" si="6"/>
        <v>0</v>
      </c>
      <c r="AZ24">
        <f t="shared" si="6"/>
        <v>96695.397654572589</v>
      </c>
      <c r="BA24">
        <f t="shared" si="6"/>
        <v>0</v>
      </c>
      <c r="BB24">
        <f t="shared" si="6"/>
        <v>113544.59463499367</v>
      </c>
      <c r="BC24">
        <f t="shared" si="6"/>
        <v>0</v>
      </c>
      <c r="BD24">
        <f t="shared" si="6"/>
        <v>130684.04955141337</v>
      </c>
      <c r="BE24">
        <f t="shared" si="6"/>
        <v>0</v>
      </c>
      <c r="BF24">
        <f t="shared" si="6"/>
        <v>148166.05661064011</v>
      </c>
      <c r="BG24">
        <f t="shared" si="6"/>
        <v>0</v>
      </c>
      <c r="BH24">
        <f t="shared" si="6"/>
        <v>165997.46211969593</v>
      </c>
      <c r="BI24">
        <f t="shared" si="6"/>
        <v>0</v>
      </c>
      <c r="BJ24">
        <f t="shared" si="6"/>
        <v>184235.57480147862</v>
      </c>
      <c r="BK24">
        <f t="shared" si="6"/>
        <v>0</v>
      </c>
      <c r="BL24">
        <f t="shared" si="6"/>
        <v>202787.87200788138</v>
      </c>
      <c r="BM24">
        <f t="shared" si="6"/>
        <v>0</v>
      </c>
      <c r="BN24">
        <f t="shared" si="6"/>
        <v>221710.95867013544</v>
      </c>
      <c r="BO24">
        <f t="shared" si="6"/>
        <v>0</v>
      </c>
      <c r="BP24">
        <f t="shared" si="6"/>
        <v>241012.24545113856</v>
      </c>
      <c r="BQ24">
        <f t="shared" si="6"/>
        <v>241012.24545113856</v>
      </c>
      <c r="BR24">
        <f t="shared" ref="BR24:BU24" si="7">BQ29</f>
        <v>241012.24545113856</v>
      </c>
      <c r="BS24">
        <f t="shared" si="7"/>
        <v>241012.24545113856</v>
      </c>
      <c r="BT24">
        <f t="shared" si="7"/>
        <v>241012.24545113856</v>
      </c>
      <c r="BU24">
        <f t="shared" si="7"/>
        <v>241012.24545113856</v>
      </c>
    </row>
    <row r="25" spans="1:73">
      <c r="A25" t="s">
        <v>262</v>
      </c>
      <c r="B25" t="s">
        <v>184</v>
      </c>
      <c r="C25">
        <f>SUM(D25:BU25)</f>
        <v>12055839.45683928</v>
      </c>
      <c r="D25">
        <f>MAX(0,-D22)</f>
        <v>516125.35750446684</v>
      </c>
      <c r="E25">
        <f t="shared" ref="E25:BP25" si="8">MAX(0,-E22)</f>
        <v>404618.80388511671</v>
      </c>
      <c r="F25">
        <f t="shared" si="8"/>
        <v>776570.6839689312</v>
      </c>
      <c r="G25">
        <f t="shared" si="8"/>
        <v>1044362.8654953103</v>
      </c>
      <c r="H25">
        <f t="shared" si="8"/>
        <v>0</v>
      </c>
      <c r="I25">
        <f t="shared" si="8"/>
        <v>703731.61425579467</v>
      </c>
      <c r="J25">
        <f t="shared" si="8"/>
        <v>0</v>
      </c>
      <c r="K25">
        <f t="shared" si="8"/>
        <v>714817.78222092579</v>
      </c>
      <c r="L25">
        <f t="shared" si="8"/>
        <v>0</v>
      </c>
      <c r="M25">
        <f t="shared" si="8"/>
        <v>726156.80877463997</v>
      </c>
      <c r="N25">
        <f t="shared" si="8"/>
        <v>0</v>
      </c>
      <c r="O25">
        <f t="shared" si="8"/>
        <v>737691.1705984883</v>
      </c>
      <c r="P25">
        <f t="shared" si="8"/>
        <v>0</v>
      </c>
      <c r="Q25">
        <f t="shared" si="8"/>
        <v>749456.06019454077</v>
      </c>
      <c r="R25">
        <f t="shared" si="8"/>
        <v>0</v>
      </c>
      <c r="S25">
        <f t="shared" si="8"/>
        <v>761456.08493116044</v>
      </c>
      <c r="T25">
        <f t="shared" si="8"/>
        <v>0</v>
      </c>
      <c r="U25">
        <f t="shared" si="8"/>
        <v>773729.81193599466</v>
      </c>
      <c r="V25">
        <f t="shared" si="8"/>
        <v>0</v>
      </c>
      <c r="W25">
        <f t="shared" si="8"/>
        <v>786214.97611920431</v>
      </c>
      <c r="X25">
        <f t="shared" si="8"/>
        <v>0</v>
      </c>
      <c r="Y25">
        <f t="shared" si="8"/>
        <v>798949.67097682075</v>
      </c>
      <c r="Z25">
        <f t="shared" si="8"/>
        <v>0</v>
      </c>
      <c r="AA25">
        <f t="shared" si="8"/>
        <v>811938.88367253344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  <c r="AH25">
        <f t="shared" si="8"/>
        <v>0</v>
      </c>
      <c r="AI25">
        <f t="shared" si="8"/>
        <v>0</v>
      </c>
      <c r="AJ25">
        <f t="shared" si="8"/>
        <v>0</v>
      </c>
      <c r="AK25">
        <f t="shared" si="8"/>
        <v>0</v>
      </c>
      <c r="AL25">
        <f t="shared" si="8"/>
        <v>0</v>
      </c>
      <c r="AM25">
        <f t="shared" si="8"/>
        <v>2531.3447833807149</v>
      </c>
      <c r="AN25">
        <f t="shared" si="8"/>
        <v>0</v>
      </c>
      <c r="AO25">
        <f t="shared" si="8"/>
        <v>17452.069477508398</v>
      </c>
      <c r="AP25">
        <f t="shared" si="8"/>
        <v>0</v>
      </c>
      <c r="AQ25">
        <f t="shared" si="8"/>
        <v>32671.002384273772</v>
      </c>
      <c r="AR25">
        <f t="shared" si="8"/>
        <v>0</v>
      </c>
      <c r="AS25">
        <f t="shared" si="8"/>
        <v>48237.055946855544</v>
      </c>
      <c r="AT25">
        <f t="shared" si="8"/>
        <v>0</v>
      </c>
      <c r="AU25">
        <f t="shared" si="8"/>
        <v>64071.262975977472</v>
      </c>
      <c r="AV25">
        <f t="shared" si="8"/>
        <v>0</v>
      </c>
      <c r="AW25">
        <f t="shared" si="8"/>
        <v>80221.935235407524</v>
      </c>
      <c r="AX25">
        <f t="shared" si="8"/>
        <v>0</v>
      </c>
      <c r="AY25">
        <f t="shared" si="8"/>
        <v>96695.397654572589</v>
      </c>
      <c r="AZ25">
        <f t="shared" si="8"/>
        <v>0</v>
      </c>
      <c r="BA25">
        <f t="shared" si="8"/>
        <v>113544.59463499367</v>
      </c>
      <c r="BB25">
        <f t="shared" si="8"/>
        <v>0</v>
      </c>
      <c r="BC25">
        <f t="shared" si="8"/>
        <v>130684.04955141337</v>
      </c>
      <c r="BD25">
        <f t="shared" si="8"/>
        <v>0</v>
      </c>
      <c r="BE25">
        <f t="shared" si="8"/>
        <v>148166.05661064011</v>
      </c>
      <c r="BF25">
        <f t="shared" si="8"/>
        <v>0</v>
      </c>
      <c r="BG25">
        <f t="shared" si="8"/>
        <v>165997.46211969593</v>
      </c>
      <c r="BH25">
        <f t="shared" si="8"/>
        <v>0</v>
      </c>
      <c r="BI25">
        <f t="shared" si="8"/>
        <v>184235.57480147862</v>
      </c>
      <c r="BJ25">
        <f t="shared" si="8"/>
        <v>0</v>
      </c>
      <c r="BK25">
        <f t="shared" si="8"/>
        <v>202787.87200788138</v>
      </c>
      <c r="BL25">
        <f t="shared" si="8"/>
        <v>0</v>
      </c>
      <c r="BM25">
        <f t="shared" si="8"/>
        <v>221710.95867013544</v>
      </c>
      <c r="BN25">
        <f t="shared" si="8"/>
        <v>0</v>
      </c>
      <c r="BO25">
        <f t="shared" si="8"/>
        <v>241012.24545113856</v>
      </c>
      <c r="BP25">
        <f t="shared" si="8"/>
        <v>0</v>
      </c>
      <c r="BQ25">
        <f t="shared" ref="BQ25:BT25" si="9">MAX(0,-BQ22)</f>
        <v>0</v>
      </c>
      <c r="BR25">
        <f t="shared" si="9"/>
        <v>0</v>
      </c>
      <c r="BS25">
        <f t="shared" si="9"/>
        <v>0</v>
      </c>
      <c r="BT25">
        <f t="shared" si="9"/>
        <v>0</v>
      </c>
      <c r="BU25">
        <f t="shared" ref="BU25" si="10">MAX(0,-BU22)</f>
        <v>0</v>
      </c>
    </row>
    <row r="26" spans="1:73">
      <c r="A26" t="s">
        <v>264</v>
      </c>
      <c r="B26" t="s">
        <v>184</v>
      </c>
      <c r="C26">
        <f>SUM(D26:BU26)</f>
        <v>6406722.0398347424</v>
      </c>
      <c r="D26">
        <f>MIN(D24,MAX(0,D22))</f>
        <v>0</v>
      </c>
      <c r="E26">
        <f t="shared" ref="E26:BP26" si="11">MIN(E24,MAX(0,E22))</f>
        <v>0</v>
      </c>
      <c r="F26">
        <f t="shared" si="11"/>
        <v>0</v>
      </c>
      <c r="G26">
        <f t="shared" si="11"/>
        <v>0</v>
      </c>
      <c r="H26">
        <f t="shared" si="11"/>
        <v>148701.53185776155</v>
      </c>
      <c r="I26">
        <f t="shared" si="11"/>
        <v>0</v>
      </c>
      <c r="J26">
        <f t="shared" si="11"/>
        <v>137724.21792169753</v>
      </c>
      <c r="K26">
        <f t="shared" si="11"/>
        <v>0</v>
      </c>
      <c r="L26">
        <f t="shared" si="11"/>
        <v>126527.50946991518</v>
      </c>
      <c r="M26">
        <f t="shared" si="11"/>
        <v>0</v>
      </c>
      <c r="N26">
        <f t="shared" si="11"/>
        <v>115075.42116958601</v>
      </c>
      <c r="O26">
        <f t="shared" si="11"/>
        <v>0</v>
      </c>
      <c r="P26">
        <f t="shared" si="11"/>
        <v>103426.04990575509</v>
      </c>
      <c r="Q26">
        <f t="shared" si="11"/>
        <v>0</v>
      </c>
      <c r="R26">
        <f t="shared" si="11"/>
        <v>91543.852270943346</v>
      </c>
      <c r="S26">
        <f t="shared" si="11"/>
        <v>0</v>
      </c>
      <c r="T26">
        <f t="shared" si="11"/>
        <v>79424.174956589937</v>
      </c>
      <c r="U26">
        <f t="shared" si="11"/>
        <v>0</v>
      </c>
      <c r="V26">
        <f t="shared" si="11"/>
        <v>67028.066281154286</v>
      </c>
      <c r="W26">
        <f t="shared" si="11"/>
        <v>0</v>
      </c>
      <c r="X26">
        <f t="shared" si="11"/>
        <v>54418.412181403721</v>
      </c>
      <c r="Y26">
        <f t="shared" si="11"/>
        <v>0</v>
      </c>
      <c r="Z26">
        <f t="shared" si="11"/>
        <v>41556.739330007229</v>
      </c>
      <c r="AA26">
        <f t="shared" si="11"/>
        <v>0</v>
      </c>
      <c r="AB26">
        <f t="shared" si="11"/>
        <v>921498.74173343729</v>
      </c>
      <c r="AC26">
        <f t="shared" si="11"/>
        <v>67836.370391681936</v>
      </c>
      <c r="AD26">
        <f t="shared" si="11"/>
        <v>908080.79504429048</v>
      </c>
      <c r="AE26">
        <f t="shared" si="11"/>
        <v>54322.027156895638</v>
      </c>
      <c r="AF26">
        <f t="shared" si="11"/>
        <v>894431.6999202451</v>
      </c>
      <c r="AG26">
        <f t="shared" si="11"/>
        <v>40537.583895224991</v>
      </c>
      <c r="AH26">
        <f t="shared" si="11"/>
        <v>880509.81159449473</v>
      </c>
      <c r="AI26">
        <f t="shared" si="11"/>
        <v>26477.64234030529</v>
      </c>
      <c r="AJ26">
        <f t="shared" si="11"/>
        <v>138594.75555913846</v>
      </c>
      <c r="AK26">
        <f t="shared" si="11"/>
        <v>0</v>
      </c>
      <c r="AL26">
        <f t="shared" si="11"/>
        <v>0</v>
      </c>
      <c r="AM26">
        <f t="shared" si="11"/>
        <v>0</v>
      </c>
      <c r="AN26">
        <f t="shared" si="11"/>
        <v>2531.3447833807149</v>
      </c>
      <c r="AO26">
        <f t="shared" si="11"/>
        <v>0</v>
      </c>
      <c r="AP26">
        <f t="shared" si="11"/>
        <v>17452.069477508398</v>
      </c>
      <c r="AQ26">
        <f t="shared" si="11"/>
        <v>0</v>
      </c>
      <c r="AR26">
        <f t="shared" si="11"/>
        <v>32671.002384273772</v>
      </c>
      <c r="AS26">
        <f t="shared" si="11"/>
        <v>0</v>
      </c>
      <c r="AT26">
        <f t="shared" si="11"/>
        <v>48237.055946855544</v>
      </c>
      <c r="AU26">
        <f t="shared" si="11"/>
        <v>0</v>
      </c>
      <c r="AV26">
        <f t="shared" si="11"/>
        <v>64071.262975977472</v>
      </c>
      <c r="AW26">
        <f t="shared" si="11"/>
        <v>0</v>
      </c>
      <c r="AX26">
        <f t="shared" si="11"/>
        <v>80221.935235407524</v>
      </c>
      <c r="AY26">
        <f t="shared" si="11"/>
        <v>0</v>
      </c>
      <c r="AZ26">
        <f t="shared" si="11"/>
        <v>96695.397654572589</v>
      </c>
      <c r="BA26">
        <f t="shared" si="11"/>
        <v>0</v>
      </c>
      <c r="BB26">
        <f t="shared" si="11"/>
        <v>113544.59463499367</v>
      </c>
      <c r="BC26">
        <f t="shared" si="11"/>
        <v>0</v>
      </c>
      <c r="BD26">
        <f t="shared" si="11"/>
        <v>130684.04955141337</v>
      </c>
      <c r="BE26">
        <f t="shared" si="11"/>
        <v>0</v>
      </c>
      <c r="BF26">
        <f t="shared" si="11"/>
        <v>148166.05661064011</v>
      </c>
      <c r="BG26">
        <f t="shared" si="11"/>
        <v>0</v>
      </c>
      <c r="BH26">
        <f t="shared" si="11"/>
        <v>165997.46211969593</v>
      </c>
      <c r="BI26">
        <f t="shared" si="11"/>
        <v>0</v>
      </c>
      <c r="BJ26">
        <f t="shared" si="11"/>
        <v>184235.57480147862</v>
      </c>
      <c r="BK26">
        <f t="shared" si="11"/>
        <v>0</v>
      </c>
      <c r="BL26">
        <f t="shared" si="11"/>
        <v>202787.87200788138</v>
      </c>
      <c r="BM26">
        <f t="shared" si="11"/>
        <v>0</v>
      </c>
      <c r="BN26">
        <f t="shared" si="11"/>
        <v>221710.95867013544</v>
      </c>
      <c r="BO26">
        <f t="shared" si="11"/>
        <v>0</v>
      </c>
      <c r="BP26">
        <f t="shared" si="11"/>
        <v>0</v>
      </c>
      <c r="BQ26">
        <f t="shared" ref="BQ26:BT26" si="12">MIN(BQ24,MAX(0,BQ22))</f>
        <v>0</v>
      </c>
      <c r="BR26">
        <f t="shared" si="12"/>
        <v>0</v>
      </c>
      <c r="BS26">
        <f t="shared" si="12"/>
        <v>0</v>
      </c>
      <c r="BT26">
        <f t="shared" si="12"/>
        <v>0</v>
      </c>
      <c r="BU26">
        <f t="shared" ref="BU26" si="13">MIN(BU24,MAX(0,BU22))</f>
        <v>0</v>
      </c>
    </row>
    <row r="27" spans="1:73">
      <c r="A27" t="s">
        <v>265</v>
      </c>
      <c r="B27" t="s">
        <v>184</v>
      </c>
      <c r="D27">
        <f>D24 + D25 - D26</f>
        <v>516125.35750446684</v>
      </c>
      <c r="E27">
        <f t="shared" ref="E27:BP27" si="14">E24 + E25 - E26</f>
        <v>920744.16138958349</v>
      </c>
      <c r="F27">
        <f t="shared" si="14"/>
        <v>1697314.8453585147</v>
      </c>
      <c r="G27">
        <f t="shared" si="14"/>
        <v>2741677.7108538249</v>
      </c>
      <c r="H27">
        <f t="shared" si="14"/>
        <v>2592976.1789960633</v>
      </c>
      <c r="I27">
        <f t="shared" si="14"/>
        <v>3296707.7932518581</v>
      </c>
      <c r="J27">
        <f t="shared" si="14"/>
        <v>3158983.5753301606</v>
      </c>
      <c r="K27">
        <f t="shared" si="14"/>
        <v>3873801.3575510862</v>
      </c>
      <c r="L27">
        <f t="shared" si="14"/>
        <v>3747273.848081171</v>
      </c>
      <c r="M27">
        <f t="shared" si="14"/>
        <v>4473430.6568558114</v>
      </c>
      <c r="N27">
        <f t="shared" si="14"/>
        <v>4358355.2356862258</v>
      </c>
      <c r="O27">
        <f t="shared" si="14"/>
        <v>5096046.4062847141</v>
      </c>
      <c r="P27">
        <f t="shared" si="14"/>
        <v>4599904.8754083347</v>
      </c>
      <c r="Q27">
        <f t="shared" si="14"/>
        <v>4676216.3015396995</v>
      </c>
      <c r="R27">
        <f t="shared" si="14"/>
        <v>3540309.5837734463</v>
      </c>
      <c r="S27">
        <f t="shared" si="14"/>
        <v>4301765.6687046066</v>
      </c>
      <c r="T27">
        <f t="shared" si="14"/>
        <v>3610153.7317631654</v>
      </c>
      <c r="U27">
        <f t="shared" si="14"/>
        <v>4383883.5436991602</v>
      </c>
      <c r="V27">
        <f t="shared" si="14"/>
        <v>3681461.8701536697</v>
      </c>
      <c r="W27">
        <f t="shared" si="14"/>
        <v>4467676.8462728737</v>
      </c>
      <c r="X27">
        <f t="shared" si="14"/>
        <v>3754129.6915979851</v>
      </c>
      <c r="Y27">
        <f t="shared" si="14"/>
        <v>4553079.3625748055</v>
      </c>
      <c r="Z27">
        <f t="shared" si="14"/>
        <v>3828249.8648277139</v>
      </c>
      <c r="AA27">
        <f t="shared" si="14"/>
        <v>4640188.7485002475</v>
      </c>
      <c r="AB27">
        <f t="shared" si="14"/>
        <v>3010790.6859022765</v>
      </c>
      <c r="AC27">
        <f t="shared" si="14"/>
        <v>2942954.3155105948</v>
      </c>
      <c r="AD27">
        <f t="shared" si="14"/>
        <v>2034873.5204663044</v>
      </c>
      <c r="AE27">
        <f t="shared" si="14"/>
        <v>1980551.4933094087</v>
      </c>
      <c r="AF27">
        <f t="shared" si="14"/>
        <v>1086119.7933891634</v>
      </c>
      <c r="AG27">
        <f t="shared" si="14"/>
        <v>1045582.2094939385</v>
      </c>
      <c r="AH27">
        <f t="shared" si="14"/>
        <v>165072.39789944375</v>
      </c>
      <c r="AI27">
        <f t="shared" si="14"/>
        <v>138594.75555913846</v>
      </c>
      <c r="AJ27">
        <f t="shared" si="14"/>
        <v>0</v>
      </c>
      <c r="AK27">
        <f t="shared" si="14"/>
        <v>0</v>
      </c>
      <c r="AL27">
        <f t="shared" si="14"/>
        <v>0</v>
      </c>
      <c r="AM27">
        <f t="shared" si="14"/>
        <v>2531.3447833807149</v>
      </c>
      <c r="AN27">
        <f t="shared" si="14"/>
        <v>0</v>
      </c>
      <c r="AO27">
        <f t="shared" si="14"/>
        <v>17452.069477508398</v>
      </c>
      <c r="AP27">
        <f t="shared" si="14"/>
        <v>0</v>
      </c>
      <c r="AQ27">
        <f t="shared" si="14"/>
        <v>32671.002384273772</v>
      </c>
      <c r="AR27">
        <f t="shared" si="14"/>
        <v>0</v>
      </c>
      <c r="AS27">
        <f t="shared" si="14"/>
        <v>48237.055946855544</v>
      </c>
      <c r="AT27">
        <f t="shared" si="14"/>
        <v>0</v>
      </c>
      <c r="AU27">
        <f t="shared" si="14"/>
        <v>64071.262975977472</v>
      </c>
      <c r="AV27">
        <f t="shared" si="14"/>
        <v>0</v>
      </c>
      <c r="AW27">
        <f t="shared" si="14"/>
        <v>80221.935235407524</v>
      </c>
      <c r="AX27">
        <f t="shared" si="14"/>
        <v>0</v>
      </c>
      <c r="AY27">
        <f t="shared" si="14"/>
        <v>96695.397654572589</v>
      </c>
      <c r="AZ27">
        <f t="shared" si="14"/>
        <v>0</v>
      </c>
      <c r="BA27">
        <f t="shared" si="14"/>
        <v>113544.59463499367</v>
      </c>
      <c r="BB27">
        <f t="shared" si="14"/>
        <v>0</v>
      </c>
      <c r="BC27">
        <f t="shared" si="14"/>
        <v>130684.04955141337</v>
      </c>
      <c r="BD27">
        <f t="shared" si="14"/>
        <v>0</v>
      </c>
      <c r="BE27">
        <f t="shared" si="14"/>
        <v>148166.05661064011</v>
      </c>
      <c r="BF27">
        <f t="shared" si="14"/>
        <v>0</v>
      </c>
      <c r="BG27">
        <f t="shared" si="14"/>
        <v>165997.46211969593</v>
      </c>
      <c r="BH27">
        <f t="shared" si="14"/>
        <v>0</v>
      </c>
      <c r="BI27">
        <f t="shared" si="14"/>
        <v>184235.57480147862</v>
      </c>
      <c r="BJ27">
        <f t="shared" si="14"/>
        <v>0</v>
      </c>
      <c r="BK27">
        <f t="shared" si="14"/>
        <v>202787.87200788138</v>
      </c>
      <c r="BL27">
        <f t="shared" si="14"/>
        <v>0</v>
      </c>
      <c r="BM27">
        <f t="shared" si="14"/>
        <v>221710.95867013544</v>
      </c>
      <c r="BN27">
        <f t="shared" si="14"/>
        <v>0</v>
      </c>
      <c r="BO27">
        <f t="shared" si="14"/>
        <v>241012.24545113856</v>
      </c>
      <c r="BP27">
        <f t="shared" si="14"/>
        <v>241012.24545113856</v>
      </c>
      <c r="BQ27">
        <f t="shared" ref="BQ27:BU27" si="15">BQ24 + BQ25 - BQ26</f>
        <v>241012.24545113856</v>
      </c>
      <c r="BR27">
        <f t="shared" si="15"/>
        <v>241012.24545113856</v>
      </c>
      <c r="BS27">
        <f t="shared" si="15"/>
        <v>241012.24545113856</v>
      </c>
      <c r="BT27">
        <f t="shared" si="15"/>
        <v>241012.24545113856</v>
      </c>
      <c r="BU27">
        <f t="shared" si="15"/>
        <v>241012.24545113856</v>
      </c>
    </row>
    <row r="28" spans="1:73">
      <c r="A28" t="s">
        <v>266</v>
      </c>
      <c r="B28" t="s">
        <v>184</v>
      </c>
      <c r="D28">
        <f>SUMIFS($D$25:$BU$25,$D$6:$BU$6, "&gt;="&amp;(D$6-(Inputs!$B$39*2-1)), $D$6:$BU$6,"&lt;="&amp;D$6)</f>
        <v>516125.35750446684</v>
      </c>
      <c r="E28">
        <f>SUMIFS($D$25:$BU$25,$D$6:$BU$6, "&gt;="&amp;(E$6-(Inputs!$B$39*2-1)), $D$6:$BU$6,"&lt;="&amp;E$6)</f>
        <v>920744.16138958349</v>
      </c>
      <c r="F28">
        <f>SUMIFS($D$25:$BU$25,$D$6:$BU$6, "&gt;="&amp;(F$6-(Inputs!$B$39*2-1)), $D$6:$BU$6,"&lt;="&amp;F$6)</f>
        <v>1697314.8453585147</v>
      </c>
      <c r="G28">
        <f>SUMIFS($D$25:$BU$25,$D$6:$BU$6, "&gt;="&amp;(G$6-(Inputs!$B$39*2-1)), $D$6:$BU$6,"&lt;="&amp;G$6)</f>
        <v>2741677.7108538249</v>
      </c>
      <c r="H28">
        <f>SUMIFS($D$25:$BU$25,$D$6:$BU$6, "&gt;="&amp;(H$6-(Inputs!$B$39*2-1)), $D$6:$BU$6,"&lt;="&amp;H$6)</f>
        <v>2741677.7108538249</v>
      </c>
      <c r="I28">
        <f>SUMIFS($D$25:$BU$25,$D$6:$BU$6, "&gt;="&amp;(I$6-(Inputs!$B$39*2-1)), $D$6:$BU$6,"&lt;="&amp;I$6)</f>
        <v>3445409.3251096196</v>
      </c>
      <c r="J28">
        <f>SUMIFS($D$25:$BU$25,$D$6:$BU$6, "&gt;="&amp;(J$6-(Inputs!$B$39*2-1)), $D$6:$BU$6,"&lt;="&amp;J$6)</f>
        <v>3445409.3251096196</v>
      </c>
      <c r="K28">
        <f>SUMIFS($D$25:$BU$25,$D$6:$BU$6, "&gt;="&amp;(K$6-(Inputs!$B$39*2-1)), $D$6:$BU$6,"&lt;="&amp;K$6)</f>
        <v>4160227.1073305453</v>
      </c>
      <c r="L28">
        <f>SUMIFS($D$25:$BU$25,$D$6:$BU$6, "&gt;="&amp;(L$6-(Inputs!$B$39*2-1)), $D$6:$BU$6,"&lt;="&amp;L$6)</f>
        <v>4160227.1073305453</v>
      </c>
      <c r="M28">
        <f>SUMIFS($D$25:$BU$25,$D$6:$BU$6, "&gt;="&amp;(M$6-(Inputs!$B$39*2-1)), $D$6:$BU$6,"&lt;="&amp;M$6)</f>
        <v>4886383.9161051856</v>
      </c>
      <c r="N28">
        <f>SUMIFS($D$25:$BU$25,$D$6:$BU$6, "&gt;="&amp;(N$6-(Inputs!$B$39*2-1)), $D$6:$BU$6,"&lt;="&amp;N$6)</f>
        <v>4370258.5586007191</v>
      </c>
      <c r="O28">
        <f>SUMIFS($D$25:$BU$25,$D$6:$BU$6, "&gt;="&amp;(O$6-(Inputs!$B$39*2-1)), $D$6:$BU$6,"&lt;="&amp;O$6)</f>
        <v>4703330.9253140902</v>
      </c>
      <c r="P28">
        <f>SUMIFS($D$25:$BU$25,$D$6:$BU$6, "&gt;="&amp;(P$6-(Inputs!$B$39*2-1)), $D$6:$BU$6,"&lt;="&amp;P$6)</f>
        <v>3926760.2413451588</v>
      </c>
      <c r="Q28">
        <f>SUMIFS($D$25:$BU$25,$D$6:$BU$6, "&gt;="&amp;(Q$6-(Inputs!$B$39*2-1)), $D$6:$BU$6,"&lt;="&amp;Q$6)</f>
        <v>3631853.4360443894</v>
      </c>
      <c r="R28">
        <f>SUMIFS($D$25:$BU$25,$D$6:$BU$6, "&gt;="&amp;(R$6-(Inputs!$B$39*2-1)), $D$6:$BU$6,"&lt;="&amp;R$6)</f>
        <v>3631853.4360443894</v>
      </c>
      <c r="S28">
        <f>SUMIFS($D$25:$BU$25,$D$6:$BU$6, "&gt;="&amp;(S$6-(Inputs!$B$39*2-1)), $D$6:$BU$6,"&lt;="&amp;S$6)</f>
        <v>3689577.9067197554</v>
      </c>
      <c r="T28">
        <f>SUMIFS($D$25:$BU$25,$D$6:$BU$6, "&gt;="&amp;(T$6-(Inputs!$B$39*2-1)), $D$6:$BU$6,"&lt;="&amp;T$6)</f>
        <v>3689577.9067197554</v>
      </c>
      <c r="U28">
        <f>SUMIFS($D$25:$BU$25,$D$6:$BU$6, "&gt;="&amp;(U$6-(Inputs!$B$39*2-1)), $D$6:$BU$6,"&lt;="&amp;U$6)</f>
        <v>3748489.936434824</v>
      </c>
      <c r="V28">
        <f>SUMIFS($D$25:$BU$25,$D$6:$BU$6, "&gt;="&amp;(V$6-(Inputs!$B$39*2-1)), $D$6:$BU$6,"&lt;="&amp;V$6)</f>
        <v>3748489.936434824</v>
      </c>
      <c r="W28">
        <f>SUMIFS($D$25:$BU$25,$D$6:$BU$6, "&gt;="&amp;(W$6-(Inputs!$B$39*2-1)), $D$6:$BU$6,"&lt;="&amp;W$6)</f>
        <v>3808548.1037793886</v>
      </c>
      <c r="X28">
        <f>SUMIFS($D$25:$BU$25,$D$6:$BU$6, "&gt;="&amp;(X$6-(Inputs!$B$39*2-1)), $D$6:$BU$6,"&lt;="&amp;X$6)</f>
        <v>3808548.1037793886</v>
      </c>
      <c r="Y28">
        <f>SUMIFS($D$25:$BU$25,$D$6:$BU$6, "&gt;="&amp;(Y$6-(Inputs!$B$39*2-1)), $D$6:$BU$6,"&lt;="&amp;Y$6)</f>
        <v>3869806.6041577212</v>
      </c>
      <c r="Z28">
        <f>SUMIFS($D$25:$BU$25,$D$6:$BU$6, "&gt;="&amp;(Z$6-(Inputs!$B$39*2-1)), $D$6:$BU$6,"&lt;="&amp;Z$6)</f>
        <v>3869806.6041577212</v>
      </c>
      <c r="AA28">
        <f>SUMIFS($D$25:$BU$25,$D$6:$BU$6, "&gt;="&amp;(AA$6-(Inputs!$B$39*2-1)), $D$6:$BU$6,"&lt;="&amp;AA$6)</f>
        <v>3932289.4276357139</v>
      </c>
      <c r="AB28">
        <f>SUMIFS($D$25:$BU$25,$D$6:$BU$6, "&gt;="&amp;(AB$6-(Inputs!$B$39*2-1)), $D$6:$BU$6,"&lt;="&amp;AB$6)</f>
        <v>3932289.4276357139</v>
      </c>
      <c r="AC28">
        <f>SUMIFS($D$25:$BU$25,$D$6:$BU$6, "&gt;="&amp;(AC$6-(Inputs!$B$39*2-1)), $D$6:$BU$6,"&lt;="&amp;AC$6)</f>
        <v>3170833.3427045532</v>
      </c>
      <c r="AD28">
        <f>SUMIFS($D$25:$BU$25,$D$6:$BU$6, "&gt;="&amp;(AD$6-(Inputs!$B$39*2-1)), $D$6:$BU$6,"&lt;="&amp;AD$6)</f>
        <v>3170833.3427045532</v>
      </c>
      <c r="AE28">
        <f>SUMIFS($D$25:$BU$25,$D$6:$BU$6, "&gt;="&amp;(AE$6-(Inputs!$B$39*2-1)), $D$6:$BU$6,"&lt;="&amp;AE$6)</f>
        <v>2397103.5307685584</v>
      </c>
      <c r="AF28">
        <f>SUMIFS($D$25:$BU$25,$D$6:$BU$6, "&gt;="&amp;(AF$6-(Inputs!$B$39*2-1)), $D$6:$BU$6,"&lt;="&amp;AF$6)</f>
        <v>2397103.5307685584</v>
      </c>
      <c r="AG28">
        <f>SUMIFS($D$25:$BU$25,$D$6:$BU$6, "&gt;="&amp;(AG$6-(Inputs!$B$39*2-1)), $D$6:$BU$6,"&lt;="&amp;AG$6)</f>
        <v>1610888.5546493542</v>
      </c>
      <c r="AH28">
        <f>SUMIFS($D$25:$BU$25,$D$6:$BU$6, "&gt;="&amp;(AH$6-(Inputs!$B$39*2-1)), $D$6:$BU$6,"&lt;="&amp;AH$6)</f>
        <v>1610888.5546493542</v>
      </c>
      <c r="AI28">
        <f>SUMIFS($D$25:$BU$25,$D$6:$BU$6, "&gt;="&amp;(AI$6-(Inputs!$B$39*2-1)), $D$6:$BU$6,"&lt;="&amp;AI$6)</f>
        <v>811938.88367253344</v>
      </c>
      <c r="AJ28">
        <f>SUMIFS($D$25:$BU$25,$D$6:$BU$6, "&gt;="&amp;(AJ$6-(Inputs!$B$39*2-1)), $D$6:$BU$6,"&lt;="&amp;AJ$6)</f>
        <v>811938.88367253344</v>
      </c>
      <c r="AK28">
        <f>SUMIFS($D$25:$BU$25,$D$6:$BU$6, "&gt;="&amp;(AK$6-(Inputs!$B$39*2-1)), $D$6:$BU$6,"&lt;="&amp;AK$6)</f>
        <v>0</v>
      </c>
      <c r="AL28">
        <f>SUMIFS($D$25:$BU$25,$D$6:$BU$6, "&gt;="&amp;(AL$6-(Inputs!$B$39*2-1)), $D$6:$BU$6,"&lt;="&amp;AL$6)</f>
        <v>0</v>
      </c>
      <c r="AM28">
        <f>SUMIFS($D$25:$BU$25,$D$6:$BU$6, "&gt;="&amp;(AM$6-(Inputs!$B$39*2-1)), $D$6:$BU$6,"&lt;="&amp;AM$6)</f>
        <v>2531.3447833807149</v>
      </c>
      <c r="AN28">
        <f>SUMIFS($D$25:$BU$25,$D$6:$BU$6, "&gt;="&amp;(AN$6-(Inputs!$B$39*2-1)), $D$6:$BU$6,"&lt;="&amp;AN$6)</f>
        <v>2531.3447833807149</v>
      </c>
      <c r="AO28">
        <f>SUMIFS($D$25:$BU$25,$D$6:$BU$6, "&gt;="&amp;(AO$6-(Inputs!$B$39*2-1)), $D$6:$BU$6,"&lt;="&amp;AO$6)</f>
        <v>19983.414260889112</v>
      </c>
      <c r="AP28">
        <f>SUMIFS($D$25:$BU$25,$D$6:$BU$6, "&gt;="&amp;(AP$6-(Inputs!$B$39*2-1)), $D$6:$BU$6,"&lt;="&amp;AP$6)</f>
        <v>19983.414260889112</v>
      </c>
      <c r="AQ28">
        <f>SUMIFS($D$25:$BU$25,$D$6:$BU$6, "&gt;="&amp;(AQ$6-(Inputs!$B$39*2-1)), $D$6:$BU$6,"&lt;="&amp;AQ$6)</f>
        <v>52654.416645162884</v>
      </c>
      <c r="AR28">
        <f>SUMIFS($D$25:$BU$25,$D$6:$BU$6, "&gt;="&amp;(AR$6-(Inputs!$B$39*2-1)), $D$6:$BU$6,"&lt;="&amp;AR$6)</f>
        <v>52654.416645162884</v>
      </c>
      <c r="AS28">
        <f>SUMIFS($D$25:$BU$25,$D$6:$BU$6, "&gt;="&amp;(AS$6-(Inputs!$B$39*2-1)), $D$6:$BU$6,"&lt;="&amp;AS$6)</f>
        <v>100891.47259201843</v>
      </c>
      <c r="AT28">
        <f>SUMIFS($D$25:$BU$25,$D$6:$BU$6, "&gt;="&amp;(AT$6-(Inputs!$B$39*2-1)), $D$6:$BU$6,"&lt;="&amp;AT$6)</f>
        <v>100891.47259201843</v>
      </c>
      <c r="AU28">
        <f>SUMIFS($D$25:$BU$25,$D$6:$BU$6, "&gt;="&amp;(AU$6-(Inputs!$B$39*2-1)), $D$6:$BU$6,"&lt;="&amp;AU$6)</f>
        <v>164962.7355679959</v>
      </c>
      <c r="AV28">
        <f>SUMIFS($D$25:$BU$25,$D$6:$BU$6, "&gt;="&amp;(AV$6-(Inputs!$B$39*2-1)), $D$6:$BU$6,"&lt;="&amp;AV$6)</f>
        <v>164962.7355679959</v>
      </c>
      <c r="AW28">
        <f>SUMIFS($D$25:$BU$25,$D$6:$BU$6, "&gt;="&amp;(AW$6-(Inputs!$B$39*2-1)), $D$6:$BU$6,"&lt;="&amp;AW$6)</f>
        <v>242653.32602002271</v>
      </c>
      <c r="AX28">
        <f>SUMIFS($D$25:$BU$25,$D$6:$BU$6, "&gt;="&amp;(AX$6-(Inputs!$B$39*2-1)), $D$6:$BU$6,"&lt;="&amp;AX$6)</f>
        <v>242653.32602002271</v>
      </c>
      <c r="AY28">
        <f>SUMIFS($D$25:$BU$25,$D$6:$BU$6, "&gt;="&amp;(AY$6-(Inputs!$B$39*2-1)), $D$6:$BU$6,"&lt;="&amp;AY$6)</f>
        <v>321896.65419708693</v>
      </c>
      <c r="AZ28">
        <f>SUMIFS($D$25:$BU$25,$D$6:$BU$6, "&gt;="&amp;(AZ$6-(Inputs!$B$39*2-1)), $D$6:$BU$6,"&lt;="&amp;AZ$6)</f>
        <v>321896.65419708693</v>
      </c>
      <c r="BA28">
        <f>SUMIFS($D$25:$BU$25,$D$6:$BU$6, "&gt;="&amp;(BA$6-(Inputs!$B$39*2-1)), $D$6:$BU$6,"&lt;="&amp;BA$6)</f>
        <v>402770.24644780683</v>
      </c>
      <c r="BB28">
        <f>SUMIFS($D$25:$BU$25,$D$6:$BU$6, "&gt;="&amp;(BB$6-(Inputs!$B$39*2-1)), $D$6:$BU$6,"&lt;="&amp;BB$6)</f>
        <v>402770.24644780683</v>
      </c>
      <c r="BC28">
        <f>SUMIFS($D$25:$BU$25,$D$6:$BU$6, "&gt;="&amp;(BC$6-(Inputs!$B$39*2-1)), $D$6:$BU$6,"&lt;="&amp;BC$6)</f>
        <v>485217.24005236465</v>
      </c>
      <c r="BD28">
        <f>SUMIFS($D$25:$BU$25,$D$6:$BU$6, "&gt;="&amp;(BD$6-(Inputs!$B$39*2-1)), $D$6:$BU$6,"&lt;="&amp;BD$6)</f>
        <v>485217.24005236465</v>
      </c>
      <c r="BE28">
        <f>SUMIFS($D$25:$BU$25,$D$6:$BU$6, "&gt;="&amp;(BE$6-(Inputs!$B$39*2-1)), $D$6:$BU$6,"&lt;="&amp;BE$6)</f>
        <v>569312.03368702729</v>
      </c>
      <c r="BF28">
        <f>SUMIFS($D$25:$BU$25,$D$6:$BU$6, "&gt;="&amp;(BF$6-(Inputs!$B$39*2-1)), $D$6:$BU$6,"&lt;="&amp;BF$6)</f>
        <v>569312.03368702729</v>
      </c>
      <c r="BG28">
        <f>SUMIFS($D$25:$BU$25,$D$6:$BU$6, "&gt;="&amp;(BG$6-(Inputs!$B$39*2-1)), $D$6:$BU$6,"&lt;="&amp;BG$6)</f>
        <v>655087.5605713157</v>
      </c>
      <c r="BH28">
        <f>SUMIFS($D$25:$BU$25,$D$6:$BU$6, "&gt;="&amp;(BH$6-(Inputs!$B$39*2-1)), $D$6:$BU$6,"&lt;="&amp;BH$6)</f>
        <v>655087.5605713157</v>
      </c>
      <c r="BI28">
        <f>SUMIFS($D$25:$BU$25,$D$6:$BU$6, "&gt;="&amp;(BI$6-(Inputs!$B$39*2-1)), $D$6:$BU$6,"&lt;="&amp;BI$6)</f>
        <v>742627.73771822173</v>
      </c>
      <c r="BJ28">
        <f>SUMIFS($D$25:$BU$25,$D$6:$BU$6, "&gt;="&amp;(BJ$6-(Inputs!$B$39*2-1)), $D$6:$BU$6,"&lt;="&amp;BJ$6)</f>
        <v>742627.73771822173</v>
      </c>
      <c r="BK28">
        <f>SUMIFS($D$25:$BU$25,$D$6:$BU$6, "&gt;="&amp;(BK$6-(Inputs!$B$39*2-1)), $D$6:$BU$6,"&lt;="&amp;BK$6)</f>
        <v>831871.01509110944</v>
      </c>
      <c r="BL28">
        <f>SUMIFS($D$25:$BU$25,$D$6:$BU$6, "&gt;="&amp;(BL$6-(Inputs!$B$39*2-1)), $D$6:$BU$6,"&lt;="&amp;BL$6)</f>
        <v>831871.01509110944</v>
      </c>
      <c r="BM28">
        <f>SUMIFS($D$25:$BU$25,$D$6:$BU$6, "&gt;="&amp;(BM$6-(Inputs!$B$39*2-1)), $D$6:$BU$6,"&lt;="&amp;BM$6)</f>
        <v>922897.92420983152</v>
      </c>
      <c r="BN28">
        <f>SUMIFS($D$25:$BU$25,$D$6:$BU$6, "&gt;="&amp;(BN$6-(Inputs!$B$39*2-1)), $D$6:$BU$6,"&lt;="&amp;BN$6)</f>
        <v>922897.92420983152</v>
      </c>
      <c r="BO28">
        <f>SUMIFS($D$25:$BU$25,$D$6:$BU$6, "&gt;="&amp;(BO$6-(Inputs!$B$39*2-1)), $D$6:$BU$6,"&lt;="&amp;BO$6)</f>
        <v>1015744.11305033</v>
      </c>
      <c r="BP28">
        <f>SUMIFS($D$25:$BU$25,$D$6:$BU$6, "&gt;="&amp;(BP$6-(Inputs!$B$39*2-1)), $D$6:$BU$6,"&lt;="&amp;BP$6)</f>
        <v>1015744.11305033</v>
      </c>
      <c r="BQ28">
        <f>SUMIFS($D$25:$BU$25,$D$6:$BU$6, "&gt;="&amp;(BQ$6-(Inputs!$B$39*2-1)), $D$6:$BU$6,"&lt;="&amp;BQ$6)</f>
        <v>849746.650930634</v>
      </c>
      <c r="BR28">
        <f>SUMIFS($D$25:$BU$25,$D$6:$BU$6, "&gt;="&amp;(BR$6-(Inputs!$B$39*2-1)), $D$6:$BU$6,"&lt;="&amp;BR$6)</f>
        <v>849746.650930634</v>
      </c>
      <c r="BS28">
        <f>SUMIFS($D$25:$BU$25,$D$6:$BU$6, "&gt;="&amp;(BS$6-(Inputs!$B$39*2-1)), $D$6:$BU$6,"&lt;="&amp;BS$6)</f>
        <v>665511.07612915535</v>
      </c>
      <c r="BT28">
        <f>SUMIFS($D$25:$BU$25,$D$6:$BU$6, "&gt;="&amp;(BT$6-(Inputs!$B$39*2-1)), $D$6:$BU$6,"&lt;="&amp;BT$6)</f>
        <v>665511.07612915535</v>
      </c>
      <c r="BU28">
        <f>SUMIFS($D$25:$BU$25,$D$6:$BU$6, "&gt;="&amp;(BU$6-(Inputs!$B$39*2-1)), $D$6:$BU$6,"&lt;="&amp;BU$6)</f>
        <v>462723.204121274</v>
      </c>
    </row>
    <row r="29" spans="1:73">
      <c r="A29" t="s">
        <v>204</v>
      </c>
      <c r="B29" t="s">
        <v>184</v>
      </c>
      <c r="D29">
        <f>MIN(D27,D28)</f>
        <v>516125.35750446684</v>
      </c>
      <c r="E29">
        <f t="shared" ref="E29:BP29" si="16">MIN(E27,E28)</f>
        <v>920744.16138958349</v>
      </c>
      <c r="F29">
        <f t="shared" si="16"/>
        <v>1697314.8453585147</v>
      </c>
      <c r="G29">
        <f t="shared" si="16"/>
        <v>2741677.7108538249</v>
      </c>
      <c r="H29">
        <f t="shared" si="16"/>
        <v>2592976.1789960633</v>
      </c>
      <c r="I29">
        <f t="shared" si="16"/>
        <v>3296707.7932518581</v>
      </c>
      <c r="J29">
        <f t="shared" si="16"/>
        <v>3158983.5753301606</v>
      </c>
      <c r="K29">
        <f t="shared" si="16"/>
        <v>3873801.3575510862</v>
      </c>
      <c r="L29">
        <f t="shared" si="16"/>
        <v>3747273.848081171</v>
      </c>
      <c r="M29">
        <f t="shared" si="16"/>
        <v>4473430.6568558114</v>
      </c>
      <c r="N29">
        <f t="shared" si="16"/>
        <v>4358355.2356862258</v>
      </c>
      <c r="O29">
        <f t="shared" si="16"/>
        <v>4703330.9253140902</v>
      </c>
      <c r="P29">
        <f t="shared" si="16"/>
        <v>3926760.2413451588</v>
      </c>
      <c r="Q29">
        <f t="shared" si="16"/>
        <v>3631853.4360443894</v>
      </c>
      <c r="R29">
        <f t="shared" si="16"/>
        <v>3540309.5837734463</v>
      </c>
      <c r="S29">
        <f t="shared" si="16"/>
        <v>3689577.9067197554</v>
      </c>
      <c r="T29">
        <f t="shared" si="16"/>
        <v>3610153.7317631654</v>
      </c>
      <c r="U29">
        <f t="shared" si="16"/>
        <v>3748489.936434824</v>
      </c>
      <c r="V29">
        <f t="shared" si="16"/>
        <v>3681461.8701536697</v>
      </c>
      <c r="W29">
        <f t="shared" si="16"/>
        <v>3808548.1037793886</v>
      </c>
      <c r="X29">
        <f t="shared" si="16"/>
        <v>3754129.6915979851</v>
      </c>
      <c r="Y29">
        <f t="shared" si="16"/>
        <v>3869806.6041577212</v>
      </c>
      <c r="Z29">
        <f t="shared" si="16"/>
        <v>3828249.8648277139</v>
      </c>
      <c r="AA29">
        <f t="shared" si="16"/>
        <v>3932289.4276357139</v>
      </c>
      <c r="AB29">
        <f t="shared" si="16"/>
        <v>3010790.6859022765</v>
      </c>
      <c r="AC29">
        <f t="shared" si="16"/>
        <v>2942954.3155105948</v>
      </c>
      <c r="AD29">
        <f t="shared" si="16"/>
        <v>2034873.5204663044</v>
      </c>
      <c r="AE29">
        <f t="shared" si="16"/>
        <v>1980551.4933094087</v>
      </c>
      <c r="AF29">
        <f t="shared" si="16"/>
        <v>1086119.7933891634</v>
      </c>
      <c r="AG29">
        <f t="shared" si="16"/>
        <v>1045582.2094939385</v>
      </c>
      <c r="AH29">
        <f t="shared" si="16"/>
        <v>165072.39789944375</v>
      </c>
      <c r="AI29">
        <f t="shared" si="16"/>
        <v>138594.75555913846</v>
      </c>
      <c r="AJ29">
        <f t="shared" si="16"/>
        <v>0</v>
      </c>
      <c r="AK29">
        <f t="shared" si="16"/>
        <v>0</v>
      </c>
      <c r="AL29">
        <f t="shared" si="16"/>
        <v>0</v>
      </c>
      <c r="AM29">
        <f t="shared" si="16"/>
        <v>2531.3447833807149</v>
      </c>
      <c r="AN29">
        <f t="shared" si="16"/>
        <v>0</v>
      </c>
      <c r="AO29">
        <f t="shared" si="16"/>
        <v>17452.069477508398</v>
      </c>
      <c r="AP29">
        <f t="shared" si="16"/>
        <v>0</v>
      </c>
      <c r="AQ29">
        <f t="shared" si="16"/>
        <v>32671.002384273772</v>
      </c>
      <c r="AR29">
        <f t="shared" si="16"/>
        <v>0</v>
      </c>
      <c r="AS29">
        <f t="shared" si="16"/>
        <v>48237.055946855544</v>
      </c>
      <c r="AT29">
        <f t="shared" si="16"/>
        <v>0</v>
      </c>
      <c r="AU29">
        <f t="shared" si="16"/>
        <v>64071.262975977472</v>
      </c>
      <c r="AV29">
        <f t="shared" si="16"/>
        <v>0</v>
      </c>
      <c r="AW29">
        <f t="shared" si="16"/>
        <v>80221.935235407524</v>
      </c>
      <c r="AX29">
        <f t="shared" si="16"/>
        <v>0</v>
      </c>
      <c r="AY29">
        <f t="shared" si="16"/>
        <v>96695.397654572589</v>
      </c>
      <c r="AZ29">
        <f t="shared" si="16"/>
        <v>0</v>
      </c>
      <c r="BA29">
        <f t="shared" si="16"/>
        <v>113544.59463499367</v>
      </c>
      <c r="BB29">
        <f t="shared" si="16"/>
        <v>0</v>
      </c>
      <c r="BC29">
        <f t="shared" si="16"/>
        <v>130684.04955141337</v>
      </c>
      <c r="BD29">
        <f t="shared" si="16"/>
        <v>0</v>
      </c>
      <c r="BE29">
        <f t="shared" si="16"/>
        <v>148166.05661064011</v>
      </c>
      <c r="BF29">
        <f t="shared" si="16"/>
        <v>0</v>
      </c>
      <c r="BG29">
        <f t="shared" si="16"/>
        <v>165997.46211969593</v>
      </c>
      <c r="BH29">
        <f t="shared" si="16"/>
        <v>0</v>
      </c>
      <c r="BI29">
        <f t="shared" si="16"/>
        <v>184235.57480147862</v>
      </c>
      <c r="BJ29">
        <f t="shared" si="16"/>
        <v>0</v>
      </c>
      <c r="BK29">
        <f t="shared" si="16"/>
        <v>202787.87200788138</v>
      </c>
      <c r="BL29">
        <f t="shared" si="16"/>
        <v>0</v>
      </c>
      <c r="BM29">
        <f t="shared" si="16"/>
        <v>221710.95867013544</v>
      </c>
      <c r="BN29">
        <f t="shared" si="16"/>
        <v>0</v>
      </c>
      <c r="BO29">
        <f t="shared" si="16"/>
        <v>241012.24545113856</v>
      </c>
      <c r="BP29">
        <f t="shared" si="16"/>
        <v>241012.24545113856</v>
      </c>
      <c r="BQ29">
        <f t="shared" ref="BQ29:BU29" si="17">MIN(BQ27,BQ28)</f>
        <v>241012.24545113856</v>
      </c>
      <c r="BR29">
        <f t="shared" si="17"/>
        <v>241012.24545113856</v>
      </c>
      <c r="BS29">
        <f t="shared" si="17"/>
        <v>241012.24545113856</v>
      </c>
      <c r="BT29">
        <f t="shared" si="17"/>
        <v>241012.24545113856</v>
      </c>
      <c r="BU29">
        <f t="shared" si="17"/>
        <v>241012.24545113856</v>
      </c>
    </row>
    <row r="30" spans="1:73">
      <c r="A30" t="s">
        <v>267</v>
      </c>
      <c r="B30" t="s">
        <v>184</v>
      </c>
      <c r="C30">
        <f>SUM(D30:BU30)</f>
        <v>5408105.1715534013</v>
      </c>
      <c r="D30">
        <f xml:space="preserve"> D27 - D29</f>
        <v>0</v>
      </c>
      <c r="E30">
        <f t="shared" ref="E30:BP30" si="18" xml:space="preserve"> E27 - E29</f>
        <v>0</v>
      </c>
      <c r="F30">
        <f t="shared" si="18"/>
        <v>0</v>
      </c>
      <c r="G3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0</v>
      </c>
      <c r="K30">
        <f t="shared" si="18"/>
        <v>0</v>
      </c>
      <c r="L30">
        <f t="shared" si="18"/>
        <v>0</v>
      </c>
      <c r="M30">
        <f t="shared" si="18"/>
        <v>0</v>
      </c>
      <c r="N30">
        <f t="shared" si="18"/>
        <v>0</v>
      </c>
      <c r="O30">
        <f t="shared" si="18"/>
        <v>392715.4809706239</v>
      </c>
      <c r="P30">
        <f t="shared" si="18"/>
        <v>673144.63406317588</v>
      </c>
      <c r="Q30">
        <f t="shared" si="18"/>
        <v>1044362.8654953102</v>
      </c>
      <c r="R30">
        <f t="shared" si="18"/>
        <v>0</v>
      </c>
      <c r="S30">
        <f t="shared" si="18"/>
        <v>612187.76198485121</v>
      </c>
      <c r="T30">
        <f t="shared" si="18"/>
        <v>0</v>
      </c>
      <c r="U30">
        <f t="shared" si="18"/>
        <v>635393.6072643362</v>
      </c>
      <c r="V30">
        <f t="shared" si="18"/>
        <v>0</v>
      </c>
      <c r="W30">
        <f t="shared" si="18"/>
        <v>659128.7424934851</v>
      </c>
      <c r="X30">
        <f t="shared" si="18"/>
        <v>0</v>
      </c>
      <c r="Y30">
        <f t="shared" si="18"/>
        <v>683272.75841708435</v>
      </c>
      <c r="Z30">
        <f t="shared" si="18"/>
        <v>0</v>
      </c>
      <c r="AA30">
        <f t="shared" si="18"/>
        <v>707899.32086453354</v>
      </c>
      <c r="AB30">
        <f t="shared" si="18"/>
        <v>0</v>
      </c>
      <c r="AC30">
        <f t="shared" si="18"/>
        <v>0</v>
      </c>
      <c r="AD30">
        <f t="shared" si="18"/>
        <v>0</v>
      </c>
      <c r="AE30">
        <f t="shared" si="18"/>
        <v>0</v>
      </c>
      <c r="AF30">
        <f t="shared" si="18"/>
        <v>0</v>
      </c>
      <c r="AG30">
        <f t="shared" si="18"/>
        <v>0</v>
      </c>
      <c r="AH30">
        <f t="shared" si="18"/>
        <v>0</v>
      </c>
      <c r="AI30">
        <f t="shared" si="18"/>
        <v>0</v>
      </c>
      <c r="AJ30">
        <f t="shared" si="18"/>
        <v>0</v>
      </c>
      <c r="AK30">
        <f t="shared" si="18"/>
        <v>0</v>
      </c>
      <c r="AL30">
        <f t="shared" si="18"/>
        <v>0</v>
      </c>
      <c r="AM30">
        <f t="shared" si="18"/>
        <v>0</v>
      </c>
      <c r="AN30">
        <f t="shared" si="18"/>
        <v>0</v>
      </c>
      <c r="AO30">
        <f t="shared" si="18"/>
        <v>0</v>
      </c>
      <c r="AP30">
        <f t="shared" si="18"/>
        <v>0</v>
      </c>
      <c r="AQ30">
        <f t="shared" si="18"/>
        <v>0</v>
      </c>
      <c r="AR30">
        <f t="shared" si="18"/>
        <v>0</v>
      </c>
      <c r="AS30">
        <f t="shared" si="18"/>
        <v>0</v>
      </c>
      <c r="AT30">
        <f t="shared" si="18"/>
        <v>0</v>
      </c>
      <c r="AU30">
        <f t="shared" si="18"/>
        <v>0</v>
      </c>
      <c r="AV30">
        <f t="shared" si="18"/>
        <v>0</v>
      </c>
      <c r="AW30">
        <f t="shared" si="18"/>
        <v>0</v>
      </c>
      <c r="AX30">
        <f t="shared" si="18"/>
        <v>0</v>
      </c>
      <c r="AY30">
        <f t="shared" si="18"/>
        <v>0</v>
      </c>
      <c r="AZ30">
        <f t="shared" si="18"/>
        <v>0</v>
      </c>
      <c r="BA30">
        <f t="shared" si="18"/>
        <v>0</v>
      </c>
      <c r="BB30">
        <f t="shared" si="18"/>
        <v>0</v>
      </c>
      <c r="BC30">
        <f t="shared" si="18"/>
        <v>0</v>
      </c>
      <c r="BD30">
        <f t="shared" si="18"/>
        <v>0</v>
      </c>
      <c r="BE30">
        <f t="shared" si="18"/>
        <v>0</v>
      </c>
      <c r="BF30">
        <f t="shared" si="18"/>
        <v>0</v>
      </c>
      <c r="BG30">
        <f t="shared" si="18"/>
        <v>0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0</v>
      </c>
      <c r="BM30">
        <f t="shared" si="18"/>
        <v>0</v>
      </c>
      <c r="BN30">
        <f t="shared" si="18"/>
        <v>0</v>
      </c>
      <c r="BO30">
        <f t="shared" si="18"/>
        <v>0</v>
      </c>
      <c r="BP30">
        <f t="shared" si="18"/>
        <v>0</v>
      </c>
      <c r="BQ30">
        <f t="shared" ref="BQ30:BU30" si="19" xml:space="preserve"> BQ27 - BQ29</f>
        <v>0</v>
      </c>
      <c r="BR30">
        <f t="shared" si="19"/>
        <v>0</v>
      </c>
      <c r="BS30">
        <f t="shared" si="19"/>
        <v>0</v>
      </c>
      <c r="BT30">
        <f t="shared" si="19"/>
        <v>0</v>
      </c>
      <c r="BU30">
        <f t="shared" si="19"/>
        <v>0</v>
      </c>
    </row>
    <row r="31" spans="1:73">
      <c r="A31" t="s">
        <v>268</v>
      </c>
      <c r="B31" t="s">
        <v>184</v>
      </c>
      <c r="D31">
        <f xml:space="preserve"> MAX(0,D22) - D26</f>
        <v>0</v>
      </c>
      <c r="E31">
        <f t="shared" ref="E31:BP31" si="20" xml:space="preserve"> MAX(0,E22) - E26</f>
        <v>0</v>
      </c>
      <c r="F31">
        <f t="shared" si="20"/>
        <v>0</v>
      </c>
      <c r="G31">
        <f t="shared" si="20"/>
        <v>0</v>
      </c>
      <c r="H31">
        <f t="shared" si="20"/>
        <v>0</v>
      </c>
      <c r="I31">
        <f t="shared" si="20"/>
        <v>0</v>
      </c>
      <c r="J31">
        <f t="shared" si="20"/>
        <v>0</v>
      </c>
      <c r="K31">
        <f t="shared" si="20"/>
        <v>0</v>
      </c>
      <c r="L31">
        <f t="shared" si="20"/>
        <v>0</v>
      </c>
      <c r="M31">
        <f t="shared" si="20"/>
        <v>0</v>
      </c>
      <c r="N31">
        <f t="shared" si="20"/>
        <v>0</v>
      </c>
      <c r="O31">
        <f t="shared" si="20"/>
        <v>0</v>
      </c>
      <c r="P31">
        <f t="shared" si="20"/>
        <v>0</v>
      </c>
      <c r="Q31">
        <f t="shared" si="20"/>
        <v>0</v>
      </c>
      <c r="R31">
        <f t="shared" si="20"/>
        <v>0</v>
      </c>
      <c r="S31">
        <f t="shared" si="20"/>
        <v>0</v>
      </c>
      <c r="T31">
        <f t="shared" si="20"/>
        <v>0</v>
      </c>
      <c r="U31">
        <f t="shared" si="20"/>
        <v>0</v>
      </c>
      <c r="V31">
        <f t="shared" si="20"/>
        <v>0</v>
      </c>
      <c r="W31">
        <f t="shared" si="20"/>
        <v>0</v>
      </c>
      <c r="X31">
        <f t="shared" si="20"/>
        <v>0</v>
      </c>
      <c r="Y31">
        <f t="shared" si="20"/>
        <v>0</v>
      </c>
      <c r="Z31">
        <f t="shared" si="20"/>
        <v>0</v>
      </c>
      <c r="AA31">
        <f t="shared" si="20"/>
        <v>0</v>
      </c>
      <c r="AB31">
        <f t="shared" si="20"/>
        <v>0</v>
      </c>
      <c r="AC31">
        <f t="shared" si="20"/>
        <v>0</v>
      </c>
      <c r="AD31">
        <f t="shared" si="20"/>
        <v>0</v>
      </c>
      <c r="AE31">
        <f t="shared" si="20"/>
        <v>0</v>
      </c>
      <c r="AF31">
        <f t="shared" si="20"/>
        <v>0</v>
      </c>
      <c r="AG31">
        <f t="shared" si="20"/>
        <v>0</v>
      </c>
      <c r="AH31">
        <f t="shared" si="20"/>
        <v>0</v>
      </c>
      <c r="AI31">
        <f t="shared" si="20"/>
        <v>0</v>
      </c>
      <c r="AJ31">
        <f t="shared" si="20"/>
        <v>727714.92241527373</v>
      </c>
      <c r="AK31">
        <f t="shared" si="20"/>
        <v>12097.014955230436</v>
      </c>
      <c r="AL31">
        <f t="shared" si="20"/>
        <v>851785.6609569143</v>
      </c>
      <c r="AM31">
        <f t="shared" si="20"/>
        <v>0</v>
      </c>
      <c r="AN31">
        <f t="shared" si="20"/>
        <v>834480.0966563673</v>
      </c>
      <c r="AO31">
        <f t="shared" si="20"/>
        <v>0</v>
      </c>
      <c r="AP31">
        <f t="shared" si="20"/>
        <v>804489.87231051887</v>
      </c>
      <c r="AQ31">
        <f t="shared" si="20"/>
        <v>0</v>
      </c>
      <c r="AR31">
        <f t="shared" si="20"/>
        <v>773900.25809707912</v>
      </c>
      <c r="AS31">
        <f t="shared" si="20"/>
        <v>0</v>
      </c>
      <c r="AT31">
        <f t="shared" si="20"/>
        <v>742612.94142237038</v>
      </c>
      <c r="AU31">
        <f t="shared" si="20"/>
        <v>0</v>
      </c>
      <c r="AV31">
        <f t="shared" si="20"/>
        <v>710786.64404896798</v>
      </c>
      <c r="AW31">
        <f t="shared" si="20"/>
        <v>0</v>
      </c>
      <c r="AX31">
        <f t="shared" si="20"/>
        <v>678324.26073140663</v>
      </c>
      <c r="AY31">
        <f t="shared" si="20"/>
        <v>0</v>
      </c>
      <c r="AZ31">
        <f t="shared" si="20"/>
        <v>645213.07854478632</v>
      </c>
      <c r="BA31">
        <f t="shared" si="20"/>
        <v>0</v>
      </c>
      <c r="BB31">
        <f t="shared" si="20"/>
        <v>611346.68077597732</v>
      </c>
      <c r="BC31">
        <f t="shared" si="20"/>
        <v>0</v>
      </c>
      <c r="BD31">
        <f t="shared" si="20"/>
        <v>576896.87296528299</v>
      </c>
      <c r="BE31">
        <f t="shared" si="20"/>
        <v>0</v>
      </c>
      <c r="BF31">
        <f t="shared" si="20"/>
        <v>541758.54527210724</v>
      </c>
      <c r="BG31">
        <f t="shared" si="20"/>
        <v>0</v>
      </c>
      <c r="BH31">
        <f t="shared" si="20"/>
        <v>505917.93681769026</v>
      </c>
      <c r="BI31">
        <f t="shared" si="20"/>
        <v>0</v>
      </c>
      <c r="BJ31">
        <f t="shared" si="20"/>
        <v>469259.85872937902</v>
      </c>
      <c r="BK31">
        <f t="shared" si="20"/>
        <v>0</v>
      </c>
      <c r="BL31">
        <f t="shared" si="20"/>
        <v>431970.27884926437</v>
      </c>
      <c r="BM31">
        <f t="shared" si="20"/>
        <v>0</v>
      </c>
      <c r="BN31">
        <f t="shared" si="20"/>
        <v>393935.42290555232</v>
      </c>
      <c r="BO31">
        <f t="shared" si="20"/>
        <v>0</v>
      </c>
      <c r="BP31">
        <f t="shared" si="20"/>
        <v>0</v>
      </c>
      <c r="BQ31">
        <f t="shared" ref="BQ31:BT31" si="21" xml:space="preserve"> MAX(0,BQ22) - BQ26</f>
        <v>0</v>
      </c>
      <c r="BR31">
        <f t="shared" si="21"/>
        <v>0</v>
      </c>
      <c r="BS31">
        <f t="shared" si="21"/>
        <v>0</v>
      </c>
      <c r="BT31">
        <f t="shared" si="21"/>
        <v>0</v>
      </c>
      <c r="BU31">
        <f t="shared" ref="BU31" si="22" xml:space="preserve"> MAX(0,BU22) - BU26</f>
        <v>0</v>
      </c>
    </row>
    <row r="32" spans="1:73">
      <c r="A32" t="s">
        <v>269</v>
      </c>
      <c r="B32" t="s">
        <v>184</v>
      </c>
      <c r="C32">
        <f>SUM(D32:BU32)</f>
        <v>3609371.6212589578</v>
      </c>
      <c r="D32">
        <f xml:space="preserve"> D31 * Inputs!$B$34</f>
        <v>0</v>
      </c>
      <c r="E32">
        <f xml:space="preserve"> E31 * Inputs!$B$34</f>
        <v>0</v>
      </c>
      <c r="F32">
        <f xml:space="preserve"> F31 * Inputs!$B$34</f>
        <v>0</v>
      </c>
      <c r="G32">
        <f xml:space="preserve"> G31 * Inputs!$B$34</f>
        <v>0</v>
      </c>
      <c r="H32">
        <f xml:space="preserve"> H31 * Inputs!$B$34</f>
        <v>0</v>
      </c>
      <c r="I32">
        <f xml:space="preserve"> I31 * Inputs!$B$34</f>
        <v>0</v>
      </c>
      <c r="J32">
        <f xml:space="preserve"> J31 * Inputs!$B$34</f>
        <v>0</v>
      </c>
      <c r="K32">
        <f xml:space="preserve"> K31 * Inputs!$B$34</f>
        <v>0</v>
      </c>
      <c r="L32">
        <f xml:space="preserve"> L31 * Inputs!$B$34</f>
        <v>0</v>
      </c>
      <c r="M32">
        <f xml:space="preserve"> M31 * Inputs!$B$34</f>
        <v>0</v>
      </c>
      <c r="N32">
        <f xml:space="preserve"> N31 * Inputs!$B$34</f>
        <v>0</v>
      </c>
      <c r="O32">
        <f xml:space="preserve"> O31 * Inputs!$B$34</f>
        <v>0</v>
      </c>
      <c r="P32">
        <f xml:space="preserve"> P31 * Inputs!$B$34</f>
        <v>0</v>
      </c>
      <c r="Q32">
        <f xml:space="preserve"> Q31 * Inputs!$B$34</f>
        <v>0</v>
      </c>
      <c r="R32">
        <f xml:space="preserve"> R31 * Inputs!$B$34</f>
        <v>0</v>
      </c>
      <c r="S32">
        <f xml:space="preserve"> S31 * Inputs!$B$34</f>
        <v>0</v>
      </c>
      <c r="T32">
        <f xml:space="preserve"> T31 * Inputs!$B$34</f>
        <v>0</v>
      </c>
      <c r="U32">
        <f xml:space="preserve"> U31 * Inputs!$B$34</f>
        <v>0</v>
      </c>
      <c r="V32">
        <f xml:space="preserve"> V31 * Inputs!$B$34</f>
        <v>0</v>
      </c>
      <c r="W32">
        <f xml:space="preserve"> W31 * Inputs!$B$34</f>
        <v>0</v>
      </c>
      <c r="X32">
        <f xml:space="preserve"> X31 * Inputs!$B$34</f>
        <v>0</v>
      </c>
      <c r="Y32">
        <f xml:space="preserve"> Y31 * Inputs!$B$34</f>
        <v>0</v>
      </c>
      <c r="Z32">
        <f xml:space="preserve"> Z31 * Inputs!$B$34</f>
        <v>0</v>
      </c>
      <c r="AA32">
        <f xml:space="preserve"> AA31 * Inputs!$B$34</f>
        <v>0</v>
      </c>
      <c r="AB32">
        <f xml:space="preserve"> AB31 * Inputs!$B$34</f>
        <v>0</v>
      </c>
      <c r="AC32">
        <f xml:space="preserve"> AC31 * Inputs!$B$34</f>
        <v>0</v>
      </c>
      <c r="AD32">
        <f xml:space="preserve"> AD31 * Inputs!$B$34</f>
        <v>0</v>
      </c>
      <c r="AE32">
        <f xml:space="preserve"> AE31 * Inputs!$B$34</f>
        <v>0</v>
      </c>
      <c r="AF32">
        <f xml:space="preserve"> AF31 * Inputs!$B$34</f>
        <v>0</v>
      </c>
      <c r="AG32">
        <f xml:space="preserve"> AG31 * Inputs!$B$34</f>
        <v>0</v>
      </c>
      <c r="AH32">
        <f xml:space="preserve"> AH31 * Inputs!$B$34</f>
        <v>0</v>
      </c>
      <c r="AI32">
        <f xml:space="preserve"> AI31 * Inputs!$B$34</f>
        <v>0</v>
      </c>
      <c r="AJ32">
        <f xml:space="preserve"> AJ31 * Inputs!$B$34</f>
        <v>254700.22284534579</v>
      </c>
      <c r="AK32">
        <f xml:space="preserve"> AK31 * Inputs!$B$34</f>
        <v>4233.9552343306523</v>
      </c>
      <c r="AL32">
        <f xml:space="preserve"> AL31 * Inputs!$B$34</f>
        <v>298124.98133491998</v>
      </c>
      <c r="AM32">
        <f xml:space="preserve"> AM31 * Inputs!$B$34</f>
        <v>0</v>
      </c>
      <c r="AN32">
        <f xml:space="preserve"> AN31 * Inputs!$B$34</f>
        <v>292068.03382972855</v>
      </c>
      <c r="AO32">
        <f xml:space="preserve"> AO31 * Inputs!$B$34</f>
        <v>0</v>
      </c>
      <c r="AP32">
        <f xml:space="preserve"> AP31 * Inputs!$B$34</f>
        <v>281571.45530868159</v>
      </c>
      <c r="AQ32">
        <f xml:space="preserve"> AQ31 * Inputs!$B$34</f>
        <v>0</v>
      </c>
      <c r="AR32">
        <f xml:space="preserve"> AR31 * Inputs!$B$34</f>
        <v>270865.09033397766</v>
      </c>
      <c r="AS32">
        <f xml:space="preserve"> AS31 * Inputs!$B$34</f>
        <v>0</v>
      </c>
      <c r="AT32">
        <f xml:space="preserve"> AT31 * Inputs!$B$34</f>
        <v>259914.52949782962</v>
      </c>
      <c r="AU32">
        <f xml:space="preserve"> AU31 * Inputs!$B$34</f>
        <v>0</v>
      </c>
      <c r="AV32">
        <f xml:space="preserve"> AV31 * Inputs!$B$34</f>
        <v>248775.32541713878</v>
      </c>
      <c r="AW32">
        <f xml:space="preserve"> AW31 * Inputs!$B$34</f>
        <v>0</v>
      </c>
      <c r="AX32">
        <f xml:space="preserve"> AX31 * Inputs!$B$34</f>
        <v>237413.4912559923</v>
      </c>
      <c r="AY32">
        <f xml:space="preserve"> AY31 * Inputs!$B$34</f>
        <v>0</v>
      </c>
      <c r="AZ32">
        <f xml:space="preserve"> AZ31 * Inputs!$B$34</f>
        <v>225824.5774906752</v>
      </c>
      <c r="BA32">
        <f xml:space="preserve"> BA31 * Inputs!$B$34</f>
        <v>0</v>
      </c>
      <c r="BB32">
        <f xml:space="preserve"> BB31 * Inputs!$B$34</f>
        <v>213971.33827159205</v>
      </c>
      <c r="BC32">
        <f xml:space="preserve"> BC31 * Inputs!$B$34</f>
        <v>0</v>
      </c>
      <c r="BD32">
        <f xml:space="preserve"> BD31 * Inputs!$B$34</f>
        <v>201913.90553784903</v>
      </c>
      <c r="BE32">
        <f xml:space="preserve"> BE31 * Inputs!$B$34</f>
        <v>0</v>
      </c>
      <c r="BF32">
        <f xml:space="preserve"> BF31 * Inputs!$B$34</f>
        <v>189615.49084523751</v>
      </c>
      <c r="BG32">
        <f xml:space="preserve"> BG31 * Inputs!$B$34</f>
        <v>0</v>
      </c>
      <c r="BH32">
        <f xml:space="preserve"> BH31 * Inputs!$B$34</f>
        <v>177071.27788619159</v>
      </c>
      <c r="BI32">
        <f xml:space="preserve"> BI31 * Inputs!$B$34</f>
        <v>0</v>
      </c>
      <c r="BJ32">
        <f xml:space="preserve"> BJ31 * Inputs!$B$34</f>
        <v>164240.95055528264</v>
      </c>
      <c r="BK32">
        <f xml:space="preserve"> BK31 * Inputs!$B$34</f>
        <v>0</v>
      </c>
      <c r="BL32">
        <f xml:space="preserve"> BL31 * Inputs!$B$34</f>
        <v>151189.59759724251</v>
      </c>
      <c r="BM32">
        <f xml:space="preserve"> BM31 * Inputs!$B$34</f>
        <v>0</v>
      </c>
      <c r="BN32">
        <f xml:space="preserve"> BN31 * Inputs!$B$34</f>
        <v>137877.39801694331</v>
      </c>
      <c r="BO32">
        <f xml:space="preserve"> BO31 * Inputs!$B$34</f>
        <v>0</v>
      </c>
      <c r="BP32">
        <f xml:space="preserve"> BP31 * Inputs!$B$34</f>
        <v>0</v>
      </c>
      <c r="BQ32">
        <f xml:space="preserve"> BQ31 * Inputs!$B$34</f>
        <v>0</v>
      </c>
      <c r="BR32">
        <f xml:space="preserve"> BR31 * Inputs!$B$34</f>
        <v>0</v>
      </c>
      <c r="BS32">
        <f xml:space="preserve"> BS31 * Inputs!$B$34</f>
        <v>0</v>
      </c>
      <c r="BT32">
        <f xml:space="preserve"> BT31 * Inputs!$B$34</f>
        <v>0</v>
      </c>
      <c r="BU32">
        <f xml:space="preserve"> BU31 * Inputs!$B$34</f>
        <v>0</v>
      </c>
    </row>
    <row r="33" spans="1:73">
      <c r="A33" t="s">
        <v>263</v>
      </c>
      <c r="B33" t="s">
        <v>184</v>
      </c>
      <c r="C33">
        <f>SUM(D33:BU33)</f>
        <v>32373622.407758359</v>
      </c>
      <c r="D33">
        <f t="shared" ref="D33:AI33" si="23" xml:space="preserve"> D8 - D32</f>
        <v>0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1220374.4089345317</v>
      </c>
      <c r="I33">
        <f t="shared" si="23"/>
        <v>367941.26282097551</v>
      </c>
      <c r="J33">
        <f t="shared" si="23"/>
        <v>1209397.0949984677</v>
      </c>
      <c r="K33">
        <f t="shared" si="23"/>
        <v>356855.09485584439</v>
      </c>
      <c r="L33">
        <f t="shared" si="23"/>
        <v>1198200.3865466854</v>
      </c>
      <c r="M33">
        <f t="shared" si="23"/>
        <v>345516.06830213021</v>
      </c>
      <c r="N33">
        <f t="shared" si="23"/>
        <v>1186748.2982463562</v>
      </c>
      <c r="O33">
        <f t="shared" si="23"/>
        <v>333981.70647828188</v>
      </c>
      <c r="P33">
        <f t="shared" si="23"/>
        <v>1175098.9269825253</v>
      </c>
      <c r="Q33">
        <f t="shared" si="23"/>
        <v>322216.81688222941</v>
      </c>
      <c r="R33">
        <f t="shared" si="23"/>
        <v>1163216.7293477135</v>
      </c>
      <c r="S33">
        <f t="shared" si="23"/>
        <v>310216.79214560974</v>
      </c>
      <c r="T33">
        <f t="shared" si="23"/>
        <v>1151097.0520333601</v>
      </c>
      <c r="U33">
        <f t="shared" si="23"/>
        <v>297943.06514077552</v>
      </c>
      <c r="V33">
        <f t="shared" si="23"/>
        <v>1138700.9433579245</v>
      </c>
      <c r="W33">
        <f t="shared" si="23"/>
        <v>285457.90095756587</v>
      </c>
      <c r="X33">
        <f t="shared" si="23"/>
        <v>1126091.2892581739</v>
      </c>
      <c r="Y33">
        <f t="shared" si="23"/>
        <v>272723.20609994943</v>
      </c>
      <c r="Z33">
        <f t="shared" si="23"/>
        <v>1113229.6164067774</v>
      </c>
      <c r="AA33">
        <f t="shared" si="23"/>
        <v>259733.99340423674</v>
      </c>
      <c r="AB33">
        <f t="shared" si="23"/>
        <v>1100110.887912899</v>
      </c>
      <c r="AC33">
        <f t="shared" si="23"/>
        <v>246448.51657114364</v>
      </c>
      <c r="AD33">
        <f t="shared" si="23"/>
        <v>1086692.9412237522</v>
      </c>
      <c r="AE33">
        <f t="shared" si="23"/>
        <v>232934.17333635734</v>
      </c>
      <c r="AF33">
        <f t="shared" si="23"/>
        <v>1073043.8460997068</v>
      </c>
      <c r="AG33">
        <f t="shared" si="23"/>
        <v>219149.7300746867</v>
      </c>
      <c r="AH33">
        <f t="shared" si="23"/>
        <v>1059121.9577739565</v>
      </c>
      <c r="AI33">
        <f t="shared" si="23"/>
        <v>205089.788519767</v>
      </c>
      <c r="AJ33">
        <f t="shared" ref="AJ33:BO33" si="24" xml:space="preserve"> AJ8 - AJ32</f>
        <v>790221.6013085281</v>
      </c>
      <c r="AK33">
        <f t="shared" si="24"/>
        <v>186475.2059003615</v>
      </c>
      <c r="AL33">
        <f t="shared" si="24"/>
        <v>732272.82580145611</v>
      </c>
      <c r="AM33">
        <f t="shared" si="24"/>
        <v>176080.80139608099</v>
      </c>
      <c r="AN33">
        <f t="shared" si="24"/>
        <v>723555.55378948129</v>
      </c>
      <c r="AO33">
        <f t="shared" si="24"/>
        <v>161160.07670195331</v>
      </c>
      <c r="AP33">
        <f t="shared" si="24"/>
        <v>718982.63265880744</v>
      </c>
      <c r="AQ33">
        <f t="shared" si="24"/>
        <v>145941.14379518793</v>
      </c>
      <c r="AR33">
        <f t="shared" si="24"/>
        <v>714318.31632683706</v>
      </c>
      <c r="AS33">
        <f t="shared" si="24"/>
        <v>130375.09023260616</v>
      </c>
      <c r="AT33">
        <f t="shared" si="24"/>
        <v>709547.61405085807</v>
      </c>
      <c r="AU33">
        <f t="shared" si="24"/>
        <v>114540.88320348423</v>
      </c>
      <c r="AV33">
        <f t="shared" si="24"/>
        <v>704694.72778726846</v>
      </c>
      <c r="AW33">
        <f t="shared" si="24"/>
        <v>98390.210944054183</v>
      </c>
      <c r="AX33">
        <f t="shared" si="24"/>
        <v>699744.85089028359</v>
      </c>
      <c r="AY33">
        <f t="shared" si="24"/>
        <v>81916.748524889117</v>
      </c>
      <c r="AZ33">
        <f t="shared" si="24"/>
        <v>694696.04488814552</v>
      </c>
      <c r="BA33">
        <f t="shared" si="24"/>
        <v>65067.551544468035</v>
      </c>
      <c r="BB33">
        <f t="shared" si="24"/>
        <v>689532.08331884071</v>
      </c>
      <c r="BC33">
        <f t="shared" si="24"/>
        <v>47928.096628048341</v>
      </c>
      <c r="BD33">
        <f t="shared" si="24"/>
        <v>684279.16315830906</v>
      </c>
      <c r="BE33">
        <f t="shared" si="24"/>
        <v>30446.089568821597</v>
      </c>
      <c r="BF33">
        <f t="shared" si="24"/>
        <v>678921.2572169716</v>
      </c>
      <c r="BG33">
        <f t="shared" si="24"/>
        <v>12614.684059765772</v>
      </c>
      <c r="BH33">
        <f t="shared" si="24"/>
        <v>673456.26723065635</v>
      </c>
      <c r="BI33">
        <f t="shared" si="24"/>
        <v>-5623.4286220169161</v>
      </c>
      <c r="BJ33">
        <f t="shared" si="24"/>
        <v>667866.62915503676</v>
      </c>
      <c r="BK33">
        <f t="shared" si="24"/>
        <v>-24175.725828419672</v>
      </c>
      <c r="BL33">
        <f t="shared" si="24"/>
        <v>662180.69943936495</v>
      </c>
      <c r="BM33">
        <f t="shared" si="24"/>
        <v>-43098.812490673736</v>
      </c>
      <c r="BN33">
        <f t="shared" si="24"/>
        <v>656381.12973820628</v>
      </c>
      <c r="BO33">
        <f t="shared" si="24"/>
        <v>-62400.099271676852</v>
      </c>
      <c r="BP33">
        <f t="shared" ref="BP33:CU33" si="25" xml:space="preserve"> BP8 - BP32</f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5"/>
        <v>0</v>
      </c>
    </row>
    <row r="34" spans="1:73" ht="15.75">
      <c r="A34" s="56" t="s">
        <v>207</v>
      </c>
      <c r="B34" s="56"/>
      <c r="C34" s="56"/>
    </row>
    <row r="35" spans="1:73">
      <c r="A35" t="s">
        <v>270</v>
      </c>
      <c r="B35" t="s">
        <v>165</v>
      </c>
      <c r="C35">
        <f>IF(MIN(D32:BU32)&gt;=0,0,1)</f>
        <v>0</v>
      </c>
      <c r="D35" s="37" t="s">
        <v>167</v>
      </c>
    </row>
    <row r="36" spans="1:73" ht="30">
      <c r="A36" s="52" t="s">
        <v>271</v>
      </c>
      <c r="B36" t="s">
        <v>165</v>
      </c>
      <c r="C36">
        <f>ROUND(C25-C26-C30-BU29,2)</f>
        <v>0</v>
      </c>
      <c r="D36" s="37" t="s">
        <v>167</v>
      </c>
    </row>
  </sheetData>
  <mergeCells count="4">
    <mergeCell ref="A4:C4"/>
    <mergeCell ref="A16:C16"/>
    <mergeCell ref="A18:C18"/>
    <mergeCell ref="A34:C34"/>
  </mergeCells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E27" sqref="E27"/>
    </sheetView>
  </sheetViews>
  <sheetFormatPr baseColWidth="10" defaultColWidth="9.140625" defaultRowHeight="15"/>
  <cols>
    <col min="1" max="1" width="15.140625" customWidth="1"/>
    <col min="3" max="3" width="11.5703125" bestFit="1" customWidth="1"/>
  </cols>
  <sheetData>
    <row r="1" spans="1:1" ht="18.75">
      <c r="A1" s="1" t="s">
        <v>56</v>
      </c>
    </row>
    <row r="2" spans="1:1">
      <c r="A2" t="s">
        <v>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58</v>
      </c>
    </row>
    <row r="2" spans="1:1">
      <c r="A2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60</v>
      </c>
    </row>
    <row r="2" spans="1:1">
      <c r="A2" t="s">
        <v>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62</v>
      </c>
    </row>
    <row r="2" spans="1:1">
      <c r="A2" t="s">
        <v>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64</v>
      </c>
    </row>
    <row r="2" spans="1:1">
      <c r="A2" t="s">
        <v>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66</v>
      </c>
    </row>
    <row r="2" spans="1:1">
      <c r="A2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2026-10-28T02:16:30Z</dcterms:modified>
</cp:coreProperties>
</file>