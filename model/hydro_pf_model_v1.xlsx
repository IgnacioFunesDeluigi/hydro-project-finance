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activeTab="1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B19" i="4" l="1"/>
  <c r="C7" i="4" l="1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C8" i="4" l="1"/>
  <c r="D16" i="4"/>
  <c r="B42" i="2"/>
  <c r="D23" i="4" l="1"/>
  <c r="D17" i="4"/>
  <c r="D20" i="4"/>
  <c r="C11" i="4"/>
  <c r="D21" i="4" s="1"/>
  <c r="C10" i="4"/>
  <c r="C9" i="4"/>
  <c r="B27" i="2"/>
  <c r="D22" i="4" l="1"/>
  <c r="E16" i="4"/>
  <c r="D18" i="4"/>
  <c r="D19" i="4"/>
  <c r="D24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E23" i="4" l="1"/>
  <c r="E17" i="4"/>
  <c r="E20" i="4"/>
  <c r="E22" i="4"/>
  <c r="E21" i="4"/>
  <c r="L16" i="3"/>
  <c r="L17" i="3"/>
  <c r="M17" i="3"/>
  <c r="N17" i="3" s="1"/>
  <c r="M16" i="3"/>
  <c r="N16" i="3" s="1"/>
  <c r="M18" i="3"/>
  <c r="E19" i="4" l="1"/>
  <c r="F16" i="4"/>
  <c r="E18" i="4"/>
  <c r="E24" i="4"/>
  <c r="L18" i="3"/>
  <c r="N18" i="3" s="1"/>
  <c r="F23" i="4" l="1"/>
  <c r="F17" i="4"/>
  <c r="F22" i="4"/>
  <c r="F20" i="4"/>
  <c r="F21" i="4"/>
  <c r="F18" i="4" l="1"/>
  <c r="F19" i="4"/>
  <c r="G16" i="4"/>
  <c r="F24" i="4"/>
  <c r="G23" i="4" l="1"/>
  <c r="G17" i="4"/>
  <c r="G22" i="4"/>
  <c r="G20" i="4"/>
  <c r="G21" i="4"/>
  <c r="G24" i="4" l="1"/>
  <c r="H16" i="4"/>
  <c r="G18" i="4"/>
  <c r="G19" i="4"/>
  <c r="H23" i="4" l="1"/>
  <c r="H17" i="4"/>
  <c r="H22" i="4"/>
  <c r="H20" i="4"/>
  <c r="H21" i="4"/>
  <c r="H24" i="4" l="1"/>
  <c r="I16" i="4"/>
  <c r="H18" i="4"/>
  <c r="H19" i="4"/>
  <c r="I23" i="4" l="1"/>
  <c r="I17" i="4"/>
  <c r="I20" i="4"/>
  <c r="I22" i="4"/>
  <c r="I21" i="4"/>
  <c r="I24" i="4" l="1"/>
  <c r="J16" i="4"/>
  <c r="I18" i="4"/>
  <c r="I19" i="4"/>
  <c r="J23" i="4" l="1"/>
  <c r="J17" i="4"/>
  <c r="J20" i="4"/>
  <c r="J22" i="4"/>
  <c r="J21" i="4"/>
  <c r="J24" i="4" l="1"/>
  <c r="K16" i="4"/>
  <c r="J19" i="4"/>
  <c r="J18" i="4"/>
  <c r="K23" i="4" l="1"/>
  <c r="K17" i="4"/>
  <c r="K21" i="4"/>
  <c r="K20" i="4"/>
  <c r="K24" i="4" s="1"/>
  <c r="K22" i="4"/>
  <c r="L16" i="4" l="1"/>
  <c r="K19" i="4"/>
  <c r="K18" i="4"/>
  <c r="L23" i="4" l="1"/>
  <c r="L17" i="4"/>
  <c r="L21" i="4"/>
  <c r="L20" i="4"/>
  <c r="L22" i="4"/>
  <c r="L24" i="4" l="1"/>
  <c r="M16" i="4"/>
  <c r="L19" i="4"/>
  <c r="L18" i="4"/>
  <c r="M23" i="4" l="1"/>
  <c r="M17" i="4"/>
  <c r="M21" i="4"/>
  <c r="M20" i="4"/>
  <c r="M22" i="4"/>
  <c r="M24" i="4" l="1"/>
  <c r="N16" i="4"/>
  <c r="M19" i="4"/>
  <c r="M18" i="4"/>
  <c r="N23" i="4" l="1"/>
  <c r="N17" i="4"/>
  <c r="N21" i="4"/>
  <c r="N20" i="4"/>
  <c r="N24" i="4" s="1"/>
  <c r="N22" i="4"/>
  <c r="O16" i="4" l="1"/>
  <c r="N18" i="4"/>
  <c r="N19" i="4"/>
  <c r="O23" i="4" l="1"/>
  <c r="O17" i="4"/>
  <c r="O21" i="4"/>
  <c r="O22" i="4"/>
  <c r="O20" i="4"/>
  <c r="O24" i="4" l="1"/>
  <c r="P16" i="4"/>
  <c r="O18" i="4"/>
  <c r="O19" i="4"/>
  <c r="P23" i="4" l="1"/>
  <c r="P17" i="4"/>
  <c r="P21" i="4"/>
  <c r="P22" i="4"/>
  <c r="P20" i="4"/>
  <c r="P24" i="4" s="1"/>
  <c r="Q16" i="4" l="1"/>
  <c r="P18" i="4"/>
  <c r="P19" i="4"/>
  <c r="Q23" i="4" l="1"/>
  <c r="Q17" i="4"/>
  <c r="Q21" i="4"/>
  <c r="Q22" i="4"/>
  <c r="Q20" i="4"/>
  <c r="Q24" i="4" s="1"/>
  <c r="R16" i="4" l="1"/>
  <c r="Q18" i="4"/>
  <c r="Q19" i="4"/>
  <c r="R23" i="4" l="1"/>
  <c r="R17" i="4"/>
  <c r="R22" i="4"/>
  <c r="R20" i="4"/>
  <c r="R21" i="4"/>
  <c r="R24" i="4" l="1"/>
  <c r="S16" i="4"/>
  <c r="R19" i="4"/>
  <c r="R18" i="4"/>
  <c r="S23" i="4" l="1"/>
  <c r="S17" i="4"/>
  <c r="S22" i="4"/>
  <c r="S20" i="4"/>
  <c r="S21" i="4"/>
  <c r="S24" i="4" l="1"/>
  <c r="T16" i="4"/>
  <c r="S19" i="4"/>
  <c r="S18" i="4"/>
  <c r="T23" i="4" l="1"/>
  <c r="T17" i="4"/>
  <c r="T20" i="4"/>
  <c r="T22" i="4"/>
  <c r="T21" i="4"/>
  <c r="T24" i="4" l="1"/>
  <c r="U16" i="4"/>
  <c r="T19" i="4"/>
  <c r="T18" i="4"/>
  <c r="U23" i="4" l="1"/>
  <c r="U17" i="4"/>
  <c r="U22" i="4"/>
  <c r="U20" i="4"/>
  <c r="U21" i="4"/>
  <c r="U24" i="4" l="1"/>
  <c r="V16" i="4"/>
  <c r="U19" i="4"/>
  <c r="U18" i="4"/>
  <c r="V23" i="4" l="1"/>
  <c r="V17" i="4"/>
  <c r="V20" i="4"/>
  <c r="V22" i="4"/>
  <c r="V21" i="4"/>
  <c r="V24" i="4" l="1"/>
  <c r="W16" i="4"/>
  <c r="V19" i="4"/>
  <c r="V18" i="4"/>
  <c r="W23" i="4" l="1"/>
  <c r="W17" i="4"/>
  <c r="W22" i="4"/>
  <c r="W21" i="4"/>
  <c r="W20" i="4"/>
  <c r="W24" i="4" l="1"/>
  <c r="X16" i="4"/>
  <c r="W19" i="4"/>
  <c r="W18" i="4"/>
  <c r="X23" i="4" l="1"/>
  <c r="X17" i="4"/>
  <c r="X22" i="4"/>
  <c r="X20" i="4"/>
  <c r="X21" i="4"/>
  <c r="X24" i="4" l="1"/>
  <c r="Y16" i="4"/>
  <c r="X19" i="4"/>
  <c r="X18" i="4"/>
  <c r="Y23" i="4" l="1"/>
  <c r="Y17" i="4"/>
  <c r="Y20" i="4"/>
  <c r="Y22" i="4"/>
  <c r="Y21" i="4"/>
  <c r="Y24" i="4" l="1"/>
  <c r="Z16" i="4"/>
  <c r="Y19" i="4"/>
  <c r="Y18" i="4"/>
  <c r="Z23" i="4" l="1"/>
  <c r="Z17" i="4"/>
  <c r="Z21" i="4"/>
  <c r="Z20" i="4"/>
  <c r="Z22" i="4"/>
  <c r="Z24" i="4" l="1"/>
  <c r="AA16" i="4"/>
  <c r="Z18" i="4"/>
  <c r="Z19" i="4"/>
  <c r="AA23" i="4" l="1"/>
  <c r="AA17" i="4"/>
  <c r="AA21" i="4"/>
  <c r="AA20" i="4"/>
  <c r="AA24" i="4" s="1"/>
  <c r="AA22" i="4"/>
  <c r="AB16" i="4" l="1"/>
  <c r="AA18" i="4"/>
  <c r="AA19" i="4"/>
  <c r="AB23" i="4" l="1"/>
  <c r="AB17" i="4"/>
  <c r="AB21" i="4"/>
  <c r="AB20" i="4"/>
  <c r="AB22" i="4"/>
  <c r="AB24" i="4" l="1"/>
  <c r="AC16" i="4"/>
  <c r="AB18" i="4"/>
  <c r="AB19" i="4"/>
  <c r="AC23" i="4" l="1"/>
  <c r="AC17" i="4"/>
  <c r="AC21" i="4"/>
  <c r="AC20" i="4"/>
  <c r="AC22" i="4"/>
  <c r="AC24" i="4" l="1"/>
  <c r="AD16" i="4"/>
  <c r="AC18" i="4"/>
  <c r="AC19" i="4"/>
  <c r="AD23" i="4" l="1"/>
  <c r="AD17" i="4"/>
  <c r="AD22" i="4"/>
  <c r="AD20" i="4"/>
  <c r="AD21" i="4"/>
  <c r="AD24" i="4" l="1"/>
  <c r="AE16" i="4"/>
  <c r="AD18" i="4"/>
  <c r="AD19" i="4"/>
  <c r="AE23" i="4" l="1"/>
  <c r="AE17" i="4"/>
  <c r="AE22" i="4"/>
  <c r="AE20" i="4"/>
  <c r="AE21" i="4"/>
  <c r="AE24" i="4" l="1"/>
  <c r="AF16" i="4"/>
  <c r="AE18" i="4"/>
  <c r="AE19" i="4"/>
  <c r="AF23" i="4" l="1"/>
  <c r="AF17" i="4"/>
  <c r="AF22" i="4"/>
  <c r="AF20" i="4"/>
  <c r="AF21" i="4"/>
  <c r="AF24" i="4" l="1"/>
  <c r="AG16" i="4"/>
  <c r="AF18" i="4"/>
  <c r="AF19" i="4"/>
  <c r="AG23" i="4" l="1"/>
  <c r="AG17" i="4"/>
  <c r="AG20" i="4"/>
  <c r="AG22" i="4"/>
  <c r="AG21" i="4"/>
  <c r="AG24" i="4" l="1"/>
  <c r="AH16" i="4"/>
  <c r="AG18" i="4"/>
  <c r="AG19" i="4"/>
  <c r="AH23" i="4" l="1"/>
  <c r="AH17" i="4"/>
  <c r="AH22" i="4"/>
  <c r="AH20" i="4"/>
  <c r="AH21" i="4"/>
  <c r="AH24" i="4" l="1"/>
  <c r="AI16" i="4"/>
  <c r="AH19" i="4"/>
  <c r="AH18" i="4"/>
  <c r="AI23" i="4" l="1"/>
  <c r="AI17" i="4"/>
  <c r="AI21" i="4"/>
  <c r="AI22" i="4"/>
  <c r="AI20" i="4"/>
  <c r="AI24" i="4" l="1"/>
  <c r="AJ16" i="4"/>
  <c r="AI19" i="4"/>
  <c r="AI18" i="4"/>
  <c r="AJ23" i="4" l="1"/>
  <c r="AJ17" i="4"/>
  <c r="AJ21" i="4"/>
  <c r="AJ20" i="4"/>
  <c r="AJ24" i="4" s="1"/>
  <c r="AJ22" i="4"/>
  <c r="AK16" i="4" l="1"/>
  <c r="AJ19" i="4"/>
  <c r="AJ18" i="4"/>
  <c r="AK23" i="4" l="1"/>
  <c r="AK17" i="4"/>
  <c r="AK21" i="4"/>
  <c r="AK22" i="4"/>
  <c r="AK20" i="4"/>
  <c r="AK24" i="4" l="1"/>
  <c r="AL16" i="4"/>
  <c r="AK19" i="4"/>
  <c r="AK18" i="4"/>
  <c r="AL23" i="4" l="1"/>
  <c r="AL17" i="4"/>
  <c r="AL21" i="4"/>
  <c r="AL20" i="4"/>
  <c r="AL22" i="4"/>
  <c r="AL24" i="4" l="1"/>
  <c r="AM16" i="4"/>
  <c r="AL18" i="4"/>
  <c r="AL19" i="4"/>
  <c r="AM23" i="4" l="1"/>
  <c r="AM17" i="4"/>
  <c r="AM21" i="4"/>
  <c r="AM20" i="4"/>
  <c r="AM22" i="4"/>
  <c r="AM24" i="4" l="1"/>
  <c r="AN16" i="4"/>
  <c r="AM18" i="4"/>
  <c r="AM19" i="4"/>
  <c r="AN23" i="4" l="1"/>
  <c r="AN17" i="4"/>
  <c r="AN21" i="4"/>
  <c r="AN20" i="4"/>
  <c r="AN22" i="4"/>
  <c r="AN24" i="4" l="1"/>
  <c r="AO16" i="4"/>
  <c r="AN18" i="4"/>
  <c r="AN19" i="4"/>
  <c r="AO23" i="4" l="1"/>
  <c r="AO17" i="4"/>
  <c r="AO21" i="4"/>
  <c r="AO22" i="4"/>
  <c r="AO20" i="4"/>
  <c r="AO24" i="4" l="1"/>
  <c r="AP16" i="4"/>
  <c r="AO18" i="4"/>
  <c r="AO19" i="4"/>
  <c r="AP23" i="4" l="1"/>
  <c r="AP17" i="4"/>
  <c r="AP22" i="4"/>
  <c r="AP20" i="4"/>
  <c r="AP21" i="4"/>
  <c r="AP24" i="4" l="1"/>
  <c r="AQ16" i="4"/>
  <c r="AP18" i="4"/>
  <c r="AP19" i="4"/>
  <c r="AQ23" i="4" l="1"/>
  <c r="AQ17" i="4"/>
  <c r="AQ22" i="4"/>
  <c r="AQ20" i="4"/>
  <c r="AQ21" i="4"/>
  <c r="AQ24" i="4" l="1"/>
  <c r="AR16" i="4"/>
  <c r="AQ18" i="4"/>
  <c r="AQ19" i="4"/>
  <c r="AR23" i="4" l="1"/>
  <c r="AR17" i="4"/>
  <c r="AR22" i="4"/>
  <c r="AR20" i="4"/>
  <c r="AR21" i="4"/>
  <c r="AR24" i="4" l="1"/>
  <c r="AS16" i="4"/>
  <c r="AR18" i="4"/>
  <c r="AR19" i="4"/>
  <c r="AS23" i="4" l="1"/>
  <c r="AS17" i="4"/>
  <c r="AS20" i="4"/>
  <c r="AS22" i="4"/>
  <c r="AS21" i="4"/>
  <c r="AS24" i="4" l="1"/>
  <c r="AT16" i="4"/>
  <c r="AS18" i="4"/>
  <c r="AS19" i="4"/>
  <c r="AT23" i="4" l="1"/>
  <c r="AT17" i="4"/>
  <c r="AT20" i="4"/>
  <c r="AT22" i="4"/>
  <c r="AT21" i="4"/>
  <c r="AT24" i="4" l="1"/>
  <c r="AU16" i="4"/>
  <c r="AT19" i="4"/>
  <c r="AT18" i="4"/>
  <c r="AU23" i="4" l="1"/>
  <c r="AU17" i="4"/>
  <c r="AU20" i="4"/>
  <c r="AU22" i="4"/>
  <c r="AU21" i="4"/>
  <c r="AU24" i="4" l="1"/>
  <c r="AV16" i="4"/>
  <c r="AU19" i="4"/>
  <c r="AU18" i="4"/>
  <c r="AV23" i="4" l="1"/>
  <c r="AV17" i="4"/>
  <c r="AV21" i="4"/>
  <c r="AV22" i="4"/>
  <c r="AV20" i="4"/>
  <c r="AV24" i="4" l="1"/>
  <c r="AW16" i="4"/>
  <c r="AV19" i="4"/>
  <c r="AV18" i="4"/>
  <c r="AW23" i="4" l="1"/>
  <c r="AW17" i="4"/>
  <c r="AW20" i="4"/>
  <c r="AW21" i="4"/>
  <c r="AW22" i="4"/>
  <c r="AW24" i="4" l="1"/>
  <c r="AX16" i="4"/>
  <c r="AW19" i="4"/>
  <c r="AW18" i="4"/>
  <c r="AX23" i="4" l="1"/>
  <c r="AX17" i="4"/>
  <c r="AX21" i="4"/>
  <c r="AX22" i="4"/>
  <c r="AX20" i="4"/>
  <c r="AX24" i="4" s="1"/>
  <c r="AY16" i="4" l="1"/>
  <c r="AX18" i="4"/>
  <c r="AX19" i="4"/>
  <c r="AY23" i="4" l="1"/>
  <c r="AY17" i="4"/>
  <c r="AY21" i="4"/>
  <c r="AY20" i="4"/>
  <c r="AY22" i="4"/>
  <c r="AY24" i="4" l="1"/>
  <c r="AZ16" i="4"/>
  <c r="AY18" i="4"/>
  <c r="AY19" i="4"/>
  <c r="AZ23" i="4" l="1"/>
  <c r="AZ17" i="4"/>
  <c r="AZ21" i="4"/>
  <c r="AZ20" i="4"/>
  <c r="AZ22" i="4"/>
  <c r="AZ24" i="4" l="1"/>
  <c r="BA16" i="4"/>
  <c r="AZ18" i="4"/>
  <c r="AZ19" i="4"/>
  <c r="BA23" i="4" l="1"/>
  <c r="BA17" i="4"/>
  <c r="BA21" i="4"/>
  <c r="BA20" i="4"/>
  <c r="BA22" i="4"/>
  <c r="BA24" i="4" l="1"/>
  <c r="BB16" i="4"/>
  <c r="BA18" i="4"/>
  <c r="BA19" i="4"/>
  <c r="BB23" i="4" l="1"/>
  <c r="BB17" i="4"/>
  <c r="BB22" i="4"/>
  <c r="BB20" i="4"/>
  <c r="BB21" i="4"/>
  <c r="BB24" i="4" l="1"/>
  <c r="BC16" i="4"/>
  <c r="BB19" i="4"/>
  <c r="BB18" i="4"/>
  <c r="BC23" i="4" l="1"/>
  <c r="BC17" i="4"/>
  <c r="BC22" i="4"/>
  <c r="BC20" i="4"/>
  <c r="BC21" i="4"/>
  <c r="BC24" i="4" l="1"/>
  <c r="BD16" i="4"/>
  <c r="BC19" i="4"/>
  <c r="BC18" i="4"/>
  <c r="BD23" i="4" l="1"/>
  <c r="BD17" i="4"/>
  <c r="BD22" i="4"/>
  <c r="BD20" i="4"/>
  <c r="BD21" i="4"/>
  <c r="BD24" i="4" l="1"/>
  <c r="BE16" i="4"/>
  <c r="BD19" i="4"/>
  <c r="BD18" i="4"/>
  <c r="BE23" i="4" l="1"/>
  <c r="BE17" i="4"/>
  <c r="BE22" i="4"/>
  <c r="BE20" i="4"/>
  <c r="BE21" i="4"/>
  <c r="BE24" i="4" l="1"/>
  <c r="BF16" i="4"/>
  <c r="BE19" i="4"/>
  <c r="BE18" i="4"/>
  <c r="BF23" i="4" l="1"/>
  <c r="BF17" i="4"/>
  <c r="BF20" i="4"/>
  <c r="BF22" i="4"/>
  <c r="BF21" i="4"/>
  <c r="BF24" i="4" l="1"/>
  <c r="BG16" i="4"/>
  <c r="BF19" i="4"/>
  <c r="BF18" i="4"/>
  <c r="BG23" i="4" l="1"/>
  <c r="BG17" i="4"/>
  <c r="BG21" i="4"/>
  <c r="BG20" i="4"/>
  <c r="BG24" i="4" s="1"/>
  <c r="BG22" i="4"/>
  <c r="BH16" i="4" l="1"/>
  <c r="BG19" i="4"/>
  <c r="BG18" i="4"/>
  <c r="BH23" i="4" l="1"/>
  <c r="BH17" i="4"/>
  <c r="BH21" i="4"/>
  <c r="BH20" i="4"/>
  <c r="BH22" i="4"/>
  <c r="BH24" i="4" l="1"/>
  <c r="BI16" i="4"/>
  <c r="BH19" i="4"/>
  <c r="BH18" i="4"/>
  <c r="BI23" i="4" l="1"/>
  <c r="BI17" i="4"/>
  <c r="BI20" i="4"/>
  <c r="BI21" i="4"/>
  <c r="BI22" i="4"/>
  <c r="BI24" i="4" l="1"/>
  <c r="BJ16" i="4"/>
  <c r="BI19" i="4"/>
  <c r="BI18" i="4"/>
  <c r="BJ23" i="4" l="1"/>
  <c r="BJ17" i="4"/>
  <c r="BJ21" i="4"/>
  <c r="BJ22" i="4"/>
  <c r="BJ20" i="4"/>
  <c r="BJ24" i="4" s="1"/>
  <c r="BK16" i="4" l="1"/>
  <c r="BJ18" i="4"/>
  <c r="BJ19" i="4"/>
  <c r="BK23" i="4" l="1"/>
  <c r="BK17" i="4"/>
  <c r="BK21" i="4"/>
  <c r="BK22" i="4"/>
  <c r="BK20" i="4"/>
  <c r="BK24" i="4" s="1"/>
  <c r="BL16" i="4" l="1"/>
  <c r="BK18" i="4"/>
  <c r="BK19" i="4"/>
  <c r="BL23" i="4" l="1"/>
  <c r="BL17" i="4"/>
  <c r="BL21" i="4"/>
  <c r="BL20" i="4"/>
  <c r="BL22" i="4"/>
  <c r="BL24" i="4" l="1"/>
  <c r="BM16" i="4"/>
  <c r="BL18" i="4"/>
  <c r="BL19" i="4"/>
  <c r="BM23" i="4" l="1"/>
  <c r="BM17" i="4"/>
  <c r="BM21" i="4"/>
  <c r="BM20" i="4"/>
  <c r="BM22" i="4"/>
  <c r="BM24" i="4" l="1"/>
  <c r="BN16" i="4"/>
  <c r="BM18" i="4"/>
  <c r="BM19" i="4"/>
  <c r="BN23" i="4" l="1"/>
  <c r="BN17" i="4"/>
  <c r="BN22" i="4"/>
  <c r="BN20" i="4"/>
  <c r="BN21" i="4"/>
  <c r="BN24" i="4" l="1"/>
  <c r="BO16" i="4"/>
  <c r="BN18" i="4"/>
  <c r="BN19" i="4"/>
  <c r="BO23" i="4" l="1"/>
  <c r="BO17" i="4"/>
  <c r="BO22" i="4"/>
  <c r="BO20" i="4"/>
  <c r="BO21" i="4"/>
  <c r="BO24" i="4" l="1"/>
  <c r="BP16" i="4"/>
  <c r="BO18" i="4"/>
  <c r="BO19" i="4"/>
  <c r="BP23" i="4" l="1"/>
  <c r="BP17" i="4"/>
  <c r="BP22" i="4"/>
  <c r="BP20" i="4"/>
  <c r="BP21" i="4"/>
  <c r="BP24" i="4" l="1"/>
  <c r="BQ16" i="4"/>
  <c r="BP18" i="4"/>
  <c r="BP19" i="4"/>
  <c r="BQ23" i="4" l="1"/>
  <c r="BQ17" i="4"/>
  <c r="BQ20" i="4"/>
  <c r="BQ22" i="4"/>
  <c r="BQ21" i="4"/>
  <c r="BQ24" i="4" l="1"/>
  <c r="BR16" i="4"/>
  <c r="BQ19" i="4"/>
  <c r="BQ18" i="4"/>
  <c r="BR23" i="4" l="1"/>
  <c r="BR17" i="4"/>
  <c r="BR20" i="4"/>
  <c r="BR22" i="4"/>
  <c r="BR21" i="4"/>
  <c r="BR24" i="4" l="1"/>
  <c r="BS16" i="4"/>
  <c r="BR19" i="4"/>
  <c r="BR18" i="4"/>
  <c r="BS23" i="4" l="1"/>
  <c r="BS17" i="4"/>
  <c r="BS20" i="4"/>
  <c r="BS21" i="4"/>
  <c r="BS22" i="4"/>
  <c r="BS24" i="4" l="1"/>
  <c r="BT16" i="4"/>
  <c r="BS19" i="4"/>
  <c r="BS18" i="4"/>
  <c r="BT23" i="4" l="1"/>
  <c r="BT17" i="4"/>
  <c r="BT21" i="4"/>
  <c r="BT22" i="4"/>
  <c r="BT20" i="4"/>
  <c r="BT24" i="4" s="1"/>
  <c r="BU16" i="4" l="1"/>
  <c r="BT19" i="4"/>
  <c r="BT18" i="4"/>
  <c r="BU23" i="4" l="1"/>
  <c r="BU17" i="4"/>
  <c r="BU20" i="4"/>
  <c r="C20" i="4" s="1"/>
  <c r="BU21" i="4"/>
  <c r="BU22" i="4"/>
  <c r="C29" i="4" l="1"/>
  <c r="C21" i="4"/>
  <c r="C30" i="4"/>
  <c r="C22" i="4"/>
  <c r="BU24" i="4"/>
  <c r="C31" i="4" s="1"/>
  <c r="C28" i="4"/>
  <c r="BU19" i="4"/>
  <c r="BU18" i="4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<sst xmlns="http://schemas.openxmlformats.org/spreadsheetml/2006/main" count="525" uniqueCount="182">
  <si>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</si>
  <si>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</si>
  <si>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</si>
  <si>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</si>
  <si>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</si>
  <si>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</si>
  <si>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</si>
  <si>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</si>
  <si>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</si>
  <si>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</si>
  <si>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</si>
  <si>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</si>
  <si>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</si>
  <si>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</si>
  <si>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</si>
  <si>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</si>
  <si>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</si>
  <si>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</si>
  <si>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</si>
  <si>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</si>
  <si>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</si>
  <si>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</si>
  <si>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</si>
  <si>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</si>
  <si>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</si>
  <si>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</si>
  <si>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</si>
  <si>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</si>
  <si>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</si>
  <si>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</si>
  <si>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</si>
  <si>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</si>
  <si>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</si>
  <si>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</si>
  <si>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</si>
  <si>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</si>
  <si>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</si>
  <si>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</si>
  <si>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</si>
  <si>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</si>
  <si>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</si>
  <si>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</si>
  <si>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</si>
  <si>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</si>
  <si>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</si>
  <si>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</si>
  <si>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</si>
  <si>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</si>
  <si>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</si>
  <si>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</si>
  <si>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</si>
  <si>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</si>
  <si>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</si>
  <si>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</si>
  <si>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</si>
  <si>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</si>
  <si>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</si>
  <si>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</si>
  <si>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</si>
  <si>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</si>
  <si>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</si>
  <si>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</si>
  <si>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</si>
  <si>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</si>
  <si>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</si>
  <si>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</si>
  <si>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</si>
  <si>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</si>
  <si>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</si>
  <si>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</si>
  <si>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</si>
  <si>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</si>
  <si>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</si>
  <si>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</si>
  <si>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</si>
  <si>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</si>
  <si>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</si>
  <si>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</si>
  <si>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</si>
  <si>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</si>
  <si>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</si>
  <si>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</si>
  <si>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</si>
  <si>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</si>
  <si>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</si>
  <si>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</si>
  <si>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</si>
  <si>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</si>
  <si>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</si>
  <si>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</si>
  <si>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</si>
  <si>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</si>
  <si>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</si>
  <si>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</si>
  <si>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</si>
  <si>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</si>
  <si>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</si>
  <si>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</si>
  <si>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</si>
  <si>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</si>
  <si>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</si>
  <si>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</si>
  <si>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</si>
  <si>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</si>
  <si>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</si>
  <si>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</si>
  <si>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</si>
  <si>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</si>
  <si>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</si>
  <si>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</si>
  <si>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</si>
  <si>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</si>
  <si>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</si>
  <si>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</si>
  <si>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</si>
  <si>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</si>
  <si>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</si>
  <si>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</si>
  <si>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</si>
  <si>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</si>
  <si>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</si>
  <si>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</si>
  <si>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</si>
  <si>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</si>
  <si>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</si>
  <si>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</si>
  <si>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</si>
  <si>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</si>
  <si>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</si>
  <si>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</si>
  <si>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</si>
  <si>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</si>
  <si>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</si>
  <si>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</si>
  <si>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</si>
  <si>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</si>
  <si>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</si>
  <si>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</si>
  <si>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</si>
  <si>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</si>
  <si>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</si>
  <si>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</si>
  <si>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</si>
  <si>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</si>
  <si>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</si>
  <si>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</si>
  <si>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</si>
  <si>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</si>
  <si>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</si>
  <si>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</si>
  <si>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unit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</si>
  <si>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</si>
  <si>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</si>
  <si>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</si>
  <si>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</si>
  <si>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</si>
  <si>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</si>
  <si>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</si>
  <si>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</si>
  <si>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</si>
  <si>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</si>
  <si>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</si>
  <si>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</si>
  <si>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</si>
  <si>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</si>
  <si>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</si>
  <si>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</si>
  <si>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</si>
  <si>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</si>
  <si>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</si>
  <si>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</si>
  <si>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</si>
  <si>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</si>
  <si>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</si>
  <si>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</si>
  <si>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</si>
  <si>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</si>
  <si>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value</t>
  </si>
  <si>
    <t>Financial close date</t>
  </si>
  <si>
    <t>#</t>
  </si>
  <si>
    <t>flag</t>
  </si>
  <si>
    <t>Sum of flags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</si>
</sst>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7" formatCode="dd/mm/yy"/>
  </numFmts>
  <fonts count="1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0" fontId="9" fillId="3" borderId="0" xfId="0" applyFont="1" applyFill="1" applyAlignment="1">
      <alignment horizontal="center"/>
    </xf>
    <xf numFmtId="167" fontId="3" fillId="0" borderId="0" xfId="0" applyNumberFormat="1" applyFont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2" ht="18.75" x14ac:dyDescent="0.3">
      <c r="A1" s="1" t="s">
        <v>0</v>
      </c>
    </row>
    <row r="2" spans="1:2" x14ac:dyDescent="0.25">
      <c r="A2" t="s">
        <v>1</v>
      </c>
    </row>
    <row r="4" spans="1:2" x14ac:dyDescent="0.25">
      <c r="A4" s="2" t="s">
        <v>2</v>
      </c>
    </row>
    <row r="5" spans="1:2" x14ac:dyDescent="0.25">
      <c r="A5" s="3" t="s">
        <v>3</v>
      </c>
      <c r="B5" t="s">
        <v>4</v>
      </c>
    </row>
    <row r="6" spans="1:2" x14ac:dyDescent="0.25">
      <c r="A6" t="s">
        <v>5</v>
      </c>
      <c r="B6" t="s">
        <v>6</v>
      </c>
    </row>
    <row r="8" spans="1:2" x14ac:dyDescent="0.25">
      <c r="A8" s="2" t="s">
        <v>7</v>
      </c>
    </row>
    <row r="9" spans="1:2" x14ac:dyDescent="0.25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5"/>
  <sheetViews>
    <sheetView tabSelected="1" zoomScale="85" zoomScaleNormal="85" workbookViewId="0">
      <pane ySplit="4" topLeftCell="A5" activePane="bottomLeft" state="frozen"/>
      <selection pane="bottomLeft" activeCell="B11" sqref="B11"/>
    </sheetView>
  </sheetViews>
  <sheetFormatPr baseColWidth="10" defaultColWidth="9.140625" defaultRowHeight="15" x14ac:dyDescent="0.25"/>
  <cols>
    <col min="1" max="1" width="43.7109375" customWidth="1"/>
    <col min="2" max="2" width="40.5703125" customWidth="1"/>
    <col min="3" max="3" width="32.42578125" customWidth="1"/>
    <col min="4" max="4" width="45.5703125" customWidth="1"/>
    <col min="5" max="5" width="96.140625" customWidth="1"/>
    <col min="6" max="6" width="18.28515625" customWidth="1"/>
  </cols>
  <sheetData>
    <row r="1" spans="1:6" ht="18.75" x14ac:dyDescent="0.3">
      <c r="A1" s="1" t="s">
        <v>9</v>
      </c>
    </row>
    <row r="2" spans="1:6" x14ac:dyDescent="0.25">
      <c r="A2" t="s">
        <v>10</v>
      </c>
    </row>
    <row r="4" spans="1:6" x14ac:dyDescent="0.25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 x14ac:dyDescent="0.25">
      <c r="A5" s="28" t="s">
        <v>138</v>
      </c>
      <c r="B5" s="33"/>
      <c r="C5" s="29"/>
      <c r="D5" s="29"/>
      <c r="E5" s="29"/>
      <c r="F5" s="29"/>
    </row>
    <row r="6" spans="1:6" x14ac:dyDescent="0.25">
      <c r="A6" t="s">
        <v>17</v>
      </c>
      <c r="B6" s="3">
        <v>2</v>
      </c>
      <c r="C6" t="s">
        <v>132</v>
      </c>
      <c r="D6" t="s">
        <v>135</v>
      </c>
    </row>
    <row r="7" spans="1:6" x14ac:dyDescent="0.25">
      <c r="A7" t="s">
        <v>18</v>
      </c>
      <c r="B7" s="23" t="s">
        <v>133</v>
      </c>
      <c r="C7" t="s">
        <v>134</v>
      </c>
      <c r="D7" t="s">
        <v>135</v>
      </c>
    </row>
    <row r="8" spans="1:6" ht="30" x14ac:dyDescent="0.25">
      <c r="A8" s="25" t="s">
        <v>46</v>
      </c>
      <c r="B8" s="34" t="s">
        <v>137</v>
      </c>
      <c r="D8" s="26" t="s">
        <v>93</v>
      </c>
      <c r="E8" s="27" t="s">
        <v>92</v>
      </c>
      <c r="F8" t="s">
        <v>127</v>
      </c>
    </row>
    <row r="9" spans="1:6" x14ac:dyDescent="0.25">
      <c r="A9" t="s">
        <v>28</v>
      </c>
      <c r="B9" s="3">
        <v>24</v>
      </c>
      <c r="C9" t="s">
        <v>29</v>
      </c>
      <c r="D9" t="s">
        <v>93</v>
      </c>
      <c r="E9" s="15" t="s">
        <v>111</v>
      </c>
      <c r="F9" t="s">
        <v>101</v>
      </c>
    </row>
    <row r="10" spans="1:6" x14ac:dyDescent="0.25">
      <c r="A10" t="s">
        <v>30</v>
      </c>
      <c r="B10" s="3">
        <v>30</v>
      </c>
      <c r="C10" t="s">
        <v>31</v>
      </c>
      <c r="D10" t="s">
        <v>93</v>
      </c>
      <c r="E10" s="15" t="s">
        <v>112</v>
      </c>
      <c r="F10" t="s">
        <v>127</v>
      </c>
    </row>
    <row r="11" spans="1:6" x14ac:dyDescent="0.25">
      <c r="A11" t="s">
        <v>178</v>
      </c>
      <c r="B11" s="43">
        <v>46661</v>
      </c>
      <c r="C11" t="s">
        <v>151</v>
      </c>
      <c r="D11" t="s">
        <v>93</v>
      </c>
      <c r="E11" s="39" t="s">
        <v>92</v>
      </c>
      <c r="F11" t="s">
        <v>148</v>
      </c>
    </row>
    <row r="12" spans="1:6" ht="15.75" x14ac:dyDescent="0.25">
      <c r="A12" s="28" t="s">
        <v>139</v>
      </c>
      <c r="B12" s="33"/>
      <c r="C12" s="29"/>
      <c r="D12" s="31"/>
      <c r="E12" s="32"/>
      <c r="F12" s="29"/>
    </row>
    <row r="13" spans="1:6" x14ac:dyDescent="0.25">
      <c r="A13" t="s">
        <v>19</v>
      </c>
      <c r="B13" s="16">
        <v>0.92</v>
      </c>
      <c r="C13" t="s">
        <v>20</v>
      </c>
      <c r="D13" t="s">
        <v>93</v>
      </c>
      <c r="E13" t="s">
        <v>96</v>
      </c>
      <c r="F13" t="s">
        <v>98</v>
      </c>
    </row>
    <row r="14" spans="1:6" x14ac:dyDescent="0.25">
      <c r="A14" t="s">
        <v>21</v>
      </c>
      <c r="B14" s="3">
        <v>65</v>
      </c>
      <c r="C14" t="s">
        <v>22</v>
      </c>
      <c r="D14" t="s">
        <v>93</v>
      </c>
      <c r="E14" s="15" t="s">
        <v>91</v>
      </c>
      <c r="F14" t="s">
        <v>98</v>
      </c>
    </row>
    <row r="15" spans="1:6" x14ac:dyDescent="0.25">
      <c r="A15" t="s">
        <v>23</v>
      </c>
      <c r="B15" s="3">
        <v>0</v>
      </c>
      <c r="C15" t="s">
        <v>24</v>
      </c>
      <c r="D15" t="s">
        <v>93</v>
      </c>
      <c r="E15" t="s">
        <v>92</v>
      </c>
      <c r="F15" t="s">
        <v>98</v>
      </c>
    </row>
    <row r="16" spans="1:6" ht="15.75" x14ac:dyDescent="0.25">
      <c r="A16" s="28" t="s">
        <v>140</v>
      </c>
      <c r="B16" s="33"/>
      <c r="C16" s="29"/>
      <c r="D16" s="29"/>
      <c r="E16" s="29"/>
      <c r="F16" s="29"/>
    </row>
    <row r="17" spans="1:6" x14ac:dyDescent="0.25">
      <c r="A17" t="s">
        <v>144</v>
      </c>
      <c r="B17" s="35">
        <v>10</v>
      </c>
      <c r="C17" t="s">
        <v>145</v>
      </c>
      <c r="D17" t="s">
        <v>93</v>
      </c>
      <c r="E17" t="s">
        <v>146</v>
      </c>
      <c r="F17" t="s">
        <v>147</v>
      </c>
    </row>
    <row r="18" spans="1:6" x14ac:dyDescent="0.25">
      <c r="A18" t="s">
        <v>25</v>
      </c>
      <c r="B18" s="3">
        <v>3300</v>
      </c>
      <c r="C18" t="s">
        <v>26</v>
      </c>
      <c r="D18" t="s">
        <v>93</v>
      </c>
      <c r="E18" s="15" t="s">
        <v>113</v>
      </c>
      <c r="F18" t="s">
        <v>101</v>
      </c>
    </row>
    <row r="19" spans="1:6" x14ac:dyDescent="0.25">
      <c r="A19" t="s">
        <v>103</v>
      </c>
      <c r="B19" s="3">
        <v>0</v>
      </c>
      <c r="C19" t="s">
        <v>26</v>
      </c>
      <c r="D19" t="s">
        <v>93</v>
      </c>
      <c r="E19" s="15" t="s">
        <v>112</v>
      </c>
      <c r="F19" t="s">
        <v>101</v>
      </c>
    </row>
    <row r="20" spans="1:6" x14ac:dyDescent="0.25">
      <c r="A20" t="s">
        <v>108</v>
      </c>
      <c r="B20" s="3">
        <v>2024</v>
      </c>
      <c r="C20" t="s">
        <v>109</v>
      </c>
      <c r="D20" t="s">
        <v>110</v>
      </c>
      <c r="E20" s="15" t="s">
        <v>112</v>
      </c>
      <c r="F20" t="s">
        <v>101</v>
      </c>
    </row>
    <row r="21" spans="1:6" x14ac:dyDescent="0.25">
      <c r="A21" t="s">
        <v>102</v>
      </c>
      <c r="B21" s="3">
        <v>0</v>
      </c>
      <c r="C21" t="s">
        <v>20</v>
      </c>
      <c r="D21" t="s">
        <v>93</v>
      </c>
      <c r="E21" s="15" t="s">
        <v>111</v>
      </c>
      <c r="F21" t="s">
        <v>101</v>
      </c>
    </row>
    <row r="22" spans="1:6" x14ac:dyDescent="0.25">
      <c r="A22" s="21" t="s">
        <v>27</v>
      </c>
      <c r="B22" s="21"/>
    </row>
    <row r="23" spans="1:6" x14ac:dyDescent="0.25">
      <c r="A23" t="s">
        <v>104</v>
      </c>
      <c r="B23" s="16">
        <v>0.15</v>
      </c>
      <c r="C23" t="s">
        <v>20</v>
      </c>
      <c r="D23" t="s">
        <v>93</v>
      </c>
      <c r="E23" t="s">
        <v>92</v>
      </c>
      <c r="F23" t="s">
        <v>101</v>
      </c>
    </row>
    <row r="24" spans="1:6" x14ac:dyDescent="0.25">
      <c r="A24" t="s">
        <v>105</v>
      </c>
      <c r="B24" s="16">
        <v>0.35</v>
      </c>
      <c r="C24" t="s">
        <v>20</v>
      </c>
      <c r="D24" t="s">
        <v>93</v>
      </c>
      <c r="E24" t="s">
        <v>92</v>
      </c>
      <c r="F24" t="s">
        <v>101</v>
      </c>
    </row>
    <row r="25" spans="1:6" x14ac:dyDescent="0.25">
      <c r="A25" t="s">
        <v>106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 x14ac:dyDescent="0.25">
      <c r="A26" t="s">
        <v>107</v>
      </c>
      <c r="B26" s="16">
        <v>0.15</v>
      </c>
      <c r="C26" t="s">
        <v>20</v>
      </c>
      <c r="D26" t="s">
        <v>93</v>
      </c>
      <c r="E26" t="s">
        <v>92</v>
      </c>
      <c r="F26" t="s">
        <v>101</v>
      </c>
    </row>
    <row r="27" spans="1:6" x14ac:dyDescent="0.25">
      <c r="A27" t="s">
        <v>114</v>
      </c>
      <c r="B27" s="22">
        <f>SUM(B23:B26)</f>
        <v>1</v>
      </c>
    </row>
    <row r="28" spans="1:6" ht="15.75" x14ac:dyDescent="0.25">
      <c r="A28" s="28" t="s">
        <v>141</v>
      </c>
      <c r="B28" s="33"/>
      <c r="C28" s="29"/>
      <c r="D28" s="29"/>
      <c r="E28" s="29"/>
      <c r="F28" s="29"/>
    </row>
    <row r="29" spans="1:6" x14ac:dyDescent="0.25">
      <c r="A29" t="s">
        <v>95</v>
      </c>
      <c r="B29" s="16">
        <v>0.03</v>
      </c>
      <c r="C29" t="s">
        <v>24</v>
      </c>
      <c r="D29" t="s">
        <v>93</v>
      </c>
      <c r="E29" s="15" t="s">
        <v>94</v>
      </c>
      <c r="F29" t="s">
        <v>98</v>
      </c>
    </row>
    <row r="30" spans="1:6" x14ac:dyDescent="0.25">
      <c r="A30" t="s">
        <v>32</v>
      </c>
      <c r="B30" s="3">
        <v>0</v>
      </c>
      <c r="C30" t="s">
        <v>22</v>
      </c>
      <c r="D30" t="s">
        <v>93</v>
      </c>
      <c r="E30" t="s">
        <v>92</v>
      </c>
      <c r="F30" t="s">
        <v>98</v>
      </c>
    </row>
    <row r="31" spans="1:6" x14ac:dyDescent="0.25">
      <c r="A31" t="s">
        <v>33</v>
      </c>
      <c r="B31" s="17">
        <v>0.02</v>
      </c>
      <c r="C31" t="s">
        <v>24</v>
      </c>
      <c r="D31" t="s">
        <v>93</v>
      </c>
      <c r="E31" s="15" t="s">
        <v>97</v>
      </c>
      <c r="F31" t="s">
        <v>98</v>
      </c>
    </row>
    <row r="32" spans="1:6" ht="15.75" x14ac:dyDescent="0.25">
      <c r="A32" s="28" t="s">
        <v>142</v>
      </c>
      <c r="B32" s="33"/>
      <c r="C32" s="29"/>
      <c r="D32" s="29"/>
      <c r="E32" s="30"/>
      <c r="F32" s="29"/>
    </row>
    <row r="33" spans="1:20" x14ac:dyDescent="0.25">
      <c r="A33" t="s">
        <v>34</v>
      </c>
      <c r="B33" s="17">
        <v>0.35</v>
      </c>
      <c r="C33" t="s">
        <v>20</v>
      </c>
      <c r="D33" t="s">
        <v>93</v>
      </c>
      <c r="E33" s="15" t="s">
        <v>136</v>
      </c>
      <c r="F33" t="s">
        <v>127</v>
      </c>
    </row>
    <row r="34" spans="1:20" x14ac:dyDescent="0.25">
      <c r="A34" t="s">
        <v>35</v>
      </c>
      <c r="B34" s="3"/>
    </row>
    <row r="35" spans="1:20" x14ac:dyDescent="0.25">
      <c r="A35" t="s">
        <v>128</v>
      </c>
      <c r="B35" s="16">
        <v>0.5</v>
      </c>
      <c r="C35" t="s">
        <v>20</v>
      </c>
      <c r="D35" t="s">
        <v>93</v>
      </c>
      <c r="E35" s="15" t="s">
        <v>112</v>
      </c>
      <c r="F35" t="s">
        <v>127</v>
      </c>
    </row>
    <row r="36" spans="1:20" x14ac:dyDescent="0.25">
      <c r="A36" t="s">
        <v>129</v>
      </c>
      <c r="B36" s="3">
        <v>50</v>
      </c>
      <c r="C36" t="s">
        <v>31</v>
      </c>
      <c r="D36" t="s">
        <v>93</v>
      </c>
      <c r="E36" s="15" t="s">
        <v>136</v>
      </c>
      <c r="F36" t="s">
        <v>127</v>
      </c>
    </row>
    <row r="37" spans="1:20" x14ac:dyDescent="0.25">
      <c r="A37" t="s">
        <v>130</v>
      </c>
      <c r="B37" s="3">
        <v>10</v>
      </c>
      <c r="C37" t="s">
        <v>31</v>
      </c>
      <c r="D37" t="s">
        <v>93</v>
      </c>
      <c r="E37" s="15" t="s">
        <v>136</v>
      </c>
      <c r="F37" t="s">
        <v>127</v>
      </c>
    </row>
    <row r="38" spans="1:20" x14ac:dyDescent="0.25">
      <c r="A38" t="s">
        <v>131</v>
      </c>
      <c r="B38" s="3">
        <v>5</v>
      </c>
      <c r="C38" t="s">
        <v>31</v>
      </c>
      <c r="D38" t="s">
        <v>93</v>
      </c>
      <c r="E38" s="15" t="s">
        <v>136</v>
      </c>
      <c r="F38" t="s">
        <v>127</v>
      </c>
    </row>
    <row r="39" spans="1:20" ht="15.75" x14ac:dyDescent="0.25">
      <c r="A39" s="28" t="s">
        <v>143</v>
      </c>
      <c r="B39" s="33"/>
      <c r="C39" s="29"/>
      <c r="D39" s="29"/>
      <c r="E39" s="30"/>
      <c r="F39" s="29"/>
    </row>
    <row r="40" spans="1:20" x14ac:dyDescent="0.25">
      <c r="A40" t="s">
        <v>36</v>
      </c>
      <c r="B40" s="3">
        <v>12</v>
      </c>
      <c r="C40" t="s">
        <v>31</v>
      </c>
      <c r="D40" t="s">
        <v>93</v>
      </c>
      <c r="E40" s="15" t="s">
        <v>118</v>
      </c>
      <c r="F40" t="s">
        <v>126</v>
      </c>
    </row>
    <row r="41" spans="1:20" x14ac:dyDescent="0.25">
      <c r="A41" t="s">
        <v>37</v>
      </c>
      <c r="B41" s="17">
        <v>0.09</v>
      </c>
      <c r="C41" t="s">
        <v>24</v>
      </c>
      <c r="D41" t="s">
        <v>93</v>
      </c>
      <c r="E41" s="15" t="s">
        <v>117</v>
      </c>
      <c r="F41" t="s">
        <v>126</v>
      </c>
    </row>
    <row r="42" spans="1:20" x14ac:dyDescent="0.25">
      <c r="A42" t="s">
        <v>115</v>
      </c>
      <c r="B42" s="24">
        <f>B41/2</f>
        <v>4.4999999999999998E-2</v>
      </c>
      <c r="C42" t="s">
        <v>116</v>
      </c>
      <c r="D42" t="s">
        <v>135</v>
      </c>
      <c r="E42" t="s">
        <v>92</v>
      </c>
      <c r="F42" t="s">
        <v>126</v>
      </c>
    </row>
    <row r="43" spans="1:20" x14ac:dyDescent="0.25">
      <c r="A43" t="s">
        <v>124</v>
      </c>
      <c r="B43" s="3">
        <v>0</v>
      </c>
      <c r="C43" t="s">
        <v>125</v>
      </c>
      <c r="D43" t="s">
        <v>93</v>
      </c>
      <c r="E43" t="s">
        <v>92</v>
      </c>
      <c r="F43" t="s">
        <v>126</v>
      </c>
    </row>
    <row r="44" spans="1:20" x14ac:dyDescent="0.25">
      <c r="A44" t="s">
        <v>38</v>
      </c>
      <c r="B44" s="3">
        <v>1.35</v>
      </c>
      <c r="C44" t="s">
        <v>39</v>
      </c>
      <c r="D44" t="s">
        <v>93</v>
      </c>
      <c r="E44" s="15" t="s">
        <v>119</v>
      </c>
      <c r="F44" t="s">
        <v>126</v>
      </c>
    </row>
    <row r="45" spans="1:20" x14ac:dyDescent="0.25">
      <c r="A45" t="s">
        <v>40</v>
      </c>
      <c r="B45" s="3">
        <v>1.2</v>
      </c>
      <c r="C45" t="s">
        <v>39</v>
      </c>
      <c r="D45" t="s">
        <v>93</v>
      </c>
      <c r="E45" s="15" t="s">
        <v>120</v>
      </c>
      <c r="F45" t="s">
        <v>126</v>
      </c>
    </row>
    <row r="46" spans="1:20" x14ac:dyDescent="0.25">
      <c r="A46" t="s">
        <v>41</v>
      </c>
      <c r="B46" s="3">
        <v>1.1000000000000001</v>
      </c>
      <c r="C46" t="s">
        <v>39</v>
      </c>
      <c r="D46" t="s">
        <v>93</v>
      </c>
      <c r="E46" s="15" t="s">
        <v>119</v>
      </c>
      <c r="F46" t="s">
        <v>126</v>
      </c>
    </row>
    <row r="47" spans="1:20" x14ac:dyDescent="0.25">
      <c r="A47" t="s">
        <v>42</v>
      </c>
      <c r="B47" s="17">
        <v>0.7</v>
      </c>
      <c r="C47" t="s">
        <v>20</v>
      </c>
      <c r="D47" t="s">
        <v>93</v>
      </c>
      <c r="E47" s="15" t="s">
        <v>121</v>
      </c>
      <c r="F47" t="s">
        <v>126</v>
      </c>
      <c r="M47" s="12"/>
      <c r="T47" s="12"/>
    </row>
    <row r="48" spans="1:20" x14ac:dyDescent="0.25">
      <c r="A48" t="s">
        <v>43</v>
      </c>
      <c r="B48" s="3">
        <v>6</v>
      </c>
      <c r="C48" t="s">
        <v>29</v>
      </c>
      <c r="D48" t="s">
        <v>93</v>
      </c>
      <c r="E48" s="15" t="s">
        <v>122</v>
      </c>
      <c r="F48" t="s">
        <v>126</v>
      </c>
    </row>
    <row r="49" spans="1:6" x14ac:dyDescent="0.25">
      <c r="A49" t="s">
        <v>44</v>
      </c>
      <c r="B49" s="17">
        <v>1.4999999999999999E-2</v>
      </c>
      <c r="C49" t="s">
        <v>20</v>
      </c>
      <c r="D49" t="s">
        <v>93</v>
      </c>
      <c r="E49" s="15" t="s">
        <v>123</v>
      </c>
      <c r="F49" t="s">
        <v>126</v>
      </c>
    </row>
    <row r="50" spans="1:6" x14ac:dyDescent="0.25">
      <c r="A50" t="s">
        <v>45</v>
      </c>
      <c r="B50" s="17">
        <v>5.0000000000000001E-3</v>
      </c>
      <c r="C50" t="s">
        <v>20</v>
      </c>
      <c r="D50" t="s">
        <v>93</v>
      </c>
      <c r="E50" s="15" t="s">
        <v>123</v>
      </c>
      <c r="F50" t="s">
        <v>126</v>
      </c>
    </row>
    <row r="52" spans="1:6" x14ac:dyDescent="0.25">
      <c r="E52" s="11"/>
    </row>
    <row r="55" spans="1:6" x14ac:dyDescent="0.25">
      <c r="E55" s="12"/>
    </row>
  </sheetData>
  <hyperlinks>
    <hyperlink ref="E14" r:id="rId1"/>
    <hyperlink ref="E29" r:id="rId2"/>
    <hyperlink ref="E31" r:id="rId3"/>
    <hyperlink ref="E18" r:id="rId4" display="RENEWABLE POWER GENERATION COSTS IN 2024"/>
    <hyperlink ref="E19" r:id="rId5" display="RENEWABLE POWER GENERATION COSTS IN 2024"/>
    <hyperlink ref="E20" r:id="rId6" display="RENEWABLE POWER GENERATION COSTS IN 2024"/>
    <hyperlink ref="E9" r:id="rId7" display="IRENA: RENEWABLE ENERGY TECHNOLOGIES: COST ANALYSIS SERIES"/>
    <hyperlink ref="E21" r:id="rId8" display="IRENA: RENEWABLE ENERGY TECHNOLOGIES: COST ANALYSIS SERIES"/>
    <hyperlink ref="E40" r:id="rId9"/>
    <hyperlink ref="E41" r:id="rId10"/>
    <hyperlink ref="E44" r:id="rId11"/>
    <hyperlink ref="E45" r:id="rId12"/>
    <hyperlink ref="E46" r:id="rId13"/>
    <hyperlink ref="E47" r:id="rId14"/>
    <hyperlink ref="E48" r:id="rId15"/>
    <hyperlink ref="E49" r:id="rId16"/>
    <hyperlink ref="E50" r:id="rId17"/>
    <hyperlink ref="E10" r:id="rId18" display="RENEWABLE POWER GENERATION COSTS IN 2024"/>
    <hyperlink ref="E33" r:id="rId19"/>
    <hyperlink ref="E35" r:id="rId20" display="RENEWABLE POWER GENERATION COSTS IN 2024"/>
    <hyperlink ref="E36" r:id="rId21"/>
    <hyperlink ref="E37" r:id="rId22"/>
    <hyperlink ref="E38" r:id="rId23"/>
  </hyperlinks>
  <pageMargins left="0.75" right="0.75" top="1" bottom="1" header="0.5" footer="0.5"/>
  <pageSetup paperSize="9" orientation="portrait" r:id="rId2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topLeftCell="C1" zoomScale="70" zoomScaleNormal="70" workbookViewId="0">
      <selection activeCell="Q26" sqref="Q26"/>
    </sheetView>
  </sheetViews>
  <sheetFormatPr baseColWidth="10" defaultColWidth="9.140625" defaultRowHeight="15" x14ac:dyDescent="0.25"/>
  <cols>
    <col min="1" max="1" width="12.5703125" customWidth="1"/>
    <col min="2" max="2" width="17" customWidth="1"/>
    <col min="3" max="3" width="19.5703125" customWidth="1"/>
    <col min="4" max="4" width="20" customWidth="1"/>
    <col min="5" max="5" width="17.5703125" customWidth="1"/>
    <col min="6" max="6" width="20" customWidth="1"/>
    <col min="7" max="7" width="8.7109375" customWidth="1"/>
    <col min="8" max="8" width="13.140625" customWidth="1"/>
    <col min="11" max="11" width="25.28515625" customWidth="1"/>
    <col min="12" max="12" width="11.42578125" customWidth="1"/>
    <col min="13" max="13" width="13.85546875" customWidth="1"/>
    <col min="14" max="14" width="22.85546875" customWidth="1"/>
    <col min="15" max="15" width="18.140625" customWidth="1"/>
    <col min="16" max="16" width="14" customWidth="1"/>
  </cols>
  <sheetData>
    <row r="1" spans="1:16" ht="18.75" x14ac:dyDescent="0.3">
      <c r="A1" s="1" t="s">
        <v>47</v>
      </c>
      <c r="B1" s="1"/>
    </row>
    <row r="2" spans="1:16" x14ac:dyDescent="0.25">
      <c r="A2" t="s">
        <v>68</v>
      </c>
    </row>
    <row r="4" spans="1:16" x14ac:dyDescent="0.25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 x14ac:dyDescent="0.25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 x14ac:dyDescent="0.25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 x14ac:dyDescent="0.25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 x14ac:dyDescent="0.25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 x14ac:dyDescent="0.25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 x14ac:dyDescent="0.25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 x14ac:dyDescent="0.25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 x14ac:dyDescent="0.25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 x14ac:dyDescent="0.25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 x14ac:dyDescent="0.25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 x14ac:dyDescent="0.25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82</v>
      </c>
      <c r="M15" s="9" t="s">
        <v>83</v>
      </c>
      <c r="N15" s="9" t="s">
        <v>85</v>
      </c>
    </row>
    <row r="16" spans="1:16" x14ac:dyDescent="0.25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 x14ac:dyDescent="0.2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 x14ac:dyDescent="0.2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 x14ac:dyDescent="0.2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</row>
    <row r="20" spans="1:15" x14ac:dyDescent="0.2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 x14ac:dyDescent="0.2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 x14ac:dyDescent="0.2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 x14ac:dyDescent="0.2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 x14ac:dyDescent="0.2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 x14ac:dyDescent="0.2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 x14ac:dyDescent="0.2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 x14ac:dyDescent="0.2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 x14ac:dyDescent="0.2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 x14ac:dyDescent="0.2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 x14ac:dyDescent="0.2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 x14ac:dyDescent="0.2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 x14ac:dyDescent="0.2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 x14ac:dyDescent="0.25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 x14ac:dyDescent="0.25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 x14ac:dyDescent="0.25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 x14ac:dyDescent="0.25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 x14ac:dyDescent="0.25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 x14ac:dyDescent="0.25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 x14ac:dyDescent="0.25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 x14ac:dyDescent="0.25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 x14ac:dyDescent="0.25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 x14ac:dyDescent="0.25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 x14ac:dyDescent="0.25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 x14ac:dyDescent="0.25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 x14ac:dyDescent="0.25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 x14ac:dyDescent="0.25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 x14ac:dyDescent="0.25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 x14ac:dyDescent="0.25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 x14ac:dyDescent="0.25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 x14ac:dyDescent="0.25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 x14ac:dyDescent="0.25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 x14ac:dyDescent="0.25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 x14ac:dyDescent="0.25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 x14ac:dyDescent="0.25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 x14ac:dyDescent="0.25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 x14ac:dyDescent="0.25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 x14ac:dyDescent="0.25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 x14ac:dyDescent="0.25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 x14ac:dyDescent="0.25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 x14ac:dyDescent="0.25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 x14ac:dyDescent="0.25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 x14ac:dyDescent="0.25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 x14ac:dyDescent="0.25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 x14ac:dyDescent="0.25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 x14ac:dyDescent="0.25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 x14ac:dyDescent="0.25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 x14ac:dyDescent="0.25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 x14ac:dyDescent="0.25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 x14ac:dyDescent="0.25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 x14ac:dyDescent="0.25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 x14ac:dyDescent="0.25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 x14ac:dyDescent="0.25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 x14ac:dyDescent="0.25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 x14ac:dyDescent="0.25">
      <c r="C74" s="5"/>
      <c r="D74" s="5"/>
      <c r="E74" s="5"/>
      <c r="F74" s="5"/>
    </row>
    <row r="75" spans="1:10" x14ac:dyDescent="0.25">
      <c r="I75" s="11"/>
    </row>
    <row r="77" spans="1:10" x14ac:dyDescent="0.25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 x14ac:dyDescent="0.25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 x14ac:dyDescent="0.25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 x14ac:dyDescent="0.25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 x14ac:dyDescent="0.25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 x14ac:dyDescent="0.25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 x14ac:dyDescent="0.25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 x14ac:dyDescent="0.25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 x14ac:dyDescent="0.25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 x14ac:dyDescent="0.25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 x14ac:dyDescent="0.25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 x14ac:dyDescent="0.25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 x14ac:dyDescent="0.25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 x14ac:dyDescent="0.25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 x14ac:dyDescent="0.25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 x14ac:dyDescent="0.25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 x14ac:dyDescent="0.25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 x14ac:dyDescent="0.25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 x14ac:dyDescent="0.25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 x14ac:dyDescent="0.25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 x14ac:dyDescent="0.25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 x14ac:dyDescent="0.25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 x14ac:dyDescent="0.25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 x14ac:dyDescent="0.25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 x14ac:dyDescent="0.25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 x14ac:dyDescent="0.25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 x14ac:dyDescent="0.25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 x14ac:dyDescent="0.25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 x14ac:dyDescent="0.25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 x14ac:dyDescent="0.25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 x14ac:dyDescent="0.25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 x14ac:dyDescent="0.25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 x14ac:dyDescent="0.25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 x14ac:dyDescent="0.25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 x14ac:dyDescent="0.25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 x14ac:dyDescent="0.25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 x14ac:dyDescent="0.25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 x14ac:dyDescent="0.25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 x14ac:dyDescent="0.25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 x14ac:dyDescent="0.25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 x14ac:dyDescent="0.25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 x14ac:dyDescent="0.25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 x14ac:dyDescent="0.25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 x14ac:dyDescent="0.25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 x14ac:dyDescent="0.25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 x14ac:dyDescent="0.25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 x14ac:dyDescent="0.25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 x14ac:dyDescent="0.25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 x14ac:dyDescent="0.25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 x14ac:dyDescent="0.25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 x14ac:dyDescent="0.25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 x14ac:dyDescent="0.25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 x14ac:dyDescent="0.25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 x14ac:dyDescent="0.25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 x14ac:dyDescent="0.25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 x14ac:dyDescent="0.25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 x14ac:dyDescent="0.25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 x14ac:dyDescent="0.25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 x14ac:dyDescent="0.25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 x14ac:dyDescent="0.25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 x14ac:dyDescent="0.25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 x14ac:dyDescent="0.25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 x14ac:dyDescent="0.25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 x14ac:dyDescent="0.25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 x14ac:dyDescent="0.25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 x14ac:dyDescent="0.25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 x14ac:dyDescent="0.25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 x14ac:dyDescent="0.25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 x14ac:dyDescent="0.25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 x14ac:dyDescent="0.25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 x14ac:dyDescent="0.25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 x14ac:dyDescent="0.25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 x14ac:dyDescent="0.25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 x14ac:dyDescent="0.25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 x14ac:dyDescent="0.25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 x14ac:dyDescent="0.25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 x14ac:dyDescent="0.25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 x14ac:dyDescent="0.25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 x14ac:dyDescent="0.25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 x14ac:dyDescent="0.25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 x14ac:dyDescent="0.25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 x14ac:dyDescent="0.25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 x14ac:dyDescent="0.25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 x14ac:dyDescent="0.25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 x14ac:dyDescent="0.25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 x14ac:dyDescent="0.25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 x14ac:dyDescent="0.25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 x14ac:dyDescent="0.25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 x14ac:dyDescent="0.25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 x14ac:dyDescent="0.25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 x14ac:dyDescent="0.25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 x14ac:dyDescent="0.25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 x14ac:dyDescent="0.25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 x14ac:dyDescent="0.25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 x14ac:dyDescent="0.25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 x14ac:dyDescent="0.25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 x14ac:dyDescent="0.25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 x14ac:dyDescent="0.25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 x14ac:dyDescent="0.25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 x14ac:dyDescent="0.25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 x14ac:dyDescent="0.25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 x14ac:dyDescent="0.25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 x14ac:dyDescent="0.25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 x14ac:dyDescent="0.25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 x14ac:dyDescent="0.25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 x14ac:dyDescent="0.25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 x14ac:dyDescent="0.25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 x14ac:dyDescent="0.25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 x14ac:dyDescent="0.25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 x14ac:dyDescent="0.25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 x14ac:dyDescent="0.25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 x14ac:dyDescent="0.25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 x14ac:dyDescent="0.25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 x14ac:dyDescent="0.25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 x14ac:dyDescent="0.25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 x14ac:dyDescent="0.25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 x14ac:dyDescent="0.25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 x14ac:dyDescent="0.25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 x14ac:dyDescent="0.25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 x14ac:dyDescent="0.25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 x14ac:dyDescent="0.25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 x14ac:dyDescent="0.25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 x14ac:dyDescent="0.25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 x14ac:dyDescent="0.25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 x14ac:dyDescent="0.25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 x14ac:dyDescent="0.25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 x14ac:dyDescent="0.25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 x14ac:dyDescent="0.25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 x14ac:dyDescent="0.25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 x14ac:dyDescent="0.25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 x14ac:dyDescent="0.25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 x14ac:dyDescent="0.25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 x14ac:dyDescent="0.25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 x14ac:dyDescent="0.25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 x14ac:dyDescent="0.25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 x14ac:dyDescent="0.25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 x14ac:dyDescent="0.25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 x14ac:dyDescent="0.25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 x14ac:dyDescent="0.25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 x14ac:dyDescent="0.25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1"/>
  <sheetViews>
    <sheetView zoomScale="85" zoomScaleNormal="85" workbookViewId="0">
      <selection activeCell="C8" sqref="C8"/>
    </sheetView>
  </sheetViews>
  <sheetFormatPr baseColWidth="10" defaultColWidth="9.140625" defaultRowHeight="15" x14ac:dyDescent="0.2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 x14ac:dyDescent="0.3">
      <c r="A1" s="1" t="s">
        <v>48</v>
      </c>
      <c r="B1" s="1"/>
      <c r="C1" s="1"/>
      <c r="D1" s="1"/>
      <c r="E1" s="1"/>
    </row>
    <row r="2" spans="1:75" x14ac:dyDescent="0.25">
      <c r="A2" t="s">
        <v>49</v>
      </c>
    </row>
    <row r="5" spans="1:75" ht="15.75" x14ac:dyDescent="0.25">
      <c r="A5" s="42" t="s">
        <v>174</v>
      </c>
      <c r="B5" s="42"/>
      <c r="C5" s="42"/>
      <c r="D5" s="33"/>
      <c r="E5" s="33"/>
      <c r="F5" s="33"/>
      <c r="G5" s="33"/>
    </row>
    <row r="6" spans="1:75" x14ac:dyDescent="0.25">
      <c r="A6" t="s">
        <v>149</v>
      </c>
      <c r="B6" t="s">
        <v>150</v>
      </c>
      <c r="C6" t="s">
        <v>177</v>
      </c>
    </row>
    <row r="7" spans="1:75" x14ac:dyDescent="0.25">
      <c r="A7" t="s">
        <v>178</v>
      </c>
      <c r="B7" t="s">
        <v>151</v>
      </c>
      <c r="C7" s="6">
        <f>Inputs!B11</f>
        <v>46661</v>
      </c>
    </row>
    <row r="8" spans="1:75" x14ac:dyDescent="0.25">
      <c r="A8" t="s">
        <v>152</v>
      </c>
      <c r="B8" t="s">
        <v>151</v>
      </c>
      <c r="C8" s="6">
        <f>EDATE(C7, Inputs!B9)</f>
        <v>47392</v>
      </c>
    </row>
    <row r="9" spans="1:75" x14ac:dyDescent="0.25">
      <c r="A9" t="s">
        <v>153</v>
      </c>
      <c r="B9" t="s">
        <v>151</v>
      </c>
      <c r="C9" s="6">
        <f>EDATE(C8, Inputs!B43*6)</f>
        <v>47392</v>
      </c>
    </row>
    <row r="10" spans="1:75" x14ac:dyDescent="0.25">
      <c r="A10" t="s">
        <v>154</v>
      </c>
      <c r="B10" t="s">
        <v>151</v>
      </c>
      <c r="C10" s="6">
        <f>EDATE(C8,Inputs!B40*12)</f>
        <v>51775</v>
      </c>
    </row>
    <row r="11" spans="1:75" x14ac:dyDescent="0.25">
      <c r="A11" t="s">
        <v>155</v>
      </c>
      <c r="B11" t="s">
        <v>151</v>
      </c>
      <c r="C11" s="6">
        <f>EDATE(C8,Inputs!B10*12)</f>
        <v>58349</v>
      </c>
    </row>
    <row r="14" spans="1:75" ht="15.75" x14ac:dyDescent="0.25">
      <c r="A14" s="42" t="s">
        <v>175</v>
      </c>
      <c r="B14" s="42"/>
      <c r="C14" s="42"/>
      <c r="D14" s="42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 x14ac:dyDescent="0.25">
      <c r="A15" t="s">
        <v>156</v>
      </c>
      <c r="B15" t="s">
        <v>179</v>
      </c>
      <c r="C15" t="s">
        <v>181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 x14ac:dyDescent="0.25">
      <c r="A16" t="s">
        <v>157</v>
      </c>
      <c r="B16" t="s">
        <v>151</v>
      </c>
      <c r="C16" t="s">
        <v>135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 x14ac:dyDescent="0.25">
      <c r="A17" t="s">
        <v>158</v>
      </c>
      <c r="B17" t="s">
        <v>151</v>
      </c>
      <c r="C17" t="s">
        <v>135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 x14ac:dyDescent="0.25">
      <c r="A18" t="s">
        <v>159</v>
      </c>
      <c r="B18" t="s">
        <v>109</v>
      </c>
      <c r="C18" t="s">
        <v>135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 x14ac:dyDescent="0.25">
      <c r="A19" t="s">
        <v>160</v>
      </c>
      <c r="B19" s="40" t="str">
        <f>"1/2"</f>
        <v>1/2</v>
      </c>
      <c r="C19" t="s">
        <v>135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 x14ac:dyDescent="0.25">
      <c r="A20" t="s">
        <v>161</v>
      </c>
      <c r="B20" s="40" t="s">
        <v>180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 x14ac:dyDescent="0.25">
      <c r="A21" t="s">
        <v>162</v>
      </c>
      <c r="B21" t="s">
        <v>180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 x14ac:dyDescent="0.25">
      <c r="A22" t="s">
        <v>163</v>
      </c>
      <c r="B22" t="s">
        <v>180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 x14ac:dyDescent="0.25">
      <c r="A23" t="s">
        <v>164</v>
      </c>
      <c r="B23" t="s">
        <v>31</v>
      </c>
      <c r="C23" t="s">
        <v>135</v>
      </c>
      <c r="D23" s="8">
        <f>(D16-DATE(Inputs!$B$20,7,1))/365.25</f>
        <v>3.2498288843258041</v>
      </c>
      <c r="E23" s="8">
        <f>(E16-DATE(Inputs!$B$20,7,1))/365.25</f>
        <v>3.7508555783709787</v>
      </c>
      <c r="F23" s="8">
        <f>(F16-DATE(Inputs!$B$20,7,1))/365.25</f>
        <v>4.2518822724161529</v>
      </c>
      <c r="G23" s="8">
        <f>(G16-DATE(Inputs!$B$20,7,1))/365.25</f>
        <v>4.7501711156741955</v>
      </c>
      <c r="H23" s="8">
        <f>(H16-DATE(Inputs!$B$20,7,1))/365.25</f>
        <v>5.2511978097193701</v>
      </c>
      <c r="I23" s="8">
        <f>(I16-DATE(Inputs!$B$20,7,1))/365.25</f>
        <v>5.7494866529774127</v>
      </c>
      <c r="J23" s="8">
        <f>(J16-DATE(Inputs!$B$20,7,1))/365.25</f>
        <v>6.2505133470225873</v>
      </c>
      <c r="K23" s="8">
        <f>(K16-DATE(Inputs!$B$20,7,1))/365.25</f>
        <v>6.7488021902806299</v>
      </c>
      <c r="L23" s="8">
        <f>(L16-DATE(Inputs!$B$20,7,1))/365.25</f>
        <v>7.2498288843258045</v>
      </c>
      <c r="M23" s="8">
        <f>(M16-DATE(Inputs!$B$20,7,1))/365.25</f>
        <v>7.7508555783709792</v>
      </c>
      <c r="N23" s="8">
        <f>(N16-DATE(Inputs!$B$20,7,1))/365.25</f>
        <v>8.2518822724161538</v>
      </c>
      <c r="O23" s="8">
        <f>(O16-DATE(Inputs!$B$20,7,1))/365.25</f>
        <v>8.7501711156741955</v>
      </c>
      <c r="P23" s="8">
        <f>(P16-DATE(Inputs!$B$20,7,1))/365.25</f>
        <v>9.2511978097193701</v>
      </c>
      <c r="Q23" s="8">
        <f>(Q16-DATE(Inputs!$B$20,7,1))/365.25</f>
        <v>9.7494866529774136</v>
      </c>
      <c r="R23" s="8">
        <f>(R16-DATE(Inputs!$B$20,7,1))/365.25</f>
        <v>10.250513347022586</v>
      </c>
      <c r="S23" s="8">
        <f>(S16-DATE(Inputs!$B$20,7,1))/365.25</f>
        <v>10.74880219028063</v>
      </c>
      <c r="T23" s="8">
        <f>(T16-DATE(Inputs!$B$20,7,1))/365.25</f>
        <v>11.249828884325805</v>
      </c>
      <c r="U23" s="8">
        <f>(U16-DATE(Inputs!$B$20,7,1))/365.25</f>
        <v>11.750855578370979</v>
      </c>
      <c r="V23" s="8">
        <f>(V16-DATE(Inputs!$B$20,7,1))/365.25</f>
        <v>12.251882272416154</v>
      </c>
      <c r="W23" s="8">
        <f>(W16-DATE(Inputs!$B$20,7,1))/365.25</f>
        <v>12.750171115674195</v>
      </c>
      <c r="X23" s="8">
        <f>(X16-DATE(Inputs!$B$20,7,1))/365.25</f>
        <v>13.25119780971937</v>
      </c>
      <c r="Y23" s="8">
        <f>(Y16-DATE(Inputs!$B$20,7,1))/365.25</f>
        <v>13.749486652977414</v>
      </c>
      <c r="Z23" s="8">
        <f>(Z16-DATE(Inputs!$B$20,7,1))/365.25</f>
        <v>14.250513347022586</v>
      </c>
      <c r="AA23" s="8">
        <f>(AA16-DATE(Inputs!$B$20,7,1))/365.25</f>
        <v>14.74880219028063</v>
      </c>
      <c r="AB23" s="8">
        <f>(AB16-DATE(Inputs!$B$20,7,1))/365.25</f>
        <v>15.249828884325805</v>
      </c>
      <c r="AC23" s="8">
        <f>(AC16-DATE(Inputs!$B$20,7,1))/365.25</f>
        <v>15.750855578370979</v>
      </c>
      <c r="AD23" s="8">
        <f>(AD16-DATE(Inputs!$B$20,7,1))/365.25</f>
        <v>16.251882272416154</v>
      </c>
      <c r="AE23" s="8">
        <f>(AE16-DATE(Inputs!$B$20,7,1))/365.25</f>
        <v>16.750171115674195</v>
      </c>
      <c r="AF23" s="8">
        <f>(AF16-DATE(Inputs!$B$20,7,1))/365.25</f>
        <v>17.251197809719372</v>
      </c>
      <c r="AG23" s="8">
        <f>(AG16-DATE(Inputs!$B$20,7,1))/365.25</f>
        <v>17.749486652977414</v>
      </c>
      <c r="AH23" s="8">
        <f>(AH16-DATE(Inputs!$B$20,7,1))/365.25</f>
        <v>18.250513347022586</v>
      </c>
      <c r="AI23" s="8">
        <f>(AI16-DATE(Inputs!$B$20,7,1))/365.25</f>
        <v>18.748802190280628</v>
      </c>
      <c r="AJ23" s="8">
        <f>(AJ16-DATE(Inputs!$B$20,7,1))/365.25</f>
        <v>19.249828884325805</v>
      </c>
      <c r="AK23" s="8">
        <f>(AK16-DATE(Inputs!$B$20,7,1))/365.25</f>
        <v>19.750855578370977</v>
      </c>
      <c r="AL23" s="8">
        <f>(AL16-DATE(Inputs!$B$20,7,1))/365.25</f>
        <v>20.251882272416154</v>
      </c>
      <c r="AM23" s="8">
        <f>(AM16-DATE(Inputs!$B$20,7,1))/365.25</f>
        <v>20.750171115674195</v>
      </c>
      <c r="AN23" s="8">
        <f>(AN16-DATE(Inputs!$B$20,7,1))/365.25</f>
        <v>21.251197809719372</v>
      </c>
      <c r="AO23" s="8">
        <f>(AO16-DATE(Inputs!$B$20,7,1))/365.25</f>
        <v>21.749486652977414</v>
      </c>
      <c r="AP23" s="8">
        <f>(AP16-DATE(Inputs!$B$20,7,1))/365.25</f>
        <v>22.250513347022586</v>
      </c>
      <c r="AQ23" s="8">
        <f>(AQ16-DATE(Inputs!$B$20,7,1))/365.25</f>
        <v>22.748802190280628</v>
      </c>
      <c r="AR23" s="8">
        <f>(AR16-DATE(Inputs!$B$20,7,1))/365.25</f>
        <v>23.249828884325805</v>
      </c>
      <c r="AS23" s="8">
        <f>(AS16-DATE(Inputs!$B$20,7,1))/365.25</f>
        <v>23.750855578370977</v>
      </c>
      <c r="AT23" s="8">
        <f>(AT16-DATE(Inputs!$B$20,7,1))/365.25</f>
        <v>24.251882272416154</v>
      </c>
      <c r="AU23" s="8">
        <f>(AU16-DATE(Inputs!$B$20,7,1))/365.25</f>
        <v>24.750171115674195</v>
      </c>
      <c r="AV23" s="8">
        <f>(AV16-DATE(Inputs!$B$20,7,1))/365.25</f>
        <v>25.251197809719372</v>
      </c>
      <c r="AW23" s="8">
        <f>(AW16-DATE(Inputs!$B$20,7,1))/365.25</f>
        <v>25.749486652977414</v>
      </c>
      <c r="AX23" s="8">
        <f>(AX16-DATE(Inputs!$B$20,7,1))/365.25</f>
        <v>26.250513347022586</v>
      </c>
      <c r="AY23" s="8">
        <f>(AY16-DATE(Inputs!$B$20,7,1))/365.25</f>
        <v>26.748802190280628</v>
      </c>
      <c r="AZ23" s="8">
        <f>(AZ16-DATE(Inputs!$B$20,7,1))/365.25</f>
        <v>27.249828884325805</v>
      </c>
      <c r="BA23" s="8">
        <f>(BA16-DATE(Inputs!$B$20,7,1))/365.25</f>
        <v>27.750855578370977</v>
      </c>
      <c r="BB23" s="8">
        <f>(BB16-DATE(Inputs!$B$20,7,1))/365.25</f>
        <v>28.251882272416154</v>
      </c>
      <c r="BC23" s="8">
        <f>(BC16-DATE(Inputs!$B$20,7,1))/365.25</f>
        <v>28.750171115674195</v>
      </c>
      <c r="BD23" s="8">
        <f>(BD16-DATE(Inputs!$B$20,7,1))/365.25</f>
        <v>29.251197809719372</v>
      </c>
      <c r="BE23" s="8">
        <f>(BE16-DATE(Inputs!$B$20,7,1))/365.25</f>
        <v>29.749486652977414</v>
      </c>
      <c r="BF23" s="8">
        <f>(BF16-DATE(Inputs!$B$20,7,1))/365.25</f>
        <v>30.250513347022586</v>
      </c>
      <c r="BG23" s="8">
        <f>(BG16-DATE(Inputs!$B$20,7,1))/365.25</f>
        <v>30.748802190280628</v>
      </c>
      <c r="BH23" s="8">
        <f>(BH16-DATE(Inputs!$B$20,7,1))/365.25</f>
        <v>31.249828884325805</v>
      </c>
      <c r="BI23" s="8">
        <f>(BI16-DATE(Inputs!$B$20,7,1))/365.25</f>
        <v>31.750855578370977</v>
      </c>
      <c r="BJ23" s="8">
        <f>(BJ16-DATE(Inputs!$B$20,7,1))/365.25</f>
        <v>32.251882272416154</v>
      </c>
      <c r="BK23" s="8">
        <f>(BK16-DATE(Inputs!$B$20,7,1))/365.25</f>
        <v>32.750171115674199</v>
      </c>
      <c r="BL23" s="8">
        <f>(BL16-DATE(Inputs!$B$20,7,1))/365.25</f>
        <v>33.251197809719372</v>
      </c>
      <c r="BM23" s="8">
        <f>(BM16-DATE(Inputs!$B$20,7,1))/365.25</f>
        <v>33.74948665297741</v>
      </c>
      <c r="BN23" s="8">
        <f>(BN16-DATE(Inputs!$B$20,7,1))/365.25</f>
        <v>34.25051334702259</v>
      </c>
      <c r="BO23" s="8">
        <f>(BO16-DATE(Inputs!$B$20,7,1))/365.25</f>
        <v>34.748802190280628</v>
      </c>
      <c r="BP23" s="8">
        <f>(BP16-DATE(Inputs!$B$20,7,1))/365.25</f>
        <v>35.249828884325801</v>
      </c>
      <c r="BQ23" s="8">
        <f>(BQ16-DATE(Inputs!$B$20,7,1))/365.25</f>
        <v>35.750855578370981</v>
      </c>
      <c r="BR23" s="8">
        <f>(BR16-DATE(Inputs!$B$20,7,1))/365.25</f>
        <v>36.251882272416154</v>
      </c>
      <c r="BS23" s="8">
        <f>(BS16-DATE(Inputs!$B$20,7,1))/365.25</f>
        <v>36.750171115674199</v>
      </c>
      <c r="BT23" s="8">
        <f>(BT16-DATE(Inputs!$B$20,7,1))/365.25</f>
        <v>37.251197809719372</v>
      </c>
      <c r="BU23" s="8">
        <f>(BU16-DATE(Inputs!$B$20,7,1))/365.25</f>
        <v>37.74948665297741</v>
      </c>
    </row>
    <row r="24" spans="1:73" x14ac:dyDescent="0.25">
      <c r="A24" t="s">
        <v>171</v>
      </c>
      <c r="B24" t="s">
        <v>170</v>
      </c>
      <c r="C24" t="s">
        <v>135</v>
      </c>
      <c r="D24">
        <f>IF(D20+D21&gt;1,1,0)</f>
        <v>0</v>
      </c>
      <c r="E24">
        <f>IF(E20+E21&gt;1,1,0)</f>
        <v>0</v>
      </c>
      <c r="F24">
        <f t="shared" ref="F24:BQ24" si="19">IF(F20+F21&gt;1,1,0)</f>
        <v>0</v>
      </c>
      <c r="G24">
        <f t="shared" si="19"/>
        <v>0</v>
      </c>
      <c r="H24" s="21">
        <f t="shared" si="19"/>
        <v>0</v>
      </c>
      <c r="I24" s="21">
        <f t="shared" si="19"/>
        <v>0</v>
      </c>
      <c r="J24" s="21">
        <f t="shared" si="19"/>
        <v>0</v>
      </c>
      <c r="K24" s="21">
        <f t="shared" si="19"/>
        <v>0</v>
      </c>
      <c r="L24" s="21">
        <f t="shared" si="19"/>
        <v>0</v>
      </c>
      <c r="M24" s="21">
        <f t="shared" si="19"/>
        <v>0</v>
      </c>
      <c r="N24" s="21">
        <f t="shared" si="19"/>
        <v>0</v>
      </c>
      <c r="O24" s="21">
        <f t="shared" si="19"/>
        <v>0</v>
      </c>
      <c r="P24" s="21">
        <f t="shared" si="19"/>
        <v>0</v>
      </c>
      <c r="Q24" s="21">
        <f t="shared" si="19"/>
        <v>0</v>
      </c>
      <c r="R24" s="21">
        <f t="shared" si="19"/>
        <v>0</v>
      </c>
      <c r="S24" s="21">
        <f t="shared" si="19"/>
        <v>0</v>
      </c>
      <c r="T24" s="21">
        <f t="shared" si="19"/>
        <v>0</v>
      </c>
      <c r="U24" s="21">
        <f t="shared" si="19"/>
        <v>0</v>
      </c>
      <c r="V24" s="21">
        <f t="shared" si="19"/>
        <v>0</v>
      </c>
      <c r="W24" s="21">
        <f t="shared" si="19"/>
        <v>0</v>
      </c>
      <c r="X24" s="21">
        <f t="shared" si="19"/>
        <v>0</v>
      </c>
      <c r="Y24" s="21">
        <f t="shared" si="19"/>
        <v>0</v>
      </c>
      <c r="Z24" s="21">
        <f t="shared" si="19"/>
        <v>0</v>
      </c>
      <c r="AA24" s="21">
        <f t="shared" si="19"/>
        <v>0</v>
      </c>
      <c r="AB24" s="21">
        <f t="shared" si="19"/>
        <v>0</v>
      </c>
      <c r="AC24" s="21">
        <f t="shared" si="19"/>
        <v>0</v>
      </c>
      <c r="AD24" s="21">
        <f t="shared" si="19"/>
        <v>0</v>
      </c>
      <c r="AE24" s="21">
        <f t="shared" si="19"/>
        <v>0</v>
      </c>
      <c r="AF24" s="21">
        <f t="shared" si="19"/>
        <v>0</v>
      </c>
      <c r="AG24" s="21">
        <f t="shared" si="19"/>
        <v>0</v>
      </c>
      <c r="AH24" s="21">
        <f t="shared" si="19"/>
        <v>0</v>
      </c>
      <c r="AI24" s="21">
        <f t="shared" si="19"/>
        <v>0</v>
      </c>
      <c r="AJ24" s="21">
        <f t="shared" si="19"/>
        <v>0</v>
      </c>
      <c r="AK24" s="21">
        <f t="shared" si="19"/>
        <v>0</v>
      </c>
      <c r="AL24" s="21">
        <f t="shared" si="19"/>
        <v>0</v>
      </c>
      <c r="AM24" s="21">
        <f t="shared" si="19"/>
        <v>0</v>
      </c>
      <c r="AN24" s="21">
        <f t="shared" si="19"/>
        <v>0</v>
      </c>
      <c r="AO24" s="21">
        <f t="shared" si="19"/>
        <v>0</v>
      </c>
      <c r="AP24" s="21">
        <f t="shared" si="19"/>
        <v>0</v>
      </c>
      <c r="AQ24" s="21">
        <f t="shared" si="19"/>
        <v>0</v>
      </c>
      <c r="AR24" s="21">
        <f t="shared" si="19"/>
        <v>0</v>
      </c>
      <c r="AS24" s="21">
        <f t="shared" si="19"/>
        <v>0</v>
      </c>
      <c r="AT24" s="21">
        <f t="shared" si="19"/>
        <v>0</v>
      </c>
      <c r="AU24" s="21">
        <f t="shared" si="19"/>
        <v>0</v>
      </c>
      <c r="AV24" s="21">
        <f t="shared" si="19"/>
        <v>0</v>
      </c>
      <c r="AW24" s="21">
        <f t="shared" si="19"/>
        <v>0</v>
      </c>
      <c r="AX24" s="21">
        <f t="shared" si="19"/>
        <v>0</v>
      </c>
      <c r="AY24" s="21">
        <f t="shared" si="19"/>
        <v>0</v>
      </c>
      <c r="AZ24" s="21">
        <f t="shared" si="19"/>
        <v>0</v>
      </c>
      <c r="BA24" s="21">
        <f t="shared" si="19"/>
        <v>0</v>
      </c>
      <c r="BB24" s="21">
        <f t="shared" si="19"/>
        <v>0</v>
      </c>
      <c r="BC24" s="21">
        <f t="shared" si="19"/>
        <v>0</v>
      </c>
      <c r="BD24" s="21">
        <f t="shared" si="19"/>
        <v>0</v>
      </c>
      <c r="BE24" s="21">
        <f t="shared" si="19"/>
        <v>0</v>
      </c>
      <c r="BF24" s="21">
        <f t="shared" si="19"/>
        <v>0</v>
      </c>
      <c r="BG24" s="21">
        <f t="shared" si="19"/>
        <v>0</v>
      </c>
      <c r="BH24" s="21">
        <f t="shared" si="19"/>
        <v>0</v>
      </c>
      <c r="BI24" s="21">
        <f t="shared" si="19"/>
        <v>0</v>
      </c>
      <c r="BJ24" s="21">
        <f t="shared" si="19"/>
        <v>0</v>
      </c>
      <c r="BK24" s="21">
        <f t="shared" si="19"/>
        <v>0</v>
      </c>
      <c r="BL24" s="21">
        <f t="shared" si="19"/>
        <v>0</v>
      </c>
      <c r="BM24" s="21">
        <f t="shared" si="19"/>
        <v>0</v>
      </c>
      <c r="BN24" s="21">
        <f t="shared" si="19"/>
        <v>0</v>
      </c>
      <c r="BO24" s="21">
        <f t="shared" si="19"/>
        <v>0</v>
      </c>
      <c r="BP24" s="21">
        <f t="shared" si="19"/>
        <v>0</v>
      </c>
      <c r="BQ24" s="21">
        <f t="shared" si="19"/>
        <v>0</v>
      </c>
      <c r="BR24" s="21">
        <f t="shared" ref="BR24:BU24" si="20">IF(BR20+BR21&gt;1,1,0)</f>
        <v>0</v>
      </c>
      <c r="BS24" s="21">
        <f t="shared" si="20"/>
        <v>0</v>
      </c>
      <c r="BT24" s="21">
        <f t="shared" si="20"/>
        <v>0</v>
      </c>
      <c r="BU24" s="21">
        <f t="shared" si="20"/>
        <v>0</v>
      </c>
    </row>
    <row r="26" spans="1:73" ht="15.75" x14ac:dyDescent="0.25">
      <c r="A26" s="42" t="s">
        <v>176</v>
      </c>
      <c r="B26" s="42"/>
      <c r="C26" s="42"/>
      <c r="D26" s="42"/>
      <c r="E26" s="41"/>
      <c r="F26" s="41"/>
      <c r="G26" s="41"/>
    </row>
    <row r="27" spans="1:73" x14ac:dyDescent="0.25">
      <c r="A27" t="s">
        <v>173</v>
      </c>
      <c r="B27" t="s">
        <v>150</v>
      </c>
      <c r="C27" t="s">
        <v>169</v>
      </c>
    </row>
    <row r="28" spans="1:73" x14ac:dyDescent="0.25">
      <c r="A28" s="12" t="s">
        <v>165</v>
      </c>
      <c r="B28" t="s">
        <v>170</v>
      </c>
      <c r="C28">
        <f>SUM(D20:BU20)-Inputs!B9/6</f>
        <v>0</v>
      </c>
      <c r="D28" s="37" t="s">
        <v>172</v>
      </c>
      <c r="E28" s="12"/>
    </row>
    <row r="29" spans="1:73" x14ac:dyDescent="0.25">
      <c r="A29" s="12" t="s">
        <v>166</v>
      </c>
      <c r="B29" t="s">
        <v>170</v>
      </c>
      <c r="C29">
        <f>SUM(D21:BU21)-Inputs!B10*2</f>
        <v>0</v>
      </c>
      <c r="D29" s="37" t="s">
        <v>172</v>
      </c>
      <c r="E29" s="12"/>
    </row>
    <row r="30" spans="1:73" x14ac:dyDescent="0.25">
      <c r="A30" s="12" t="s">
        <v>167</v>
      </c>
      <c r="B30" t="s">
        <v>170</v>
      </c>
      <c r="C30">
        <f>SUM(D22:BU22)-Inputs!B40*2</f>
        <v>0</v>
      </c>
      <c r="D30" s="37" t="s">
        <v>172</v>
      </c>
      <c r="E30" s="12"/>
    </row>
    <row r="31" spans="1:73" x14ac:dyDescent="0.25">
      <c r="A31" s="12" t="s">
        <v>168</v>
      </c>
      <c r="B31" t="s">
        <v>170</v>
      </c>
      <c r="C31">
        <f>SUM(D24:BU24)</f>
        <v>0</v>
      </c>
      <c r="D31" s="37" t="s">
        <v>172</v>
      </c>
      <c r="E31" s="12"/>
    </row>
  </sheetData>
  <mergeCells count="3">
    <mergeCell ref="A26:D26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50</v>
      </c>
    </row>
    <row r="2" spans="1:1" x14ac:dyDescent="0.25">
      <c r="A2" t="s">
        <v>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52</v>
      </c>
    </row>
    <row r="2" spans="1:1" x14ac:dyDescent="0.25">
      <c r="A2" t="s">
        <v>53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54</v>
      </c>
    </row>
    <row r="2" spans="1:1" x14ac:dyDescent="0.25">
      <c r="A2" t="s">
        <v>55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56</v>
      </c>
    </row>
    <row r="2" spans="1:1" x14ac:dyDescent="0.25">
      <c r="A2" t="s">
        <v>57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58</v>
      </c>
    </row>
    <row r="2" spans="1:1" x14ac:dyDescent="0.25">
      <c r="A2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60</v>
      </c>
    </row>
    <row r="2" spans="1:1" x14ac:dyDescent="0.25">
      <c r="A2" t="s">
        <v>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62</v>
      </c>
    </row>
    <row r="2" spans="1:1" x14ac:dyDescent="0.25">
      <c r="A2" t="s">
        <v>63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64</v>
      </c>
    </row>
    <row r="2" spans="1:1" x14ac:dyDescent="0.25">
      <c r="A2" t="s">
        <v>65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cols>
    <col min="1" max="1" width="34" customWidth="1"/>
  </cols>
  <sheetData>
    <row r="1" spans="1:1" ht="18.75" x14ac:dyDescent="0.3">
      <c r="A1" s="1" t="s">
        <v>66</v>
      </c>
    </row>
    <row r="2" spans="1:1" x14ac:dyDescent="0.25">
      <c r="A2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2026-10-26T23:15:00Z</dcterms:modified>
</cp:coreProperties>
</file>