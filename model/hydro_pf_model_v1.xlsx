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activeTab="4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C61" i="5" l="1"/>
  <c r="C59" i="5"/>
  <c r="C58" i="5"/>
  <c r="C56" i="5"/>
  <c r="C55" i="5"/>
  <c r="C54" i="5"/>
  <c r="C52" i="5"/>
  <c r="C50" i="5"/>
  <c r="C49" i="5"/>
  <c r="C48" i="5"/>
  <c r="C47" i="5"/>
  <c r="C46" i="5"/>
  <c r="C45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D39" i="5"/>
  <c r="D41" i="5"/>
  <c r="C39" i="5"/>
  <c r="C40" i="5"/>
  <c r="C41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D40" i="5"/>
  <c r="E43" i="5" l="1"/>
  <c r="F43" i="5"/>
  <c r="V43" i="5"/>
  <c r="W43" i="5"/>
  <c r="X43" i="5"/>
  <c r="AH43" i="5"/>
  <c r="AM43" i="5"/>
  <c r="AZ43" i="5"/>
  <c r="BR43" i="5"/>
  <c r="BS43" i="5"/>
  <c r="BT43" i="5"/>
  <c r="E42" i="5"/>
  <c r="F42" i="5"/>
  <c r="G42" i="5"/>
  <c r="G43" i="5" s="1"/>
  <c r="H42" i="5"/>
  <c r="H43" i="5" s="1"/>
  <c r="I42" i="5"/>
  <c r="I43" i="5" s="1"/>
  <c r="J42" i="5"/>
  <c r="J43" i="5" s="1"/>
  <c r="K42" i="5"/>
  <c r="K43" i="5" s="1"/>
  <c r="L42" i="5"/>
  <c r="L43" i="5" s="1"/>
  <c r="M42" i="5"/>
  <c r="M43" i="5" s="1"/>
  <c r="N42" i="5"/>
  <c r="N43" i="5" s="1"/>
  <c r="O42" i="5"/>
  <c r="O43" i="5" s="1"/>
  <c r="P42" i="5"/>
  <c r="P43" i="5" s="1"/>
  <c r="Q42" i="5"/>
  <c r="Q43" i="5" s="1"/>
  <c r="R42" i="5"/>
  <c r="R43" i="5" s="1"/>
  <c r="S42" i="5"/>
  <c r="S43" i="5" s="1"/>
  <c r="T42" i="5"/>
  <c r="T43" i="5" s="1"/>
  <c r="U42" i="5"/>
  <c r="U43" i="5" s="1"/>
  <c r="V42" i="5"/>
  <c r="W42" i="5"/>
  <c r="X42" i="5"/>
  <c r="Y42" i="5"/>
  <c r="Y43" i="5" s="1"/>
  <c r="Z42" i="5"/>
  <c r="Z43" i="5" s="1"/>
  <c r="AA42" i="5"/>
  <c r="AA43" i="5" s="1"/>
  <c r="AB42" i="5"/>
  <c r="AB43" i="5" s="1"/>
  <c r="AC42" i="5"/>
  <c r="AC43" i="5" s="1"/>
  <c r="AD42" i="5"/>
  <c r="AD43" i="5" s="1"/>
  <c r="AE42" i="5"/>
  <c r="AE43" i="5" s="1"/>
  <c r="AF42" i="5"/>
  <c r="AF43" i="5" s="1"/>
  <c r="AG42" i="5"/>
  <c r="AG43" i="5" s="1"/>
  <c r="AH42" i="5"/>
  <c r="AI42" i="5"/>
  <c r="AI43" i="5" s="1"/>
  <c r="AJ42" i="5"/>
  <c r="AJ43" i="5" s="1"/>
  <c r="AK42" i="5"/>
  <c r="AK43" i="5" s="1"/>
  <c r="AL42" i="5"/>
  <c r="AL43" i="5" s="1"/>
  <c r="AM42" i="5"/>
  <c r="AN42" i="5"/>
  <c r="AN43" i="5" s="1"/>
  <c r="AO42" i="5"/>
  <c r="AO43" i="5" s="1"/>
  <c r="AP42" i="5"/>
  <c r="AP43" i="5" s="1"/>
  <c r="AQ42" i="5"/>
  <c r="AQ43" i="5" s="1"/>
  <c r="AR42" i="5"/>
  <c r="AR43" i="5" s="1"/>
  <c r="AS42" i="5"/>
  <c r="AS43" i="5" s="1"/>
  <c r="AT42" i="5"/>
  <c r="AT43" i="5" s="1"/>
  <c r="AU42" i="5"/>
  <c r="AU43" i="5" s="1"/>
  <c r="AV42" i="5"/>
  <c r="AV43" i="5" s="1"/>
  <c r="AW42" i="5"/>
  <c r="AW43" i="5" s="1"/>
  <c r="AX42" i="5"/>
  <c r="AX43" i="5" s="1"/>
  <c r="AY42" i="5"/>
  <c r="AY43" i="5" s="1"/>
  <c r="AZ42" i="5"/>
  <c r="BA42" i="5"/>
  <c r="BA43" i="5" s="1"/>
  <c r="BB42" i="5"/>
  <c r="BB43" i="5" s="1"/>
  <c r="BC42" i="5"/>
  <c r="BC43" i="5" s="1"/>
  <c r="BD42" i="5"/>
  <c r="BD43" i="5" s="1"/>
  <c r="BE42" i="5"/>
  <c r="BE43" i="5" s="1"/>
  <c r="BF42" i="5"/>
  <c r="BF43" i="5" s="1"/>
  <c r="BG42" i="5"/>
  <c r="BG43" i="5" s="1"/>
  <c r="BH42" i="5"/>
  <c r="BH43" i="5" s="1"/>
  <c r="BI42" i="5"/>
  <c r="BI43" i="5" s="1"/>
  <c r="BJ42" i="5"/>
  <c r="BJ43" i="5" s="1"/>
  <c r="BK42" i="5"/>
  <c r="BK43" i="5" s="1"/>
  <c r="BL42" i="5"/>
  <c r="BL43" i="5" s="1"/>
  <c r="BM42" i="5"/>
  <c r="BM43" i="5" s="1"/>
  <c r="BN42" i="5"/>
  <c r="BN43" i="5" s="1"/>
  <c r="BO42" i="5"/>
  <c r="BO43" i="5" s="1"/>
  <c r="BP42" i="5"/>
  <c r="BP43" i="5" s="1"/>
  <c r="BQ42" i="5"/>
  <c r="BQ43" i="5" s="1"/>
  <c r="BR42" i="5"/>
  <c r="BS42" i="5"/>
  <c r="BT42" i="5"/>
  <c r="BU42" i="5"/>
  <c r="BU43" i="5" s="1"/>
  <c r="D42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D38" i="5"/>
  <c r="C42" i="5" l="1"/>
  <c r="D43" i="5"/>
  <c r="C43" i="5" s="1"/>
  <c r="C10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D8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D7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D6" i="5"/>
  <c r="Q13" i="5" l="1"/>
  <c r="Q33" i="5"/>
  <c r="P13" i="5"/>
  <c r="P33" i="5"/>
  <c r="E11" i="5"/>
  <c r="AY13" i="5"/>
  <c r="AY33" i="5"/>
  <c r="AO13" i="5"/>
  <c r="AO33" i="5"/>
  <c r="AZ13" i="5"/>
  <c r="AZ33" i="5"/>
  <c r="N13" i="5"/>
  <c r="N33" i="5"/>
  <c r="Y13" i="5"/>
  <c r="Y33" i="5"/>
  <c r="BM13" i="5"/>
  <c r="BM33" i="5"/>
  <c r="O13" i="5"/>
  <c r="O33" i="5"/>
  <c r="AX13" i="5"/>
  <c r="AX33" i="5"/>
  <c r="BU13" i="5"/>
  <c r="BU33" i="5"/>
  <c r="AC13" i="5"/>
  <c r="AC33" i="5"/>
  <c r="AW13" i="5"/>
  <c r="AW33" i="5"/>
  <c r="W13" i="5"/>
  <c r="W33" i="5"/>
  <c r="K13" i="5"/>
  <c r="K33" i="5"/>
  <c r="AK13" i="5"/>
  <c r="AK33" i="5"/>
  <c r="BT13" i="5"/>
  <c r="BT33" i="5"/>
  <c r="AU13" i="5"/>
  <c r="AU33" i="5"/>
  <c r="BR13" i="5"/>
  <c r="BR33" i="5"/>
  <c r="BF13" i="5"/>
  <c r="BF33" i="5"/>
  <c r="AT13" i="5"/>
  <c r="AT33" i="5"/>
  <c r="AH13" i="5"/>
  <c r="AH33" i="5"/>
  <c r="V13" i="5"/>
  <c r="V33" i="5"/>
  <c r="J13" i="5"/>
  <c r="J33" i="5"/>
  <c r="AM13" i="5"/>
  <c r="AM33" i="5"/>
  <c r="AL13" i="5"/>
  <c r="AL33" i="5"/>
  <c r="AJ13" i="5"/>
  <c r="AJ33" i="5"/>
  <c r="L13" i="5"/>
  <c r="L33" i="5"/>
  <c r="BG13" i="5"/>
  <c r="BG33" i="5"/>
  <c r="BQ13" i="5"/>
  <c r="BQ33" i="5"/>
  <c r="BE13" i="5"/>
  <c r="BE33" i="5"/>
  <c r="AS13" i="5"/>
  <c r="AS33" i="5"/>
  <c r="AG13" i="5"/>
  <c r="AG33" i="5"/>
  <c r="U13" i="5"/>
  <c r="U33" i="5"/>
  <c r="I13" i="5"/>
  <c r="I33" i="5"/>
  <c r="BA13" i="5"/>
  <c r="BA33" i="5"/>
  <c r="BL13" i="5"/>
  <c r="BL33" i="5"/>
  <c r="BK13" i="5"/>
  <c r="BK33" i="5"/>
  <c r="BJ13" i="5"/>
  <c r="BJ33" i="5"/>
  <c r="M13" i="5"/>
  <c r="M33" i="5"/>
  <c r="AV13" i="5"/>
  <c r="AV33" i="5"/>
  <c r="BS13" i="5"/>
  <c r="BS33" i="5"/>
  <c r="BP13" i="5"/>
  <c r="BP33" i="5"/>
  <c r="BD13" i="5"/>
  <c r="BD33" i="5"/>
  <c r="AR13" i="5"/>
  <c r="AR33" i="5"/>
  <c r="AF13" i="5"/>
  <c r="AF33" i="5"/>
  <c r="T13" i="5"/>
  <c r="T33" i="5"/>
  <c r="H13" i="5"/>
  <c r="H33" i="5"/>
  <c r="AN13" i="5"/>
  <c r="AN33" i="5"/>
  <c r="X13" i="5"/>
  <c r="X33" i="5"/>
  <c r="AI13" i="5"/>
  <c r="AI33" i="5"/>
  <c r="BO13" i="5"/>
  <c r="BO33" i="5"/>
  <c r="BC13" i="5"/>
  <c r="BC33" i="5"/>
  <c r="AQ13" i="5"/>
  <c r="AQ33" i="5"/>
  <c r="AE13" i="5"/>
  <c r="AE33" i="5"/>
  <c r="S13" i="5"/>
  <c r="S33" i="5"/>
  <c r="G13" i="5"/>
  <c r="AB13" i="5"/>
  <c r="AB33" i="5"/>
  <c r="AA13" i="5"/>
  <c r="AA33" i="5"/>
  <c r="Z13" i="5"/>
  <c r="Z33" i="5"/>
  <c r="BI13" i="5"/>
  <c r="BI33" i="5"/>
  <c r="BH13" i="5"/>
  <c r="BH33" i="5"/>
  <c r="BN13" i="5"/>
  <c r="BN33" i="5"/>
  <c r="BB13" i="5"/>
  <c r="BB33" i="5"/>
  <c r="AP13" i="5"/>
  <c r="AP33" i="5"/>
  <c r="AD13" i="5"/>
  <c r="AD33" i="5"/>
  <c r="R13" i="5"/>
  <c r="R33" i="5"/>
  <c r="F11" i="5"/>
  <c r="D11" i="5"/>
  <c r="BQ11" i="5"/>
  <c r="BE11" i="5"/>
  <c r="AS11" i="5"/>
  <c r="AG11" i="5"/>
  <c r="U11" i="5"/>
  <c r="I11" i="5"/>
  <c r="T11" i="5"/>
  <c r="BO11" i="5"/>
  <c r="AQ11" i="5"/>
  <c r="AE11" i="5"/>
  <c r="S11" i="5"/>
  <c r="G11" i="5"/>
  <c r="AR11" i="5"/>
  <c r="BC11" i="5"/>
  <c r="BA11" i="5"/>
  <c r="AC11" i="5"/>
  <c r="AN11" i="5"/>
  <c r="BD11" i="5"/>
  <c r="AO11" i="5"/>
  <c r="BK11" i="5"/>
  <c r="AY11" i="5"/>
  <c r="AM11" i="5"/>
  <c r="AA11" i="5"/>
  <c r="O11" i="5"/>
  <c r="F13" i="5"/>
  <c r="BN11" i="5"/>
  <c r="P11" i="5"/>
  <c r="BJ11" i="5"/>
  <c r="AX11" i="5"/>
  <c r="AL11" i="5"/>
  <c r="Z11" i="5"/>
  <c r="N11" i="5"/>
  <c r="BP11" i="5"/>
  <c r="E13" i="5"/>
  <c r="BM11" i="5"/>
  <c r="BU11" i="5"/>
  <c r="BI11" i="5"/>
  <c r="AW11" i="5"/>
  <c r="AK11" i="5"/>
  <c r="Y11" i="5"/>
  <c r="M11" i="5"/>
  <c r="AF11" i="5"/>
  <c r="AP11" i="5"/>
  <c r="AD11" i="5"/>
  <c r="AB11" i="5"/>
  <c r="BT11" i="5"/>
  <c r="BH11" i="5"/>
  <c r="AV11" i="5"/>
  <c r="AJ11" i="5"/>
  <c r="X11" i="5"/>
  <c r="L11" i="5"/>
  <c r="H11" i="5"/>
  <c r="BB11" i="5"/>
  <c r="R11" i="5"/>
  <c r="BL11" i="5"/>
  <c r="D13" i="5"/>
  <c r="BS11" i="5"/>
  <c r="BG11" i="5"/>
  <c r="AU11" i="5"/>
  <c r="AI11" i="5"/>
  <c r="W11" i="5"/>
  <c r="K11" i="5"/>
  <c r="Q11" i="5"/>
  <c r="AZ11" i="5"/>
  <c r="BR11" i="5"/>
  <c r="BF11" i="5"/>
  <c r="AT11" i="5"/>
  <c r="AH11" i="5"/>
  <c r="V11" i="5"/>
  <c r="J11" i="5"/>
  <c r="B19" i="4"/>
  <c r="AF16" i="5" l="1"/>
  <c r="AF12" i="5"/>
  <c r="AF14" i="5" s="1"/>
  <c r="AF15" i="5" s="1"/>
  <c r="AF18" i="5" s="1"/>
  <c r="BM12" i="5"/>
  <c r="BM14" i="5" s="1"/>
  <c r="BM15" i="5" s="1"/>
  <c r="BM16" i="5"/>
  <c r="BO16" i="5"/>
  <c r="BO12" i="5"/>
  <c r="BO14" i="5" s="1"/>
  <c r="BO15" i="5" s="1"/>
  <c r="BO18" i="5" s="1"/>
  <c r="BU16" i="5"/>
  <c r="BU12" i="5"/>
  <c r="BU14" i="5" s="1"/>
  <c r="BU15" i="5" s="1"/>
  <c r="BU18" i="5" s="1"/>
  <c r="V12" i="5"/>
  <c r="V14" i="5" s="1"/>
  <c r="V15" i="5" s="1"/>
  <c r="V16" i="5"/>
  <c r="BK12" i="5"/>
  <c r="BK14" i="5" s="1"/>
  <c r="BK16" i="5"/>
  <c r="BF16" i="5"/>
  <c r="BF12" i="5"/>
  <c r="BF14" i="5" s="1"/>
  <c r="BF15" i="5" s="1"/>
  <c r="E12" i="5"/>
  <c r="E14" i="5" s="1"/>
  <c r="E15" i="5" s="1"/>
  <c r="E16" i="5"/>
  <c r="J16" i="5"/>
  <c r="J12" i="5"/>
  <c r="J14" i="5" s="1"/>
  <c r="J15" i="5" s="1"/>
  <c r="AQ16" i="5"/>
  <c r="AQ12" i="5"/>
  <c r="AQ14" i="5" s="1"/>
  <c r="AQ15" i="5" s="1"/>
  <c r="AQ18" i="5" s="1"/>
  <c r="R12" i="5"/>
  <c r="R14" i="5" s="1"/>
  <c r="R16" i="5"/>
  <c r="AJ16" i="5"/>
  <c r="AJ12" i="5"/>
  <c r="AJ14" i="5" s="1"/>
  <c r="AJ15" i="5" s="1"/>
  <c r="AC12" i="5"/>
  <c r="AC14" i="5" s="1"/>
  <c r="AC15" i="5" s="1"/>
  <c r="AC16" i="5"/>
  <c r="BN12" i="5"/>
  <c r="BN14" i="5" s="1"/>
  <c r="BN15" i="5" s="1"/>
  <c r="BN16" i="5"/>
  <c r="AO12" i="5"/>
  <c r="AO14" i="5" s="1"/>
  <c r="AO15" i="5" s="1"/>
  <c r="AO16" i="5"/>
  <c r="AH16" i="5"/>
  <c r="AH12" i="5"/>
  <c r="AH14" i="5" s="1"/>
  <c r="AH15" i="5" s="1"/>
  <c r="BQ16" i="5"/>
  <c r="BQ12" i="5"/>
  <c r="BQ14" i="5" s="1"/>
  <c r="BQ15" i="5" s="1"/>
  <c r="BL16" i="5"/>
  <c r="BL12" i="5"/>
  <c r="BL14" i="5" s="1"/>
  <c r="BL15" i="5" s="1"/>
  <c r="AN16" i="5"/>
  <c r="AN12" i="5"/>
  <c r="AN14" i="5" s="1"/>
  <c r="AN15" i="5" s="1"/>
  <c r="BB12" i="5"/>
  <c r="BB14" i="5" s="1"/>
  <c r="BB15" i="5" s="1"/>
  <c r="BB18" i="5" s="1"/>
  <c r="BB16" i="5"/>
  <c r="AV16" i="5"/>
  <c r="AV12" i="5"/>
  <c r="AV14" i="5" s="1"/>
  <c r="AV15" i="5" s="1"/>
  <c r="AV18" i="5" s="1"/>
  <c r="M16" i="5"/>
  <c r="M12" i="5"/>
  <c r="M14" i="5" s="1"/>
  <c r="M15" i="5" s="1"/>
  <c r="M18" i="5" s="1"/>
  <c r="BC16" i="5"/>
  <c r="BC12" i="5"/>
  <c r="BC14" i="5" s="1"/>
  <c r="BC15" i="5" s="1"/>
  <c r="AE16" i="5"/>
  <c r="AE12" i="5"/>
  <c r="AE14" i="5" s="1"/>
  <c r="AE15" i="5" s="1"/>
  <c r="AE18" i="5" s="1"/>
  <c r="BS16" i="5"/>
  <c r="BS12" i="5"/>
  <c r="BS14" i="5" s="1"/>
  <c r="X12" i="5"/>
  <c r="X14" i="5" s="1"/>
  <c r="X16" i="5"/>
  <c r="BR12" i="5"/>
  <c r="BR14" i="5" s="1"/>
  <c r="BR15" i="5" s="1"/>
  <c r="BR16" i="5"/>
  <c r="N16" i="5"/>
  <c r="N12" i="5"/>
  <c r="N14" i="5" s="1"/>
  <c r="N15" i="5" s="1"/>
  <c r="N18" i="5" s="1"/>
  <c r="BA12" i="5"/>
  <c r="BA14" i="5" s="1"/>
  <c r="BA15" i="5" s="1"/>
  <c r="BA16" i="5"/>
  <c r="Z12" i="5"/>
  <c r="Z14" i="5" s="1"/>
  <c r="Z15" i="5" s="1"/>
  <c r="Z16" i="5"/>
  <c r="BT12" i="5"/>
  <c r="BT14" i="5" s="1"/>
  <c r="BT15" i="5" s="1"/>
  <c r="BT16" i="5"/>
  <c r="Y16" i="5"/>
  <c r="Y12" i="5"/>
  <c r="Y14" i="5" s="1"/>
  <c r="Y15" i="5" s="1"/>
  <c r="AL16" i="5"/>
  <c r="AL12" i="5"/>
  <c r="AL14" i="5" s="1"/>
  <c r="AL15" i="5" s="1"/>
  <c r="O16" i="5"/>
  <c r="O12" i="5"/>
  <c r="O14" i="5" s="1"/>
  <c r="AR16" i="5"/>
  <c r="AR12" i="5"/>
  <c r="AR14" i="5" s="1"/>
  <c r="AR15" i="5" s="1"/>
  <c r="AR18" i="5" s="1"/>
  <c r="F16" i="5"/>
  <c r="F12" i="5"/>
  <c r="F14" i="5" s="1"/>
  <c r="F15" i="5" s="1"/>
  <c r="AS16" i="5"/>
  <c r="AS12" i="5"/>
  <c r="AS14" i="5" s="1"/>
  <c r="AS15" i="5" s="1"/>
  <c r="L16" i="5"/>
  <c r="L12" i="5"/>
  <c r="L14" i="5" s="1"/>
  <c r="AZ16" i="5"/>
  <c r="AZ12" i="5"/>
  <c r="AZ14" i="5" s="1"/>
  <c r="AZ15" i="5" s="1"/>
  <c r="AZ18" i="5" s="1"/>
  <c r="Q12" i="5"/>
  <c r="Q14" i="5" s="1"/>
  <c r="Q15" i="5" s="1"/>
  <c r="Q16" i="5"/>
  <c r="K12" i="5"/>
  <c r="K14" i="5" s="1"/>
  <c r="K15" i="5" s="1"/>
  <c r="K16" i="5"/>
  <c r="W12" i="5"/>
  <c r="W14" i="5" s="1"/>
  <c r="W16" i="5"/>
  <c r="AB16" i="5"/>
  <c r="AB12" i="5"/>
  <c r="AB14" i="5" s="1"/>
  <c r="AB15" i="5" s="1"/>
  <c r="AK16" i="5"/>
  <c r="AK12" i="5"/>
  <c r="AK14" i="5" s="1"/>
  <c r="AK15" i="5" s="1"/>
  <c r="AX16" i="5"/>
  <c r="AX12" i="5"/>
  <c r="AX14" i="5" s="1"/>
  <c r="AX15" i="5" s="1"/>
  <c r="AX18" i="5" s="1"/>
  <c r="AA16" i="5"/>
  <c r="AA12" i="5"/>
  <c r="AA14" i="5" s="1"/>
  <c r="I16" i="5"/>
  <c r="I12" i="5"/>
  <c r="I14" i="5" s="1"/>
  <c r="I15" i="5" s="1"/>
  <c r="BG16" i="5"/>
  <c r="BG12" i="5"/>
  <c r="BG14" i="5" s="1"/>
  <c r="BE16" i="5"/>
  <c r="BE12" i="5"/>
  <c r="BE14" i="5" s="1"/>
  <c r="BE15" i="5" s="1"/>
  <c r="AT12" i="5"/>
  <c r="AT14" i="5" s="1"/>
  <c r="AT15" i="5" s="1"/>
  <c r="AT16" i="5"/>
  <c r="T16" i="5"/>
  <c r="T12" i="5"/>
  <c r="T14" i="5" s="1"/>
  <c r="BD12" i="5"/>
  <c r="BD14" i="5" s="1"/>
  <c r="BD15" i="5" s="1"/>
  <c r="BD16" i="5"/>
  <c r="BP16" i="5"/>
  <c r="BP12" i="5"/>
  <c r="BP14" i="5" s="1"/>
  <c r="BP15" i="5" s="1"/>
  <c r="H12" i="5"/>
  <c r="H14" i="5" s="1"/>
  <c r="H15" i="5" s="1"/>
  <c r="H16" i="5"/>
  <c r="D16" i="5"/>
  <c r="D12" i="5"/>
  <c r="BH16" i="5"/>
  <c r="BH12" i="5"/>
  <c r="BH14" i="5" s="1"/>
  <c r="BH15" i="5" s="1"/>
  <c r="AI16" i="5"/>
  <c r="AI12" i="5"/>
  <c r="AI14" i="5" s="1"/>
  <c r="AI15" i="5" s="1"/>
  <c r="AI18" i="5" s="1"/>
  <c r="AD16" i="5"/>
  <c r="AD12" i="5"/>
  <c r="AD14" i="5" s="1"/>
  <c r="AD15" i="5" s="1"/>
  <c r="AW12" i="5"/>
  <c r="AW14" i="5" s="1"/>
  <c r="AW15" i="5" s="1"/>
  <c r="AW16" i="5"/>
  <c r="BJ16" i="5"/>
  <c r="BJ12" i="5"/>
  <c r="BJ14" i="5" s="1"/>
  <c r="BJ15" i="5" s="1"/>
  <c r="AM12" i="5"/>
  <c r="AM14" i="5" s="1"/>
  <c r="AM16" i="5"/>
  <c r="G16" i="5"/>
  <c r="G12" i="5"/>
  <c r="G14" i="5" s="1"/>
  <c r="G15" i="5" s="1"/>
  <c r="G18" i="5" s="1"/>
  <c r="U16" i="5"/>
  <c r="U12" i="5"/>
  <c r="U14" i="5" s="1"/>
  <c r="U15" i="5" s="1"/>
  <c r="AU16" i="5"/>
  <c r="AU12" i="5"/>
  <c r="AU14" i="5" s="1"/>
  <c r="AP12" i="5"/>
  <c r="AP14" i="5" s="1"/>
  <c r="AP15" i="5" s="1"/>
  <c r="AP16" i="5"/>
  <c r="BI16" i="5"/>
  <c r="BI12" i="5"/>
  <c r="BI14" i="5" s="1"/>
  <c r="P16" i="5"/>
  <c r="P12" i="5"/>
  <c r="P14" i="5" s="1"/>
  <c r="P15" i="5" s="1"/>
  <c r="AY12" i="5"/>
  <c r="AY14" i="5" s="1"/>
  <c r="AY15" i="5" s="1"/>
  <c r="AY16" i="5"/>
  <c r="S16" i="5"/>
  <c r="S12" i="5"/>
  <c r="S14" i="5" s="1"/>
  <c r="S15" i="5" s="1"/>
  <c r="S18" i="5" s="1"/>
  <c r="AG16" i="5"/>
  <c r="AG12" i="5"/>
  <c r="AG14" i="5" s="1"/>
  <c r="AG15" i="5" s="1"/>
  <c r="BE18" i="5"/>
  <c r="R15" i="5"/>
  <c r="R18" i="5" s="1"/>
  <c r="AN18" i="5"/>
  <c r="BR18" i="5"/>
  <c r="AC18" i="5"/>
  <c r="L15" i="5"/>
  <c r="L18" i="5" s="1"/>
  <c r="P18" i="5"/>
  <c r="AS18" i="5"/>
  <c r="AO18" i="5"/>
  <c r="X15" i="5"/>
  <c r="X18" i="5" s="1"/>
  <c r="AB18" i="5"/>
  <c r="BF18" i="5"/>
  <c r="C7" i="4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AH18" i="5" l="1"/>
  <c r="BA18" i="5"/>
  <c r="BH18" i="5"/>
  <c r="AK18" i="5"/>
  <c r="U18" i="5"/>
  <c r="AJ18" i="5"/>
  <c r="BC18" i="5"/>
  <c r="H18" i="5"/>
  <c r="Z18" i="5"/>
  <c r="I18" i="5"/>
  <c r="F18" i="5"/>
  <c r="T15" i="5"/>
  <c r="T18" i="5" s="1"/>
  <c r="J18" i="5"/>
  <c r="AT18" i="5"/>
  <c r="BK15" i="5"/>
  <c r="BK18" i="5"/>
  <c r="W15" i="5"/>
  <c r="W18" i="5"/>
  <c r="V18" i="5"/>
  <c r="K18" i="5"/>
  <c r="AG18" i="5"/>
  <c r="AL18" i="5"/>
  <c r="AU15" i="5"/>
  <c r="AU18" i="5"/>
  <c r="BP18" i="5"/>
  <c r="BD18" i="5"/>
  <c r="AY18" i="5"/>
  <c r="Y18" i="5"/>
  <c r="AP18" i="5"/>
  <c r="AA15" i="5"/>
  <c r="AA18" i="5"/>
  <c r="Q18" i="5"/>
  <c r="AD18" i="5"/>
  <c r="E18" i="5"/>
  <c r="BL18" i="5"/>
  <c r="BM18" i="5"/>
  <c r="AW18" i="5"/>
  <c r="O15" i="5"/>
  <c r="O18" i="5"/>
  <c r="BQ18" i="5"/>
  <c r="C12" i="5"/>
  <c r="C20" i="5"/>
  <c r="D14" i="5"/>
  <c r="BN18" i="5"/>
  <c r="BI15" i="5"/>
  <c r="BI18" i="5" s="1"/>
  <c r="AM15" i="5"/>
  <c r="AM18" i="5"/>
  <c r="C16" i="5"/>
  <c r="BT18" i="5"/>
  <c r="BS15" i="5"/>
  <c r="BS18" i="5"/>
  <c r="BJ18" i="5"/>
  <c r="BG15" i="5"/>
  <c r="BG18" i="5"/>
  <c r="C8" i="4"/>
  <c r="D16" i="4"/>
  <c r="B43" i="2"/>
  <c r="C21" i="5" l="1"/>
  <c r="C14" i="5"/>
  <c r="D15" i="5"/>
  <c r="C15" i="5" s="1"/>
  <c r="D18" i="5"/>
  <c r="D23" i="4"/>
  <c r="D17" i="4"/>
  <c r="D20" i="4"/>
  <c r="C11" i="4"/>
  <c r="D21" i="4" s="1"/>
  <c r="C10" i="4"/>
  <c r="C9" i="4"/>
  <c r="B27" i="2"/>
  <c r="C18" i="5" l="1"/>
  <c r="D22" i="4"/>
  <c r="E16" i="4"/>
  <c r="D18" i="4"/>
  <c r="D19" i="4"/>
  <c r="D24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C25" i="5" l="1"/>
  <c r="E23" i="4"/>
  <c r="E17" i="4"/>
  <c r="E20" i="4"/>
  <c r="E22" i="4"/>
  <c r="E21" i="4"/>
  <c r="L16" i="3"/>
  <c r="L17" i="3"/>
  <c r="M17" i="3"/>
  <c r="N17" i="3" s="1"/>
  <c r="M16" i="3"/>
  <c r="N16" i="3" s="1"/>
  <c r="M18" i="3"/>
  <c r="C26" i="5" l="1"/>
  <c r="D33" i="5"/>
  <c r="E19" i="4"/>
  <c r="F16" i="4"/>
  <c r="E18" i="4"/>
  <c r="E24" i="4"/>
  <c r="L18" i="3"/>
  <c r="N18" i="3" s="1"/>
  <c r="AE27" i="5" l="1"/>
  <c r="BH27" i="5"/>
  <c r="AR27" i="5"/>
  <c r="AC27" i="5"/>
  <c r="U27" i="5"/>
  <c r="AJ27" i="5"/>
  <c r="BU27" i="5"/>
  <c r="H27" i="5"/>
  <c r="BC27" i="5"/>
  <c r="X27" i="5"/>
  <c r="AT27" i="5"/>
  <c r="M27" i="5"/>
  <c r="AQ27" i="5"/>
  <c r="AH27" i="5"/>
  <c r="L27" i="5"/>
  <c r="Z27" i="5"/>
  <c r="BR27" i="5"/>
  <c r="AF27" i="5"/>
  <c r="P27" i="5"/>
  <c r="AI27" i="5"/>
  <c r="T27" i="5"/>
  <c r="AS27" i="5"/>
  <c r="F27" i="5"/>
  <c r="N27" i="5"/>
  <c r="AK27" i="5"/>
  <c r="S27" i="5"/>
  <c r="BA27" i="5"/>
  <c r="AB27" i="5"/>
  <c r="R27" i="5"/>
  <c r="G27" i="5"/>
  <c r="AX27" i="5"/>
  <c r="BB27" i="5"/>
  <c r="BE27" i="5"/>
  <c r="BF27" i="5"/>
  <c r="J27" i="5"/>
  <c r="AV27" i="5"/>
  <c r="I27" i="5"/>
  <c r="AN27" i="5"/>
  <c r="BO27" i="5"/>
  <c r="AO27" i="5"/>
  <c r="AZ27" i="5"/>
  <c r="BI27" i="5"/>
  <c r="AA27" i="5"/>
  <c r="BM27" i="5"/>
  <c r="AD27" i="5"/>
  <c r="AG27" i="5"/>
  <c r="Q27" i="5"/>
  <c r="V27" i="5"/>
  <c r="AL27" i="5"/>
  <c r="BG27" i="5"/>
  <c r="AW27" i="5"/>
  <c r="BP27" i="5"/>
  <c r="BT27" i="5"/>
  <c r="BL27" i="5"/>
  <c r="E27" i="5"/>
  <c r="BK27" i="5"/>
  <c r="BJ27" i="5"/>
  <c r="K27" i="5"/>
  <c r="AP27" i="5"/>
  <c r="AM27" i="5"/>
  <c r="BQ27" i="5"/>
  <c r="BS27" i="5"/>
  <c r="BD27" i="5"/>
  <c r="AY27" i="5"/>
  <c r="Y27" i="5"/>
  <c r="AU27" i="5"/>
  <c r="O27" i="5"/>
  <c r="BN27" i="5"/>
  <c r="W27" i="5"/>
  <c r="D27" i="5"/>
  <c r="F23" i="4"/>
  <c r="F17" i="4"/>
  <c r="F22" i="4"/>
  <c r="F20" i="4"/>
  <c r="F21" i="4"/>
  <c r="C27" i="5" l="1"/>
  <c r="AV31" i="5"/>
  <c r="AV28" i="5"/>
  <c r="AP31" i="5"/>
  <c r="AP28" i="5"/>
  <c r="F31" i="5"/>
  <c r="F28" i="5"/>
  <c r="AG31" i="5"/>
  <c r="AG28" i="5"/>
  <c r="W31" i="5"/>
  <c r="W28" i="5"/>
  <c r="BE31" i="5"/>
  <c r="BE28" i="5"/>
  <c r="AI31" i="5"/>
  <c r="AI28" i="5"/>
  <c r="BL31" i="5"/>
  <c r="BL28" i="5"/>
  <c r="V31" i="5"/>
  <c r="V28" i="5"/>
  <c r="N31" i="5"/>
  <c r="N28" i="5"/>
  <c r="M31" i="5"/>
  <c r="M28" i="5"/>
  <c r="Q31" i="5"/>
  <c r="Q28" i="5"/>
  <c r="J31" i="5"/>
  <c r="J28" i="5"/>
  <c r="D31" i="5"/>
  <c r="D32" i="5" s="1"/>
  <c r="E30" i="5" s="1"/>
  <c r="D28" i="5"/>
  <c r="BF31" i="5"/>
  <c r="BF28" i="5"/>
  <c r="X31" i="5"/>
  <c r="X28" i="5"/>
  <c r="AD31" i="5"/>
  <c r="AD28" i="5"/>
  <c r="T31" i="5"/>
  <c r="T28" i="5"/>
  <c r="BN31" i="5"/>
  <c r="BN28" i="5"/>
  <c r="H31" i="5"/>
  <c r="H28" i="5"/>
  <c r="E31" i="5"/>
  <c r="E28" i="5"/>
  <c r="AX31" i="5"/>
  <c r="AX28" i="5"/>
  <c r="P31" i="5"/>
  <c r="P28" i="5"/>
  <c r="AU31" i="5"/>
  <c r="AU28" i="5"/>
  <c r="BI31" i="5"/>
  <c r="BI28" i="5"/>
  <c r="AF31" i="5"/>
  <c r="AF28" i="5"/>
  <c r="Y31" i="5"/>
  <c r="Y28" i="5"/>
  <c r="AZ31" i="5"/>
  <c r="AZ28" i="5"/>
  <c r="U31" i="5"/>
  <c r="U28" i="5"/>
  <c r="BP31" i="5"/>
  <c r="BP28" i="5"/>
  <c r="AO31" i="5"/>
  <c r="AO28" i="5"/>
  <c r="AB31" i="5"/>
  <c r="AB28" i="5"/>
  <c r="Z31" i="5"/>
  <c r="Z28" i="5"/>
  <c r="AH31" i="5"/>
  <c r="AH28" i="5"/>
  <c r="AM31" i="5"/>
  <c r="AM28" i="5"/>
  <c r="AT31" i="5"/>
  <c r="AT28" i="5"/>
  <c r="K31" i="5"/>
  <c r="K28" i="5"/>
  <c r="AS31" i="5"/>
  <c r="AS28" i="5"/>
  <c r="BJ31" i="5"/>
  <c r="BJ28" i="5"/>
  <c r="BC31" i="5"/>
  <c r="BC28" i="5"/>
  <c r="BK31" i="5"/>
  <c r="BK28" i="5"/>
  <c r="BM31" i="5"/>
  <c r="BM28" i="5"/>
  <c r="BB31" i="5"/>
  <c r="BB28" i="5"/>
  <c r="O31" i="5"/>
  <c r="O28" i="5"/>
  <c r="AA31" i="5"/>
  <c r="AA28" i="5"/>
  <c r="BU31" i="5"/>
  <c r="BU28" i="5"/>
  <c r="G31" i="5"/>
  <c r="G28" i="5"/>
  <c r="AJ31" i="5"/>
  <c r="AJ28" i="5"/>
  <c r="BT31" i="5"/>
  <c r="BT28" i="5"/>
  <c r="R31" i="5"/>
  <c r="R28" i="5"/>
  <c r="BR31" i="5"/>
  <c r="BR28" i="5"/>
  <c r="AY31" i="5"/>
  <c r="AY28" i="5"/>
  <c r="AC31" i="5"/>
  <c r="AC28" i="5"/>
  <c r="BD31" i="5"/>
  <c r="BD28" i="5"/>
  <c r="AW31" i="5"/>
  <c r="AW28" i="5"/>
  <c r="BO31" i="5"/>
  <c r="BO28" i="5"/>
  <c r="BA31" i="5"/>
  <c r="BA28" i="5"/>
  <c r="L31" i="5"/>
  <c r="L28" i="5"/>
  <c r="AR31" i="5"/>
  <c r="AR28" i="5"/>
  <c r="BS31" i="5"/>
  <c r="BS28" i="5"/>
  <c r="BG31" i="5"/>
  <c r="BG28" i="5"/>
  <c r="AN31" i="5"/>
  <c r="AN28" i="5"/>
  <c r="S31" i="5"/>
  <c r="S28" i="5"/>
  <c r="BH31" i="5"/>
  <c r="BH28" i="5"/>
  <c r="BQ31" i="5"/>
  <c r="BQ28" i="5"/>
  <c r="AL31" i="5"/>
  <c r="AL28" i="5"/>
  <c r="I31" i="5"/>
  <c r="I28" i="5"/>
  <c r="AK31" i="5"/>
  <c r="AK28" i="5"/>
  <c r="AQ31" i="5"/>
  <c r="AQ28" i="5"/>
  <c r="AE31" i="5"/>
  <c r="AE28" i="5"/>
  <c r="F18" i="4"/>
  <c r="F19" i="4"/>
  <c r="G16" i="4"/>
  <c r="F24" i="4"/>
  <c r="C35" i="5" l="1"/>
  <c r="C28" i="5"/>
  <c r="E32" i="5"/>
  <c r="F30" i="5" s="1"/>
  <c r="E33" i="5"/>
  <c r="G23" i="4"/>
  <c r="G17" i="4"/>
  <c r="G22" i="4"/>
  <c r="G20" i="4"/>
  <c r="G21" i="4"/>
  <c r="F32" i="5" l="1"/>
  <c r="G30" i="5" s="1"/>
  <c r="F33" i="5"/>
  <c r="G24" i="4"/>
  <c r="H16" i="4"/>
  <c r="G18" i="4"/>
  <c r="G19" i="4"/>
  <c r="G32" i="5" l="1"/>
  <c r="G33" i="5"/>
  <c r="H23" i="4"/>
  <c r="H17" i="4"/>
  <c r="H22" i="4"/>
  <c r="H20" i="4"/>
  <c r="H21" i="4"/>
  <c r="H30" i="5" l="1"/>
  <c r="H32" i="5" s="1"/>
  <c r="I30" i="5" s="1"/>
  <c r="I32" i="5" s="1"/>
  <c r="J30" i="5" s="1"/>
  <c r="J32" i="5" s="1"/>
  <c r="K30" i="5" s="1"/>
  <c r="K32" i="5" s="1"/>
  <c r="L30" i="5" s="1"/>
  <c r="L32" i="5" s="1"/>
  <c r="M30" i="5" s="1"/>
  <c r="M32" i="5" s="1"/>
  <c r="N30" i="5" s="1"/>
  <c r="N32" i="5" s="1"/>
  <c r="O30" i="5" s="1"/>
  <c r="O32" i="5" s="1"/>
  <c r="P30" i="5" s="1"/>
  <c r="P32" i="5" s="1"/>
  <c r="Q30" i="5" s="1"/>
  <c r="Q32" i="5" s="1"/>
  <c r="R30" i="5" s="1"/>
  <c r="R32" i="5" s="1"/>
  <c r="S30" i="5" s="1"/>
  <c r="S32" i="5" s="1"/>
  <c r="T30" i="5" s="1"/>
  <c r="T32" i="5" s="1"/>
  <c r="U30" i="5" s="1"/>
  <c r="U32" i="5" s="1"/>
  <c r="V30" i="5" s="1"/>
  <c r="V32" i="5" s="1"/>
  <c r="W30" i="5" s="1"/>
  <c r="W32" i="5" s="1"/>
  <c r="X30" i="5" s="1"/>
  <c r="X32" i="5" s="1"/>
  <c r="Y30" i="5" s="1"/>
  <c r="Y32" i="5" s="1"/>
  <c r="Z30" i="5" s="1"/>
  <c r="Z32" i="5" s="1"/>
  <c r="AA30" i="5" s="1"/>
  <c r="AA32" i="5" s="1"/>
  <c r="AB30" i="5" s="1"/>
  <c r="AB32" i="5" s="1"/>
  <c r="AC30" i="5" s="1"/>
  <c r="AC32" i="5" s="1"/>
  <c r="AD30" i="5" s="1"/>
  <c r="AD32" i="5" s="1"/>
  <c r="AE30" i="5" s="1"/>
  <c r="AE32" i="5" s="1"/>
  <c r="AF30" i="5" s="1"/>
  <c r="AF32" i="5" s="1"/>
  <c r="AG30" i="5" s="1"/>
  <c r="AG32" i="5" s="1"/>
  <c r="AH30" i="5" s="1"/>
  <c r="AH32" i="5" s="1"/>
  <c r="AI30" i="5" s="1"/>
  <c r="AI32" i="5" s="1"/>
  <c r="AJ30" i="5" s="1"/>
  <c r="AJ32" i="5" s="1"/>
  <c r="AK30" i="5" s="1"/>
  <c r="AK32" i="5" s="1"/>
  <c r="AL30" i="5" s="1"/>
  <c r="AL32" i="5" s="1"/>
  <c r="AM30" i="5" s="1"/>
  <c r="AM32" i="5" s="1"/>
  <c r="AN30" i="5" s="1"/>
  <c r="AN32" i="5" s="1"/>
  <c r="AO30" i="5" s="1"/>
  <c r="AO32" i="5" s="1"/>
  <c r="AP30" i="5" s="1"/>
  <c r="AP32" i="5" s="1"/>
  <c r="AQ30" i="5" s="1"/>
  <c r="AQ32" i="5" s="1"/>
  <c r="AR30" i="5" s="1"/>
  <c r="AR32" i="5" s="1"/>
  <c r="AS30" i="5" s="1"/>
  <c r="AS32" i="5" s="1"/>
  <c r="AT30" i="5" s="1"/>
  <c r="AT32" i="5" s="1"/>
  <c r="AU30" i="5" s="1"/>
  <c r="AU32" i="5" s="1"/>
  <c r="AV30" i="5" s="1"/>
  <c r="AV32" i="5" s="1"/>
  <c r="AW30" i="5" s="1"/>
  <c r="AW32" i="5" s="1"/>
  <c r="AX30" i="5" s="1"/>
  <c r="AX32" i="5" s="1"/>
  <c r="AY30" i="5" s="1"/>
  <c r="AY32" i="5" s="1"/>
  <c r="AZ30" i="5" s="1"/>
  <c r="AZ32" i="5" s="1"/>
  <c r="BA30" i="5" s="1"/>
  <c r="BA32" i="5" s="1"/>
  <c r="BB30" i="5" s="1"/>
  <c r="BB32" i="5" s="1"/>
  <c r="BC30" i="5" s="1"/>
  <c r="BC32" i="5" s="1"/>
  <c r="BD30" i="5" s="1"/>
  <c r="BD32" i="5" s="1"/>
  <c r="BE30" i="5" s="1"/>
  <c r="BE32" i="5" s="1"/>
  <c r="BF30" i="5" s="1"/>
  <c r="BF32" i="5" s="1"/>
  <c r="BG30" i="5" s="1"/>
  <c r="BG32" i="5" s="1"/>
  <c r="BH30" i="5" s="1"/>
  <c r="BH32" i="5" s="1"/>
  <c r="BI30" i="5" s="1"/>
  <c r="BI32" i="5" s="1"/>
  <c r="BJ30" i="5" s="1"/>
  <c r="BJ32" i="5" s="1"/>
  <c r="BK30" i="5" s="1"/>
  <c r="BK32" i="5" s="1"/>
  <c r="BL30" i="5" s="1"/>
  <c r="BL32" i="5" s="1"/>
  <c r="BM30" i="5" s="1"/>
  <c r="BM32" i="5" s="1"/>
  <c r="BN30" i="5" s="1"/>
  <c r="BN32" i="5" s="1"/>
  <c r="BO30" i="5" s="1"/>
  <c r="BO32" i="5" s="1"/>
  <c r="BP30" i="5" s="1"/>
  <c r="BP32" i="5" s="1"/>
  <c r="BQ30" i="5" s="1"/>
  <c r="BQ32" i="5" s="1"/>
  <c r="BR30" i="5" s="1"/>
  <c r="BR32" i="5" s="1"/>
  <c r="BS30" i="5" s="1"/>
  <c r="BS32" i="5" s="1"/>
  <c r="BT30" i="5" s="1"/>
  <c r="BT32" i="5" s="1"/>
  <c r="BU30" i="5" s="1"/>
  <c r="BU32" i="5" s="1"/>
  <c r="C36" i="5"/>
  <c r="H24" i="4"/>
  <c r="I16" i="4"/>
  <c r="H18" i="4"/>
  <c r="H19" i="4"/>
  <c r="I23" i="4" l="1"/>
  <c r="I17" i="4"/>
  <c r="I20" i="4"/>
  <c r="I22" i="4"/>
  <c r="I21" i="4"/>
  <c r="I24" i="4" l="1"/>
  <c r="J16" i="4"/>
  <c r="I18" i="4"/>
  <c r="I19" i="4"/>
  <c r="J23" i="4" l="1"/>
  <c r="J17" i="4"/>
  <c r="J20" i="4"/>
  <c r="J22" i="4"/>
  <c r="J21" i="4"/>
  <c r="J24" i="4" l="1"/>
  <c r="K16" i="4"/>
  <c r="J19" i="4"/>
  <c r="J18" i="4"/>
  <c r="K23" i="4" l="1"/>
  <c r="K17" i="4"/>
  <c r="K21" i="4"/>
  <c r="K20" i="4"/>
  <c r="K24" i="4" s="1"/>
  <c r="K22" i="4"/>
  <c r="L16" i="4" l="1"/>
  <c r="K19" i="4"/>
  <c r="K18" i="4"/>
  <c r="L23" i="4" l="1"/>
  <c r="L17" i="4"/>
  <c r="L21" i="4"/>
  <c r="L20" i="4"/>
  <c r="L22" i="4"/>
  <c r="L24" i="4" l="1"/>
  <c r="M16" i="4"/>
  <c r="L19" i="4"/>
  <c r="L18" i="4"/>
  <c r="M23" i="4" l="1"/>
  <c r="M17" i="4"/>
  <c r="M21" i="4"/>
  <c r="M20" i="4"/>
  <c r="M22" i="4"/>
  <c r="M24" i="4" l="1"/>
  <c r="N16" i="4"/>
  <c r="M19" i="4"/>
  <c r="M18" i="4"/>
  <c r="N23" i="4" l="1"/>
  <c r="N17" i="4"/>
  <c r="N21" i="4"/>
  <c r="N20" i="4"/>
  <c r="N24" i="4" s="1"/>
  <c r="N22" i="4"/>
  <c r="O16" i="4" l="1"/>
  <c r="N18" i="4"/>
  <c r="N19" i="4"/>
  <c r="O23" i="4" l="1"/>
  <c r="O17" i="4"/>
  <c r="O21" i="4"/>
  <c r="O22" i="4"/>
  <c r="O20" i="4"/>
  <c r="O24" i="4" l="1"/>
  <c r="P16" i="4"/>
  <c r="O18" i="4"/>
  <c r="O19" i="4"/>
  <c r="P23" i="4" l="1"/>
  <c r="P17" i="4"/>
  <c r="P21" i="4"/>
  <c r="P22" i="4"/>
  <c r="P20" i="4"/>
  <c r="P24" i="4" s="1"/>
  <c r="Q16" i="4" l="1"/>
  <c r="P18" i="4"/>
  <c r="P19" i="4"/>
  <c r="Q23" i="4" l="1"/>
  <c r="Q17" i="4"/>
  <c r="Q21" i="4"/>
  <c r="Q22" i="4"/>
  <c r="Q20" i="4"/>
  <c r="Q24" i="4" s="1"/>
  <c r="R16" i="4" l="1"/>
  <c r="Q18" i="4"/>
  <c r="Q19" i="4"/>
  <c r="R23" i="4" l="1"/>
  <c r="R17" i="4"/>
  <c r="R22" i="4"/>
  <c r="R20" i="4"/>
  <c r="R21" i="4"/>
  <c r="R24" i="4" l="1"/>
  <c r="S16" i="4"/>
  <c r="R19" i="4"/>
  <c r="R18" i="4"/>
  <c r="S23" i="4" l="1"/>
  <c r="S17" i="4"/>
  <c r="S22" i="4"/>
  <c r="S20" i="4"/>
  <c r="S21" i="4"/>
  <c r="S24" i="4" l="1"/>
  <c r="T16" i="4"/>
  <c r="S19" i="4"/>
  <c r="S18" i="4"/>
  <c r="T23" i="4" l="1"/>
  <c r="T17" i="4"/>
  <c r="T20" i="4"/>
  <c r="T22" i="4"/>
  <c r="T21" i="4"/>
  <c r="T24" i="4" l="1"/>
  <c r="U16" i="4"/>
  <c r="T19" i="4"/>
  <c r="T18" i="4"/>
  <c r="U23" i="4" l="1"/>
  <c r="U17" i="4"/>
  <c r="U22" i="4"/>
  <c r="U20" i="4"/>
  <c r="U21" i="4"/>
  <c r="U24" i="4" l="1"/>
  <c r="V16" i="4"/>
  <c r="U19" i="4"/>
  <c r="U18" i="4"/>
  <c r="V23" i="4" l="1"/>
  <c r="V17" i="4"/>
  <c r="V20" i="4"/>
  <c r="V22" i="4"/>
  <c r="V21" i="4"/>
  <c r="V24" i="4" l="1"/>
  <c r="W16" i="4"/>
  <c r="V19" i="4"/>
  <c r="V18" i="4"/>
  <c r="W23" i="4" l="1"/>
  <c r="W17" i="4"/>
  <c r="W22" i="4"/>
  <c r="W21" i="4"/>
  <c r="W20" i="4"/>
  <c r="W24" i="4" l="1"/>
  <c r="X16" i="4"/>
  <c r="W19" i="4"/>
  <c r="W18" i="4"/>
  <c r="X23" i="4" l="1"/>
  <c r="X17" i="4"/>
  <c r="X22" i="4"/>
  <c r="X20" i="4"/>
  <c r="X21" i="4"/>
  <c r="X24" i="4" l="1"/>
  <c r="Y16" i="4"/>
  <c r="X19" i="4"/>
  <c r="X18" i="4"/>
  <c r="Y23" i="4" l="1"/>
  <c r="Y17" i="4"/>
  <c r="Y20" i="4"/>
  <c r="Y22" i="4"/>
  <c r="Y21" i="4"/>
  <c r="Y24" i="4" l="1"/>
  <c r="Z16" i="4"/>
  <c r="Y19" i="4"/>
  <c r="Y18" i="4"/>
  <c r="Z23" i="4" l="1"/>
  <c r="Z17" i="4"/>
  <c r="Z21" i="4"/>
  <c r="Z20" i="4"/>
  <c r="Z22" i="4"/>
  <c r="Z24" i="4" l="1"/>
  <c r="AA16" i="4"/>
  <c r="Z18" i="4"/>
  <c r="Z19" i="4"/>
  <c r="AA23" i="4" l="1"/>
  <c r="AA17" i="4"/>
  <c r="AA21" i="4"/>
  <c r="AA20" i="4"/>
  <c r="AA24" i="4" s="1"/>
  <c r="AA22" i="4"/>
  <c r="AB16" i="4" l="1"/>
  <c r="AA18" i="4"/>
  <c r="AA19" i="4"/>
  <c r="AB23" i="4" l="1"/>
  <c r="AB17" i="4"/>
  <c r="AB21" i="4"/>
  <c r="AB20" i="4"/>
  <c r="AB22" i="4"/>
  <c r="AB24" i="4" l="1"/>
  <c r="AC16" i="4"/>
  <c r="AB18" i="4"/>
  <c r="AB19" i="4"/>
  <c r="AC23" i="4" l="1"/>
  <c r="AC17" i="4"/>
  <c r="AC21" i="4"/>
  <c r="AC20" i="4"/>
  <c r="AC22" i="4"/>
  <c r="AC24" i="4" l="1"/>
  <c r="AD16" i="4"/>
  <c r="AC18" i="4"/>
  <c r="AC19" i="4"/>
  <c r="AD23" i="4" l="1"/>
  <c r="AD17" i="4"/>
  <c r="AD22" i="4"/>
  <c r="AD20" i="4"/>
  <c r="AD21" i="4"/>
  <c r="AD24" i="4" l="1"/>
  <c r="AE16" i="4"/>
  <c r="AD18" i="4"/>
  <c r="AD19" i="4"/>
  <c r="AE23" i="4" l="1"/>
  <c r="AE17" i="4"/>
  <c r="AE22" i="4"/>
  <c r="AE20" i="4"/>
  <c r="AE21" i="4"/>
  <c r="AE24" i="4" l="1"/>
  <c r="AF16" i="4"/>
  <c r="AE18" i="4"/>
  <c r="AE19" i="4"/>
  <c r="AF23" i="4" l="1"/>
  <c r="AF17" i="4"/>
  <c r="AF22" i="4"/>
  <c r="AF20" i="4"/>
  <c r="AF21" i="4"/>
  <c r="AF24" i="4" l="1"/>
  <c r="AG16" i="4"/>
  <c r="AF18" i="4"/>
  <c r="AF19" i="4"/>
  <c r="AG23" i="4" l="1"/>
  <c r="AG17" i="4"/>
  <c r="AG20" i="4"/>
  <c r="AG22" i="4"/>
  <c r="AG21" i="4"/>
  <c r="AG24" i="4" l="1"/>
  <c r="AH16" i="4"/>
  <c r="AG18" i="4"/>
  <c r="AG19" i="4"/>
  <c r="AH23" i="4" l="1"/>
  <c r="AH17" i="4"/>
  <c r="AH22" i="4"/>
  <c r="AH20" i="4"/>
  <c r="AH21" i="4"/>
  <c r="AH24" i="4" l="1"/>
  <c r="AI16" i="4"/>
  <c r="AH19" i="4"/>
  <c r="AH18" i="4"/>
  <c r="AI23" i="4" l="1"/>
  <c r="AI17" i="4"/>
  <c r="AI21" i="4"/>
  <c r="AI22" i="4"/>
  <c r="AI20" i="4"/>
  <c r="AI24" i="4" l="1"/>
  <c r="AJ16" i="4"/>
  <c r="AI19" i="4"/>
  <c r="AI18" i="4"/>
  <c r="AJ23" i="4" l="1"/>
  <c r="AJ17" i="4"/>
  <c r="AJ21" i="4"/>
  <c r="AJ20" i="4"/>
  <c r="AJ24" i="4" s="1"/>
  <c r="AJ22" i="4"/>
  <c r="AK16" i="4" l="1"/>
  <c r="AJ19" i="4"/>
  <c r="AJ18" i="4"/>
  <c r="AK23" i="4" l="1"/>
  <c r="AK17" i="4"/>
  <c r="AK21" i="4"/>
  <c r="AK22" i="4"/>
  <c r="AK20" i="4"/>
  <c r="AK24" i="4" l="1"/>
  <c r="AL16" i="4"/>
  <c r="AK19" i="4"/>
  <c r="AK18" i="4"/>
  <c r="AL23" i="4" l="1"/>
  <c r="AL17" i="4"/>
  <c r="AL21" i="4"/>
  <c r="AL20" i="4"/>
  <c r="AL22" i="4"/>
  <c r="AL24" i="4" l="1"/>
  <c r="AM16" i="4"/>
  <c r="AL18" i="4"/>
  <c r="AL19" i="4"/>
  <c r="AM23" i="4" l="1"/>
  <c r="AM17" i="4"/>
  <c r="AM21" i="4"/>
  <c r="AM20" i="4"/>
  <c r="AM22" i="4"/>
  <c r="AM24" i="4" l="1"/>
  <c r="AN16" i="4"/>
  <c r="AM18" i="4"/>
  <c r="AM19" i="4"/>
  <c r="AN23" i="4" l="1"/>
  <c r="AN17" i="4"/>
  <c r="AN21" i="4"/>
  <c r="AN20" i="4"/>
  <c r="AN22" i="4"/>
  <c r="AN24" i="4" l="1"/>
  <c r="AO16" i="4"/>
  <c r="AN18" i="4"/>
  <c r="AN19" i="4"/>
  <c r="AO23" i="4" l="1"/>
  <c r="AO17" i="4"/>
  <c r="AO21" i="4"/>
  <c r="AO22" i="4"/>
  <c r="AO20" i="4"/>
  <c r="AO24" i="4" l="1"/>
  <c r="AP16" i="4"/>
  <c r="AO18" i="4"/>
  <c r="AO19" i="4"/>
  <c r="AP23" i="4" l="1"/>
  <c r="AP17" i="4"/>
  <c r="AP22" i="4"/>
  <c r="AP20" i="4"/>
  <c r="AP21" i="4"/>
  <c r="AP24" i="4" l="1"/>
  <c r="AQ16" i="4"/>
  <c r="AP18" i="4"/>
  <c r="AP19" i="4"/>
  <c r="AQ23" i="4" l="1"/>
  <c r="AQ17" i="4"/>
  <c r="AQ22" i="4"/>
  <c r="AQ20" i="4"/>
  <c r="AQ21" i="4"/>
  <c r="AQ24" i="4" l="1"/>
  <c r="AR16" i="4"/>
  <c r="AQ18" i="4"/>
  <c r="AQ19" i="4"/>
  <c r="AR23" i="4" l="1"/>
  <c r="AR17" i="4"/>
  <c r="AR22" i="4"/>
  <c r="AR20" i="4"/>
  <c r="AR21" i="4"/>
  <c r="AR24" i="4" l="1"/>
  <c r="AS16" i="4"/>
  <c r="AR18" i="4"/>
  <c r="AR19" i="4"/>
  <c r="AS23" i="4" l="1"/>
  <c r="AS17" i="4"/>
  <c r="AS20" i="4"/>
  <c r="AS22" i="4"/>
  <c r="AS21" i="4"/>
  <c r="AS24" i="4" l="1"/>
  <c r="AT16" i="4"/>
  <c r="AS18" i="4"/>
  <c r="AS19" i="4"/>
  <c r="AT23" i="4" l="1"/>
  <c r="AT17" i="4"/>
  <c r="AT20" i="4"/>
  <c r="AT22" i="4"/>
  <c r="AT21" i="4"/>
  <c r="AT24" i="4" l="1"/>
  <c r="AU16" i="4"/>
  <c r="AT19" i="4"/>
  <c r="AT18" i="4"/>
  <c r="AU23" i="4" l="1"/>
  <c r="AU17" i="4"/>
  <c r="AU20" i="4"/>
  <c r="AU22" i="4"/>
  <c r="AU21" i="4"/>
  <c r="AU24" i="4" l="1"/>
  <c r="AV16" i="4"/>
  <c r="AU19" i="4"/>
  <c r="AU18" i="4"/>
  <c r="AV23" i="4" l="1"/>
  <c r="AV17" i="4"/>
  <c r="AV21" i="4"/>
  <c r="AV22" i="4"/>
  <c r="AV20" i="4"/>
  <c r="AV24" i="4" l="1"/>
  <c r="AW16" i="4"/>
  <c r="AV19" i="4"/>
  <c r="AV18" i="4"/>
  <c r="AW23" i="4" l="1"/>
  <c r="AW17" i="4"/>
  <c r="AW20" i="4"/>
  <c r="AW21" i="4"/>
  <c r="AW22" i="4"/>
  <c r="AW24" i="4" l="1"/>
  <c r="AX16" i="4"/>
  <c r="AW19" i="4"/>
  <c r="AW18" i="4"/>
  <c r="AX23" i="4" l="1"/>
  <c r="AX17" i="4"/>
  <c r="AX21" i="4"/>
  <c r="AX22" i="4"/>
  <c r="AX20" i="4"/>
  <c r="AX24" i="4" s="1"/>
  <c r="AY16" i="4" l="1"/>
  <c r="AX18" i="4"/>
  <c r="AX19" i="4"/>
  <c r="AY23" i="4" l="1"/>
  <c r="AY17" i="4"/>
  <c r="AY21" i="4"/>
  <c r="AY20" i="4"/>
  <c r="AY22" i="4"/>
  <c r="AY24" i="4" l="1"/>
  <c r="AZ16" i="4"/>
  <c r="AY18" i="4"/>
  <c r="AY19" i="4"/>
  <c r="AZ23" i="4" l="1"/>
  <c r="AZ17" i="4"/>
  <c r="AZ21" i="4"/>
  <c r="AZ20" i="4"/>
  <c r="AZ22" i="4"/>
  <c r="AZ24" i="4" l="1"/>
  <c r="BA16" i="4"/>
  <c r="AZ18" i="4"/>
  <c r="AZ19" i="4"/>
  <c r="BA23" i="4" l="1"/>
  <c r="BA17" i="4"/>
  <c r="BA21" i="4"/>
  <c r="BA20" i="4"/>
  <c r="BA22" i="4"/>
  <c r="BA24" i="4" l="1"/>
  <c r="BB16" i="4"/>
  <c r="BA18" i="4"/>
  <c r="BA19" i="4"/>
  <c r="BB23" i="4" l="1"/>
  <c r="BB17" i="4"/>
  <c r="BB22" i="4"/>
  <c r="BB20" i="4"/>
  <c r="BB21" i="4"/>
  <c r="BB24" i="4" l="1"/>
  <c r="BC16" i="4"/>
  <c r="BB19" i="4"/>
  <c r="BB18" i="4"/>
  <c r="BC23" i="4" l="1"/>
  <c r="BC17" i="4"/>
  <c r="BC22" i="4"/>
  <c r="BC20" i="4"/>
  <c r="BC21" i="4"/>
  <c r="BC24" i="4" l="1"/>
  <c r="BD16" i="4"/>
  <c r="BC19" i="4"/>
  <c r="BC18" i="4"/>
  <c r="BD23" i="4" l="1"/>
  <c r="BD17" i="4"/>
  <c r="BD22" i="4"/>
  <c r="BD20" i="4"/>
  <c r="BD21" i="4"/>
  <c r="BD24" i="4" l="1"/>
  <c r="BE16" i="4"/>
  <c r="BD19" i="4"/>
  <c r="BD18" i="4"/>
  <c r="BE23" i="4" l="1"/>
  <c r="BE17" i="4"/>
  <c r="BE22" i="4"/>
  <c r="BE20" i="4"/>
  <c r="BE21" i="4"/>
  <c r="BE24" i="4" l="1"/>
  <c r="BF16" i="4"/>
  <c r="BE19" i="4"/>
  <c r="BE18" i="4"/>
  <c r="BF23" i="4" l="1"/>
  <c r="BF17" i="4"/>
  <c r="BF20" i="4"/>
  <c r="BF22" i="4"/>
  <c r="BF21" i="4"/>
  <c r="BF24" i="4" l="1"/>
  <c r="BG16" i="4"/>
  <c r="BF19" i="4"/>
  <c r="BF18" i="4"/>
  <c r="BG23" i="4" l="1"/>
  <c r="BG17" i="4"/>
  <c r="BG21" i="4"/>
  <c r="BG20" i="4"/>
  <c r="BG24" i="4" s="1"/>
  <c r="BG22" i="4"/>
  <c r="BH16" i="4" l="1"/>
  <c r="BG19" i="4"/>
  <c r="BG18" i="4"/>
  <c r="BH23" i="4" l="1"/>
  <c r="BH17" i="4"/>
  <c r="BH21" i="4"/>
  <c r="BH20" i="4"/>
  <c r="BH22" i="4"/>
  <c r="BH24" i="4" l="1"/>
  <c r="BI16" i="4"/>
  <c r="BH19" i="4"/>
  <c r="BH18" i="4"/>
  <c r="BI23" i="4" l="1"/>
  <c r="BI17" i="4"/>
  <c r="BI20" i="4"/>
  <c r="BI21" i="4"/>
  <c r="BI22" i="4"/>
  <c r="BI24" i="4" l="1"/>
  <c r="BJ16" i="4"/>
  <c r="BI19" i="4"/>
  <c r="BI18" i="4"/>
  <c r="BJ23" i="4" l="1"/>
  <c r="BJ17" i="4"/>
  <c r="BJ21" i="4"/>
  <c r="BJ22" i="4"/>
  <c r="BJ20" i="4"/>
  <c r="BJ24" i="4" l="1"/>
  <c r="BK16" i="4"/>
  <c r="BJ18" i="4"/>
  <c r="BJ19" i="4"/>
  <c r="BK23" i="4" l="1"/>
  <c r="BK17" i="4"/>
  <c r="BK21" i="4"/>
  <c r="BK22" i="4"/>
  <c r="BK20" i="4"/>
  <c r="BK24" i="4" s="1"/>
  <c r="BL16" i="4" l="1"/>
  <c r="BK18" i="4"/>
  <c r="BK19" i="4"/>
  <c r="BL23" i="4" l="1"/>
  <c r="BL17" i="4"/>
  <c r="BL21" i="4"/>
  <c r="BL20" i="4"/>
  <c r="BL22" i="4"/>
  <c r="BL24" i="4" l="1"/>
  <c r="BM16" i="4"/>
  <c r="BL18" i="4"/>
  <c r="BL19" i="4"/>
  <c r="BM23" i="4" l="1"/>
  <c r="BM17" i="4"/>
  <c r="BM21" i="4"/>
  <c r="BM20" i="4"/>
  <c r="BM22" i="4"/>
  <c r="BM24" i="4" l="1"/>
  <c r="BN16" i="4"/>
  <c r="BM18" i="4"/>
  <c r="BM19" i="4"/>
  <c r="BN23" i="4" l="1"/>
  <c r="BN17" i="4"/>
  <c r="BN22" i="4"/>
  <c r="BN20" i="4"/>
  <c r="BN21" i="4"/>
  <c r="BN24" i="4" l="1"/>
  <c r="BO16" i="4"/>
  <c r="BN18" i="4"/>
  <c r="BN19" i="4"/>
  <c r="BO23" i="4" l="1"/>
  <c r="BO17" i="4"/>
  <c r="BO22" i="4"/>
  <c r="BO20" i="4"/>
  <c r="BO21" i="4"/>
  <c r="BO24" i="4" l="1"/>
  <c r="BP16" i="4"/>
  <c r="BO18" i="4"/>
  <c r="BO19" i="4"/>
  <c r="BP23" i="4" l="1"/>
  <c r="BP17" i="4"/>
  <c r="BP22" i="4"/>
  <c r="BP20" i="4"/>
  <c r="BP21" i="4"/>
  <c r="BP24" i="4" l="1"/>
  <c r="BQ16" i="4"/>
  <c r="BP18" i="4"/>
  <c r="BP19" i="4"/>
  <c r="BQ23" i="4" l="1"/>
  <c r="BQ17" i="4"/>
  <c r="BQ20" i="4"/>
  <c r="BQ22" i="4"/>
  <c r="BQ21" i="4"/>
  <c r="BQ24" i="4" l="1"/>
  <c r="BR16" i="4"/>
  <c r="BQ19" i="4"/>
  <c r="BQ18" i="4"/>
  <c r="BR23" i="4" l="1"/>
  <c r="BR17" i="4"/>
  <c r="BR20" i="4"/>
  <c r="BR22" i="4"/>
  <c r="BR21" i="4"/>
  <c r="BR24" i="4" l="1"/>
  <c r="BS16" i="4"/>
  <c r="BR19" i="4"/>
  <c r="BR18" i="4"/>
  <c r="BS23" i="4" l="1"/>
  <c r="BS17" i="4"/>
  <c r="BS20" i="4"/>
  <c r="BS21" i="4"/>
  <c r="BS22" i="4"/>
  <c r="BS24" i="4" l="1"/>
  <c r="BT16" i="4"/>
  <c r="BS19" i="4"/>
  <c r="BS18" i="4"/>
  <c r="BT23" i="4" l="1"/>
  <c r="BT17" i="4"/>
  <c r="BT21" i="4"/>
  <c r="BT22" i="4"/>
  <c r="BT20" i="4"/>
  <c r="BT24" i="4" s="1"/>
  <c r="BU16" i="4" l="1"/>
  <c r="BT19" i="4"/>
  <c r="BT18" i="4"/>
  <c r="BU23" i="4" l="1"/>
  <c r="BU17" i="4"/>
  <c r="BU20" i="4"/>
  <c r="C20" i="4" s="1"/>
  <c r="BU21" i="4"/>
  <c r="BU22" i="4"/>
  <c r="C29" i="4" l="1"/>
  <c r="C21" i="4"/>
  <c r="C30" i="4"/>
  <c r="C22" i="4"/>
  <c r="BU24" i="4"/>
  <c r="C31" i="4" s="1"/>
  <c r="C28" i="4"/>
  <c r="BU19" i="4"/>
  <c r="BU18" i="4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<sst xmlns="http://schemas.openxmlformats.org/spreadsheetml/2006/main" count="646" uniqueCount="226">
  <si>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</si>
  <si>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</si>
  <si>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</si>
  <si>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</si>
  <si>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</si>
  <si>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</si>
  <si>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</si>
  <si>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</si>
  <si>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</si>
  <si>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</si>
  <si>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</si>
  <si>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</si>
  <si>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</si>
  <si>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</si>
  <si>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</si>
  <si>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</si>
  <si>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</si>
  <si>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</si>
  <si>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</si>
  <si>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</si>
  <si>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</si>
  <si>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</si>
  <si>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</si>
  <si>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</si>
  <si>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</si>
  <si>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</si>
  <si>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</si>
  <si>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</si>
  <si>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</si>
  <si>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</si>
  <si>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</si>
  <si>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</si>
  <si>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</si>
  <si>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</si>
  <si>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</si>
  <si>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</si>
  <si>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</si>
  <si>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</si>
  <si>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</si>
  <si>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</si>
  <si>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</si>
  <si>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</si>
  <si>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</si>
  <si>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</si>
  <si>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</si>
  <si>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</si>
  <si>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</si>
  <si>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</si>
  <si>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</si>
  <si>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</si>
  <si>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</si>
  <si>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</si>
  <si>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</si>
  <si>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</si>
  <si>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</si>
  <si>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</si>
  <si>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</si>
  <si>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</si>
  <si>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</si>
  <si>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</si>
  <si>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</si>
  <si>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</si>
  <si>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</si>
  <si>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</si>
  <si>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</si>
  <si>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</si>
  <si>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</si>
  <si>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</si>
  <si>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</si>
  <si>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</si>
  <si>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</si>
  <si>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</si>
  <si>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</si>
  <si>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</si>
  <si>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</si>
  <si>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</si>
  <si>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</si>
  <si>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</si>
  <si>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</si>
  <si>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</si>
  <si>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</si>
  <si>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</si>
  <si>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</si>
  <si>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</si>
  <si>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</si>
  <si>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</si>
  <si>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</si>
  <si>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</si>
  <si>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</si>
  <si>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</si>
  <si>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</si>
  <si>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</si>
  <si>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</si>
  <si>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</si>
  <si>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</si>
  <si>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</si>
  <si>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</si>
  <si>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</si>
  <si>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</si>
  <si>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</si>
  <si>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</si>
  <si>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</si>
  <si>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</si>
  <si>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</si>
  <si>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</si>
  <si>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</si>
  <si>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</si>
  <si>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</si>
  <si>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</si>
  <si>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</si>
  <si>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</si>
  <si>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</si>
  <si>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</si>
  <si>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</si>
  <si>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</si>
  <si>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</si>
  <si>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</si>
  <si>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</si>
  <si>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</si>
  <si>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</si>
  <si>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</si>
  <si>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</si>
  <si>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</si>
  <si>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</si>
  <si>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</si>
  <si>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</si>
  <si>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</si>
  <si>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</si>
  <si>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</si>
  <si>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</si>
  <si>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</si>
  <si>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</si>
  <si>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</si>
  <si>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</si>
  <si>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</si>
  <si>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</si>
  <si>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</si>
  <si>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</si>
  <si>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</si>
  <si>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</si>
  <si>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</si>
  <si>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</si>
  <si>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</si>
  <si>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</si>
  <si>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</si>
  <si>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</si>
  <si>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</si>
  <si>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</si>
  <si>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</si>
  <si>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</si>
  <si>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</si>
  <si>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</si>
  <si>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</si>
  <si>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</si>
  <si>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</si>
  <si>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</si>
  <si>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</si>
  <si>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</si>
  <si>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</si>
  <si>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</si>
  <si>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</si>
  <si>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</si>
  <si>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</si>
  <si>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</si>
  <si>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</si>
  <si>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</si>
  <si>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</si>
  <si>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</si>
  <si>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</si>
  <si>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</si>
  <si>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</si>
  <si>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</si>
  <si>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</si>
  <si>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</si>
  <si>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</si>
  <si>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</si>
  <si>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</si>
  <si>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</si>
  <si>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</si>
  <si>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</si>
  <si>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</si>
  <si>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</si>
  <si>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</si>
  <si>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</si>
  <si>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</si>
  <si>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</si>
  <si>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</si>
  <si>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</si>
  <si>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</si>
  <si>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</si>
  <si>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</si>
  <si>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</si>
  <si>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</si>
  <si>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</si>
  <si>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</si>
  <si>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Debt commitment (provisional)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</si>
  <si>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</si>
  <si>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</si>
  <si>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</si>
  <si>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</si>
  <si>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</si>
  <si>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</si>
  <si>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</si>
  <si>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</si>
  <si>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</si>
  <si>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</si>
  <si>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</si>
  <si>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</si>
  <si>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</si>
  <si>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</si>
  <si>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</si>
  <si>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</si>
  <si>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</si>
  <si>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</si>
  <si>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</si>
  <si>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</si>
  <si>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</si>
  <si>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</si>
  <si>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</si>
  <si>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</si>
  <si>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</si>
  <si>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</si>
  <si>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</si>
  <si>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</si>
  <si>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</si>
  <si>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placeholder, linked in step 2.7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</si>
</sst>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2" ht="18.75" x14ac:dyDescent="0.3">
      <c r="A1" s="1" t="s">
        <v>0</v>
      </c>
    </row>
    <row r="2" spans="1:2" x14ac:dyDescent="0.25">
      <c r="A2" t="s">
        <v>1</v>
      </c>
    </row>
    <row r="4" spans="1:2" x14ac:dyDescent="0.25">
      <c r="A4" s="2" t="s">
        <v>2</v>
      </c>
    </row>
    <row r="5" spans="1:2" x14ac:dyDescent="0.25">
      <c r="A5" s="3" t="s">
        <v>3</v>
      </c>
      <c r="B5" t="s">
        <v>4</v>
      </c>
    </row>
    <row r="6" spans="1:2" x14ac:dyDescent="0.25">
      <c r="A6" t="s">
        <v>5</v>
      </c>
      <c r="B6" t="s">
        <v>6</v>
      </c>
    </row>
    <row r="8" spans="1:2" x14ac:dyDescent="0.25">
      <c r="A8" s="2" t="s">
        <v>7</v>
      </c>
    </row>
    <row r="9" spans="1:2" x14ac:dyDescent="0.25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5" activePane="bottomLeft" state="frozen"/>
      <selection pane="bottomLeft" activeCell="F29" sqref="F29"/>
    </sheetView>
  </sheetViews>
  <sheetFormatPr baseColWidth="10" defaultColWidth="9.140625" defaultRowHeight="15" x14ac:dyDescent="0.2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 x14ac:dyDescent="0.3">
      <c r="A1" s="1" t="s">
        <v>9</v>
      </c>
    </row>
    <row r="2" spans="1:6" x14ac:dyDescent="0.25">
      <c r="A2" t="s">
        <v>10</v>
      </c>
    </row>
    <row r="4" spans="1:6" x14ac:dyDescent="0.25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 x14ac:dyDescent="0.25">
      <c r="A5" s="28" t="s">
        <v>134</v>
      </c>
      <c r="B5" s="33"/>
      <c r="C5" s="29"/>
      <c r="D5" s="29"/>
      <c r="E5" s="29"/>
      <c r="F5" s="29"/>
    </row>
    <row r="6" spans="1:6" x14ac:dyDescent="0.25">
      <c r="A6" t="s">
        <v>17</v>
      </c>
      <c r="B6" s="3">
        <v>2</v>
      </c>
      <c r="C6" t="s">
        <v>128</v>
      </c>
      <c r="D6" t="s">
        <v>131</v>
      </c>
    </row>
    <row r="7" spans="1:6" x14ac:dyDescent="0.25">
      <c r="A7" t="s">
        <v>18</v>
      </c>
      <c r="B7" s="23" t="s">
        <v>129</v>
      </c>
      <c r="C7" t="s">
        <v>130</v>
      </c>
      <c r="D7" t="s">
        <v>131</v>
      </c>
    </row>
    <row r="8" spans="1:6" ht="30" x14ac:dyDescent="0.25">
      <c r="A8" s="25" t="s">
        <v>46</v>
      </c>
      <c r="B8" s="34" t="s">
        <v>133</v>
      </c>
      <c r="D8" s="26" t="s">
        <v>93</v>
      </c>
      <c r="E8" s="27" t="s">
        <v>92</v>
      </c>
      <c r="F8" t="s">
        <v>123</v>
      </c>
    </row>
    <row r="9" spans="1:6" x14ac:dyDescent="0.25">
      <c r="A9" t="s">
        <v>28</v>
      </c>
      <c r="B9" s="3">
        <v>24</v>
      </c>
      <c r="C9" t="s">
        <v>29</v>
      </c>
      <c r="D9" t="s">
        <v>93</v>
      </c>
      <c r="E9" s="15" t="s">
        <v>107</v>
      </c>
      <c r="F9" t="s">
        <v>101</v>
      </c>
    </row>
    <row r="10" spans="1:6" x14ac:dyDescent="0.25">
      <c r="A10" t="s">
        <v>30</v>
      </c>
      <c r="B10" s="3">
        <v>30</v>
      </c>
      <c r="C10" t="s">
        <v>31</v>
      </c>
      <c r="D10" t="s">
        <v>93</v>
      </c>
      <c r="E10" s="15" t="s">
        <v>108</v>
      </c>
      <c r="F10" t="s">
        <v>123</v>
      </c>
    </row>
    <row r="11" spans="1:6" x14ac:dyDescent="0.25">
      <c r="A11" t="s">
        <v>172</v>
      </c>
      <c r="B11" s="42">
        <v>46661</v>
      </c>
      <c r="C11" t="s">
        <v>146</v>
      </c>
      <c r="D11" t="s">
        <v>93</v>
      </c>
      <c r="E11" s="39" t="s">
        <v>92</v>
      </c>
      <c r="F11" t="s">
        <v>144</v>
      </c>
    </row>
    <row r="12" spans="1:6" ht="15.75" x14ac:dyDescent="0.25">
      <c r="A12" s="28" t="s">
        <v>135</v>
      </c>
      <c r="B12" s="33"/>
      <c r="C12" s="29"/>
      <c r="D12" s="31"/>
      <c r="E12" s="32"/>
      <c r="F12" s="29"/>
    </row>
    <row r="13" spans="1:6" x14ac:dyDescent="0.25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 x14ac:dyDescent="0.25">
      <c r="A14" t="s">
        <v>21</v>
      </c>
      <c r="B14" s="3">
        <v>65</v>
      </c>
      <c r="C14" t="s">
        <v>22</v>
      </c>
      <c r="D14" t="s">
        <v>93</v>
      </c>
      <c r="E14" s="15" t="s">
        <v>91</v>
      </c>
      <c r="F14" t="s">
        <v>98</v>
      </c>
    </row>
    <row r="15" spans="1:6" x14ac:dyDescent="0.25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 x14ac:dyDescent="0.25">
      <c r="A16" s="28" t="s">
        <v>136</v>
      </c>
      <c r="B16" s="33"/>
      <c r="C16" s="29"/>
      <c r="D16" s="29"/>
      <c r="E16" s="29"/>
      <c r="F16" s="29"/>
    </row>
    <row r="17" spans="1:6" x14ac:dyDescent="0.25">
      <c r="A17" t="s">
        <v>140</v>
      </c>
      <c r="B17" s="35">
        <v>10</v>
      </c>
      <c r="C17" t="s">
        <v>141</v>
      </c>
      <c r="D17" t="s">
        <v>93</v>
      </c>
      <c r="E17" t="s">
        <v>142</v>
      </c>
      <c r="F17" t="s">
        <v>143</v>
      </c>
    </row>
    <row r="18" spans="1:6" x14ac:dyDescent="0.25">
      <c r="A18" t="s">
        <v>25</v>
      </c>
      <c r="B18" s="3">
        <v>3300</v>
      </c>
      <c r="C18" t="s">
        <v>26</v>
      </c>
      <c r="D18" t="s">
        <v>93</v>
      </c>
      <c r="E18" s="15" t="s">
        <v>109</v>
      </c>
      <c r="F18" t="s">
        <v>101</v>
      </c>
    </row>
    <row r="19" spans="1:6" x14ac:dyDescent="0.25">
      <c r="A19" t="s">
        <v>103</v>
      </c>
      <c r="B19" s="3">
        <v>0</v>
      </c>
      <c r="C19" t="s">
        <v>26</v>
      </c>
      <c r="D19" t="s">
        <v>93</v>
      </c>
      <c r="E19" s="15" t="s">
        <v>108</v>
      </c>
      <c r="F19" t="s">
        <v>101</v>
      </c>
    </row>
    <row r="20" spans="1:6" x14ac:dyDescent="0.25">
      <c r="A20" t="s">
        <v>104</v>
      </c>
      <c r="B20" s="3">
        <v>2024</v>
      </c>
      <c r="C20" t="s">
        <v>105</v>
      </c>
      <c r="D20" t="s">
        <v>106</v>
      </c>
      <c r="E20" s="15" t="s">
        <v>108</v>
      </c>
      <c r="F20" t="s">
        <v>101</v>
      </c>
    </row>
    <row r="21" spans="1:6" x14ac:dyDescent="0.25">
      <c r="A21" t="s">
        <v>102</v>
      </c>
      <c r="B21" s="3">
        <v>0</v>
      </c>
      <c r="C21" t="s">
        <v>20</v>
      </c>
      <c r="D21" t="s">
        <v>93</v>
      </c>
      <c r="E21" s="15" t="s">
        <v>107</v>
      </c>
      <c r="F21" t="s">
        <v>101</v>
      </c>
    </row>
    <row r="22" spans="1:6" x14ac:dyDescent="0.25">
      <c r="A22" s="45" t="s">
        <v>27</v>
      </c>
      <c r="B22" s="21"/>
    </row>
    <row r="23" spans="1:6" x14ac:dyDescent="0.25">
      <c r="A23" t="s">
        <v>188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 x14ac:dyDescent="0.25">
      <c r="A24" t="s">
        <v>189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 x14ac:dyDescent="0.25">
      <c r="A25" t="s">
        <v>190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 x14ac:dyDescent="0.25">
      <c r="A26" t="s">
        <v>191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 x14ac:dyDescent="0.25">
      <c r="A27" t="s">
        <v>110</v>
      </c>
      <c r="B27" s="22">
        <f>SUM(B23:B26)</f>
        <v>1</v>
      </c>
    </row>
    <row r="28" spans="1:6" x14ac:dyDescent="0.25">
      <c r="A28" t="s">
        <v>176</v>
      </c>
      <c r="B28" s="22">
        <v>0.02</v>
      </c>
      <c r="C28" t="s">
        <v>24</v>
      </c>
      <c r="D28" t="s">
        <v>93</v>
      </c>
      <c r="E28" s="15" t="s">
        <v>97</v>
      </c>
      <c r="F28" t="s">
        <v>101</v>
      </c>
    </row>
    <row r="29" spans="1:6" ht="15.75" x14ac:dyDescent="0.25">
      <c r="A29" s="28" t="s">
        <v>137</v>
      </c>
      <c r="B29" s="33"/>
      <c r="C29" s="29"/>
      <c r="D29" s="29"/>
      <c r="E29" s="29"/>
      <c r="F29" s="29"/>
    </row>
    <row r="30" spans="1:6" x14ac:dyDescent="0.25">
      <c r="A30" t="s">
        <v>95</v>
      </c>
      <c r="B30" s="16">
        <v>0.03</v>
      </c>
      <c r="C30" t="s">
        <v>24</v>
      </c>
      <c r="D30" t="s">
        <v>93</v>
      </c>
      <c r="E30" s="15" t="s">
        <v>94</v>
      </c>
      <c r="F30" t="s">
        <v>98</v>
      </c>
    </row>
    <row r="31" spans="1:6" x14ac:dyDescent="0.25">
      <c r="A31" t="s">
        <v>32</v>
      </c>
      <c r="B31" s="3">
        <v>0</v>
      </c>
      <c r="C31" t="s">
        <v>22</v>
      </c>
      <c r="D31" t="s">
        <v>93</v>
      </c>
      <c r="E31" t="s">
        <v>92</v>
      </c>
      <c r="F31" t="s">
        <v>98</v>
      </c>
    </row>
    <row r="32" spans="1:6" x14ac:dyDescent="0.25">
      <c r="A32" t="s">
        <v>33</v>
      </c>
      <c r="B32" s="17">
        <v>0.02</v>
      </c>
      <c r="C32" t="s">
        <v>24</v>
      </c>
      <c r="D32" t="s">
        <v>93</v>
      </c>
      <c r="E32" s="15" t="s">
        <v>97</v>
      </c>
      <c r="F32" t="s">
        <v>98</v>
      </c>
    </row>
    <row r="33" spans="1:20" ht="15.75" x14ac:dyDescent="0.25">
      <c r="A33" s="28" t="s">
        <v>138</v>
      </c>
      <c r="B33" s="33"/>
      <c r="C33" s="29"/>
      <c r="D33" s="29"/>
      <c r="E33" s="30"/>
      <c r="F33" s="29"/>
    </row>
    <row r="34" spans="1:20" x14ac:dyDescent="0.25">
      <c r="A34" t="s">
        <v>34</v>
      </c>
      <c r="B34" s="17">
        <v>0.35</v>
      </c>
      <c r="C34" t="s">
        <v>20</v>
      </c>
      <c r="D34" t="s">
        <v>93</v>
      </c>
      <c r="E34" s="15" t="s">
        <v>132</v>
      </c>
      <c r="F34" t="s">
        <v>123</v>
      </c>
    </row>
    <row r="35" spans="1:20" x14ac:dyDescent="0.25">
      <c r="A35" t="s">
        <v>35</v>
      </c>
      <c r="B35" s="3"/>
    </row>
    <row r="36" spans="1:20" x14ac:dyDescent="0.25">
      <c r="A36" t="s">
        <v>124</v>
      </c>
      <c r="B36" s="16">
        <v>0.5</v>
      </c>
      <c r="C36" t="s">
        <v>20</v>
      </c>
      <c r="D36" t="s">
        <v>93</v>
      </c>
      <c r="E36" s="15" t="s">
        <v>108</v>
      </c>
      <c r="F36" t="s">
        <v>123</v>
      </c>
    </row>
    <row r="37" spans="1:20" x14ac:dyDescent="0.25">
      <c r="A37" t="s">
        <v>125</v>
      </c>
      <c r="B37" s="3">
        <v>50</v>
      </c>
      <c r="C37" t="s">
        <v>31</v>
      </c>
      <c r="D37" t="s">
        <v>93</v>
      </c>
      <c r="E37" s="15" t="s">
        <v>132</v>
      </c>
      <c r="F37" t="s">
        <v>123</v>
      </c>
    </row>
    <row r="38" spans="1:20" x14ac:dyDescent="0.25">
      <c r="A38" t="s">
        <v>126</v>
      </c>
      <c r="B38" s="3">
        <v>10</v>
      </c>
      <c r="C38" t="s">
        <v>31</v>
      </c>
      <c r="D38" t="s">
        <v>93</v>
      </c>
      <c r="E38" s="15" t="s">
        <v>132</v>
      </c>
      <c r="F38" t="s">
        <v>123</v>
      </c>
    </row>
    <row r="39" spans="1:20" x14ac:dyDescent="0.25">
      <c r="A39" t="s">
        <v>127</v>
      </c>
      <c r="B39" s="3">
        <v>5</v>
      </c>
      <c r="C39" t="s">
        <v>31</v>
      </c>
      <c r="D39" t="s">
        <v>93</v>
      </c>
      <c r="E39" s="15" t="s">
        <v>132</v>
      </c>
      <c r="F39" t="s">
        <v>123</v>
      </c>
    </row>
    <row r="40" spans="1:20" ht="15.75" x14ac:dyDescent="0.25">
      <c r="A40" s="28" t="s">
        <v>139</v>
      </c>
      <c r="B40" s="33"/>
      <c r="C40" s="29"/>
      <c r="D40" s="29"/>
      <c r="E40" s="30"/>
      <c r="F40" s="29"/>
    </row>
    <row r="41" spans="1:20" x14ac:dyDescent="0.25">
      <c r="A41" t="s">
        <v>36</v>
      </c>
      <c r="B41" s="3">
        <v>12</v>
      </c>
      <c r="C41" t="s">
        <v>31</v>
      </c>
      <c r="D41" t="s">
        <v>93</v>
      </c>
      <c r="E41" s="15" t="s">
        <v>114</v>
      </c>
      <c r="F41" t="s">
        <v>122</v>
      </c>
    </row>
    <row r="42" spans="1:20" x14ac:dyDescent="0.25">
      <c r="A42" t="s">
        <v>37</v>
      </c>
      <c r="B42" s="17">
        <v>0.09</v>
      </c>
      <c r="C42" t="s">
        <v>24</v>
      </c>
      <c r="D42" t="s">
        <v>93</v>
      </c>
      <c r="E42" s="15" t="s">
        <v>113</v>
      </c>
      <c r="F42" t="s">
        <v>122</v>
      </c>
    </row>
    <row r="43" spans="1:20" x14ac:dyDescent="0.25">
      <c r="A43" t="s">
        <v>111</v>
      </c>
      <c r="B43" s="24">
        <f>B42/2</f>
        <v>4.4999999999999998E-2</v>
      </c>
      <c r="C43" t="s">
        <v>112</v>
      </c>
      <c r="D43" t="s">
        <v>131</v>
      </c>
      <c r="E43" t="s">
        <v>92</v>
      </c>
      <c r="F43" t="s">
        <v>122</v>
      </c>
    </row>
    <row r="44" spans="1:20" x14ac:dyDescent="0.25">
      <c r="A44" t="s">
        <v>120</v>
      </c>
      <c r="B44" s="3">
        <v>0</v>
      </c>
      <c r="C44" t="s">
        <v>121</v>
      </c>
      <c r="D44" t="s">
        <v>93</v>
      </c>
      <c r="E44" t="s">
        <v>92</v>
      </c>
      <c r="F44" t="s">
        <v>122</v>
      </c>
    </row>
    <row r="45" spans="1:20" x14ac:dyDescent="0.25">
      <c r="A45" t="s">
        <v>38</v>
      </c>
      <c r="B45" s="3">
        <v>1.35</v>
      </c>
      <c r="C45" t="s">
        <v>39</v>
      </c>
      <c r="D45" t="s">
        <v>93</v>
      </c>
      <c r="E45" s="15" t="s">
        <v>115</v>
      </c>
      <c r="F45" t="s">
        <v>122</v>
      </c>
    </row>
    <row r="46" spans="1:20" x14ac:dyDescent="0.25">
      <c r="A46" t="s">
        <v>40</v>
      </c>
      <c r="B46" s="3">
        <v>1.2</v>
      </c>
      <c r="C46" t="s">
        <v>39</v>
      </c>
      <c r="D46" t="s">
        <v>93</v>
      </c>
      <c r="E46" s="15" t="s">
        <v>116</v>
      </c>
      <c r="F46" t="s">
        <v>122</v>
      </c>
    </row>
    <row r="47" spans="1:20" x14ac:dyDescent="0.25">
      <c r="A47" t="s">
        <v>41</v>
      </c>
      <c r="B47" s="3">
        <v>1.1000000000000001</v>
      </c>
      <c r="C47" t="s">
        <v>39</v>
      </c>
      <c r="D47" t="s">
        <v>93</v>
      </c>
      <c r="E47" s="15" t="s">
        <v>115</v>
      </c>
      <c r="F47" t="s">
        <v>122</v>
      </c>
    </row>
    <row r="48" spans="1:20" x14ac:dyDescent="0.25">
      <c r="A48" t="s">
        <v>42</v>
      </c>
      <c r="B48" s="17">
        <v>0.7</v>
      </c>
      <c r="C48" t="s">
        <v>20</v>
      </c>
      <c r="D48" t="s">
        <v>93</v>
      </c>
      <c r="E48" s="15" t="s">
        <v>117</v>
      </c>
      <c r="F48" t="s">
        <v>122</v>
      </c>
      <c r="M48" s="12"/>
      <c r="T48" s="12"/>
    </row>
    <row r="49" spans="1:6" x14ac:dyDescent="0.25">
      <c r="A49" t="s">
        <v>43</v>
      </c>
      <c r="B49" s="3">
        <v>6</v>
      </c>
      <c r="C49" t="s">
        <v>29</v>
      </c>
      <c r="D49" t="s">
        <v>93</v>
      </c>
      <c r="E49" s="15" t="s">
        <v>118</v>
      </c>
      <c r="F49" t="s">
        <v>122</v>
      </c>
    </row>
    <row r="50" spans="1:6" x14ac:dyDescent="0.25">
      <c r="A50" t="s">
        <v>44</v>
      </c>
      <c r="B50" s="17">
        <v>1.4999999999999999E-2</v>
      </c>
      <c r="C50" t="s">
        <v>20</v>
      </c>
      <c r="D50" t="s">
        <v>93</v>
      </c>
      <c r="E50" s="15" t="s">
        <v>119</v>
      </c>
      <c r="F50" t="s">
        <v>122</v>
      </c>
    </row>
    <row r="51" spans="1:6" x14ac:dyDescent="0.25">
      <c r="A51" t="s">
        <v>45</v>
      </c>
      <c r="B51" s="17">
        <v>5.0000000000000001E-3</v>
      </c>
      <c r="C51" t="s">
        <v>20</v>
      </c>
      <c r="D51" t="s">
        <v>93</v>
      </c>
      <c r="E51" s="15" t="s">
        <v>119</v>
      </c>
      <c r="F51" t="s">
        <v>122</v>
      </c>
    </row>
    <row r="53" spans="1:6" x14ac:dyDescent="0.25">
      <c r="E53" s="11"/>
    </row>
    <row r="56" spans="1:6" x14ac:dyDescent="0.25">
      <c r="E56" s="12"/>
    </row>
  </sheetData>
  <hyperlinks>
    <hyperlink ref="E14" r:id="rId1"/>
    <hyperlink ref="E30" r:id="rId2"/>
    <hyperlink ref="E32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1" r:id="rId9"/>
    <hyperlink ref="E42" r:id="rId10"/>
    <hyperlink ref="E45" r:id="rId11"/>
    <hyperlink ref="E46" r:id="rId12"/>
    <hyperlink ref="E47" r:id="rId13"/>
    <hyperlink ref="E48" r:id="rId14"/>
    <hyperlink ref="E49" r:id="rId15"/>
    <hyperlink ref="E50" r:id="rId16"/>
    <hyperlink ref="E51" r:id="rId17"/>
    <hyperlink ref="E10" r:id="rId18" display="RENEWABLE POWER GENERATION COSTS IN 2024"/>
    <hyperlink ref="E34" r:id="rId19"/>
    <hyperlink ref="E36" r:id="rId20" display="RENEWABLE POWER GENERATION COSTS IN 2024"/>
    <hyperlink ref="E37" r:id="rId21"/>
    <hyperlink ref="E38" r:id="rId22"/>
    <hyperlink ref="E39" r:id="rId23"/>
    <hyperlink ref="E28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C4" zoomScale="70" zoomScaleNormal="70" workbookViewId="0">
      <selection activeCell="Q26" sqref="Q26"/>
    </sheetView>
  </sheetViews>
  <sheetFormatPr baseColWidth="10" defaultColWidth="9.140625" defaultRowHeight="15" x14ac:dyDescent="0.25"/>
  <cols>
    <col min="1" max="1" width="12.5703125" customWidth="1"/>
    <col min="2" max="2" width="17" customWidth="1"/>
    <col min="3" max="3" width="19.5703125" customWidth="1"/>
    <col min="4" max="4" width="20" customWidth="1"/>
    <col min="5" max="5" width="17.5703125" customWidth="1"/>
    <col min="6" max="6" width="20" customWidth="1"/>
    <col min="7" max="7" width="8.7109375" customWidth="1"/>
    <col min="8" max="8" width="13.140625" customWidth="1"/>
    <col min="11" max="11" width="25.28515625" customWidth="1"/>
    <col min="12" max="12" width="11.42578125" customWidth="1"/>
    <col min="13" max="13" width="13.85546875" customWidth="1"/>
    <col min="14" max="14" width="22.85546875" customWidth="1"/>
    <col min="15" max="15" width="18.140625" customWidth="1"/>
    <col min="16" max="16" width="14" customWidth="1"/>
  </cols>
  <sheetData>
    <row r="1" spans="1:16" ht="18.75" x14ac:dyDescent="0.3">
      <c r="A1" s="1" t="s">
        <v>47</v>
      </c>
      <c r="B1" s="1"/>
    </row>
    <row r="2" spans="1:16" x14ac:dyDescent="0.25">
      <c r="A2" t="s">
        <v>68</v>
      </c>
    </row>
    <row r="4" spans="1:16" x14ac:dyDescent="0.25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 x14ac:dyDescent="0.25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 x14ac:dyDescent="0.25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 x14ac:dyDescent="0.25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 x14ac:dyDescent="0.25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 x14ac:dyDescent="0.25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 x14ac:dyDescent="0.25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 x14ac:dyDescent="0.25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 x14ac:dyDescent="0.25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 x14ac:dyDescent="0.25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 x14ac:dyDescent="0.25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 x14ac:dyDescent="0.25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82</v>
      </c>
      <c r="M15" s="9" t="s">
        <v>83</v>
      </c>
      <c r="N15" s="9" t="s">
        <v>85</v>
      </c>
    </row>
    <row r="16" spans="1:16" x14ac:dyDescent="0.25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 x14ac:dyDescent="0.2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 x14ac:dyDescent="0.2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 x14ac:dyDescent="0.2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 x14ac:dyDescent="0.2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 x14ac:dyDescent="0.2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 x14ac:dyDescent="0.2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 x14ac:dyDescent="0.2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 x14ac:dyDescent="0.2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 x14ac:dyDescent="0.2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 x14ac:dyDescent="0.2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 x14ac:dyDescent="0.2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 x14ac:dyDescent="0.2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 x14ac:dyDescent="0.2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 x14ac:dyDescent="0.2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 x14ac:dyDescent="0.2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 x14ac:dyDescent="0.2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 x14ac:dyDescent="0.25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 x14ac:dyDescent="0.25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 x14ac:dyDescent="0.25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 x14ac:dyDescent="0.25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 x14ac:dyDescent="0.25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 x14ac:dyDescent="0.25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 x14ac:dyDescent="0.25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 x14ac:dyDescent="0.25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 x14ac:dyDescent="0.25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 x14ac:dyDescent="0.25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 x14ac:dyDescent="0.25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 x14ac:dyDescent="0.25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 x14ac:dyDescent="0.25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 x14ac:dyDescent="0.25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 x14ac:dyDescent="0.25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 x14ac:dyDescent="0.25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 x14ac:dyDescent="0.25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 x14ac:dyDescent="0.25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 x14ac:dyDescent="0.25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 x14ac:dyDescent="0.25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 x14ac:dyDescent="0.25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 x14ac:dyDescent="0.25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 x14ac:dyDescent="0.25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 x14ac:dyDescent="0.25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 x14ac:dyDescent="0.25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 x14ac:dyDescent="0.25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 x14ac:dyDescent="0.25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 x14ac:dyDescent="0.25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 x14ac:dyDescent="0.25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 x14ac:dyDescent="0.25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 x14ac:dyDescent="0.25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 x14ac:dyDescent="0.25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 x14ac:dyDescent="0.25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 x14ac:dyDescent="0.25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 x14ac:dyDescent="0.25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 x14ac:dyDescent="0.25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 x14ac:dyDescent="0.25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 x14ac:dyDescent="0.25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 x14ac:dyDescent="0.25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 x14ac:dyDescent="0.25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 x14ac:dyDescent="0.25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 x14ac:dyDescent="0.25">
      <c r="C74" s="5"/>
      <c r="D74" s="5"/>
      <c r="E74" s="5"/>
      <c r="F74" s="5"/>
    </row>
    <row r="75" spans="1:10" x14ac:dyDescent="0.25">
      <c r="I75" s="11"/>
    </row>
    <row r="77" spans="1:10" x14ac:dyDescent="0.25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 x14ac:dyDescent="0.25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 x14ac:dyDescent="0.25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 x14ac:dyDescent="0.25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 x14ac:dyDescent="0.25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 x14ac:dyDescent="0.25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 x14ac:dyDescent="0.25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 x14ac:dyDescent="0.25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 x14ac:dyDescent="0.25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 x14ac:dyDescent="0.25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 x14ac:dyDescent="0.25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 x14ac:dyDescent="0.25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 x14ac:dyDescent="0.25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 x14ac:dyDescent="0.25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 x14ac:dyDescent="0.25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 x14ac:dyDescent="0.25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 x14ac:dyDescent="0.25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 x14ac:dyDescent="0.25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 x14ac:dyDescent="0.25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 x14ac:dyDescent="0.25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 x14ac:dyDescent="0.25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 x14ac:dyDescent="0.25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 x14ac:dyDescent="0.25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 x14ac:dyDescent="0.25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 x14ac:dyDescent="0.25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 x14ac:dyDescent="0.25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 x14ac:dyDescent="0.25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 x14ac:dyDescent="0.25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 x14ac:dyDescent="0.25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 x14ac:dyDescent="0.25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 x14ac:dyDescent="0.25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 x14ac:dyDescent="0.25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 x14ac:dyDescent="0.25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 x14ac:dyDescent="0.25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 x14ac:dyDescent="0.25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 x14ac:dyDescent="0.25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 x14ac:dyDescent="0.25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 x14ac:dyDescent="0.25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 x14ac:dyDescent="0.25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 x14ac:dyDescent="0.25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 x14ac:dyDescent="0.25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 x14ac:dyDescent="0.25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 x14ac:dyDescent="0.25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 x14ac:dyDescent="0.25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 x14ac:dyDescent="0.25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 x14ac:dyDescent="0.25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 x14ac:dyDescent="0.25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 x14ac:dyDescent="0.25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 x14ac:dyDescent="0.25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 x14ac:dyDescent="0.25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 x14ac:dyDescent="0.25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 x14ac:dyDescent="0.25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 x14ac:dyDescent="0.25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 x14ac:dyDescent="0.25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 x14ac:dyDescent="0.25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 x14ac:dyDescent="0.25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 x14ac:dyDescent="0.25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 x14ac:dyDescent="0.25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 x14ac:dyDescent="0.25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 x14ac:dyDescent="0.25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 x14ac:dyDescent="0.25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 x14ac:dyDescent="0.25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 x14ac:dyDescent="0.25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 x14ac:dyDescent="0.25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 x14ac:dyDescent="0.25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 x14ac:dyDescent="0.25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 x14ac:dyDescent="0.25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 x14ac:dyDescent="0.25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 x14ac:dyDescent="0.25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 x14ac:dyDescent="0.25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 x14ac:dyDescent="0.25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 x14ac:dyDescent="0.25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 x14ac:dyDescent="0.25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 x14ac:dyDescent="0.25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 x14ac:dyDescent="0.25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 x14ac:dyDescent="0.25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 x14ac:dyDescent="0.25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 x14ac:dyDescent="0.25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 x14ac:dyDescent="0.25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 x14ac:dyDescent="0.25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 x14ac:dyDescent="0.25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 x14ac:dyDescent="0.25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 x14ac:dyDescent="0.25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 x14ac:dyDescent="0.25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 x14ac:dyDescent="0.25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 x14ac:dyDescent="0.25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 x14ac:dyDescent="0.25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 x14ac:dyDescent="0.25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 x14ac:dyDescent="0.25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 x14ac:dyDescent="0.25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 x14ac:dyDescent="0.25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 x14ac:dyDescent="0.25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 x14ac:dyDescent="0.25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 x14ac:dyDescent="0.25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 x14ac:dyDescent="0.25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 x14ac:dyDescent="0.25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 x14ac:dyDescent="0.25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 x14ac:dyDescent="0.25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 x14ac:dyDescent="0.25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 x14ac:dyDescent="0.25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 x14ac:dyDescent="0.25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 x14ac:dyDescent="0.25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 x14ac:dyDescent="0.25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 x14ac:dyDescent="0.25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 x14ac:dyDescent="0.25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 x14ac:dyDescent="0.25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 x14ac:dyDescent="0.25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 x14ac:dyDescent="0.25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 x14ac:dyDescent="0.25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 x14ac:dyDescent="0.25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 x14ac:dyDescent="0.25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 x14ac:dyDescent="0.25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 x14ac:dyDescent="0.25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 x14ac:dyDescent="0.25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 x14ac:dyDescent="0.25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 x14ac:dyDescent="0.25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 x14ac:dyDescent="0.25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 x14ac:dyDescent="0.25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 x14ac:dyDescent="0.25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 x14ac:dyDescent="0.25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 x14ac:dyDescent="0.25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 x14ac:dyDescent="0.25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 x14ac:dyDescent="0.25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 x14ac:dyDescent="0.25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 x14ac:dyDescent="0.25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 x14ac:dyDescent="0.25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 x14ac:dyDescent="0.25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 x14ac:dyDescent="0.25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 x14ac:dyDescent="0.25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 x14ac:dyDescent="0.25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 x14ac:dyDescent="0.25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 x14ac:dyDescent="0.25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 x14ac:dyDescent="0.25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 x14ac:dyDescent="0.25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 x14ac:dyDescent="0.25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 x14ac:dyDescent="0.25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 x14ac:dyDescent="0.25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 x14ac:dyDescent="0.25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 x14ac:dyDescent="0.25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 x14ac:dyDescent="0.25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1"/>
  <sheetViews>
    <sheetView zoomScale="85" zoomScaleNormal="85" workbookViewId="0">
      <selection activeCell="E38" sqref="E38"/>
    </sheetView>
  </sheetViews>
  <sheetFormatPr baseColWidth="10" defaultColWidth="9.140625" defaultRowHeight="15" x14ac:dyDescent="0.2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 x14ac:dyDescent="0.3">
      <c r="A1" s="1" t="s">
        <v>48</v>
      </c>
      <c r="B1" s="1"/>
      <c r="C1" s="1"/>
      <c r="D1" s="1"/>
      <c r="E1" s="1"/>
    </row>
    <row r="2" spans="1:75" x14ac:dyDescent="0.25">
      <c r="A2" t="s">
        <v>49</v>
      </c>
    </row>
    <row r="5" spans="1:75" ht="15.75" x14ac:dyDescent="0.25">
      <c r="A5" s="50" t="s">
        <v>169</v>
      </c>
      <c r="B5" s="50"/>
      <c r="C5" s="50"/>
      <c r="D5" s="43"/>
      <c r="E5" s="43"/>
      <c r="F5" s="43"/>
      <c r="G5" s="43"/>
    </row>
    <row r="6" spans="1:75" x14ac:dyDescent="0.2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 x14ac:dyDescent="0.25">
      <c r="A7" t="s">
        <v>172</v>
      </c>
      <c r="B7" t="s">
        <v>146</v>
      </c>
      <c r="C7" s="6">
        <f>Inputs!B11</f>
        <v>46661</v>
      </c>
    </row>
    <row r="8" spans="1:75" x14ac:dyDescent="0.25">
      <c r="A8" t="s">
        <v>147</v>
      </c>
      <c r="B8" t="s">
        <v>146</v>
      </c>
      <c r="C8" s="6">
        <f>EDATE(C7, Inputs!B9)</f>
        <v>47392</v>
      </c>
    </row>
    <row r="9" spans="1:75" x14ac:dyDescent="0.25">
      <c r="A9" t="s">
        <v>148</v>
      </c>
      <c r="B9" t="s">
        <v>146</v>
      </c>
      <c r="C9" s="6">
        <f>EDATE(C8, Inputs!B44*6)</f>
        <v>47392</v>
      </c>
    </row>
    <row r="10" spans="1:75" x14ac:dyDescent="0.25">
      <c r="A10" t="s">
        <v>149</v>
      </c>
      <c r="B10" t="s">
        <v>146</v>
      </c>
      <c r="C10" s="6">
        <f>EDATE(C8,Inputs!B41*12)</f>
        <v>51775</v>
      </c>
    </row>
    <row r="11" spans="1:75" x14ac:dyDescent="0.25">
      <c r="A11" t="s">
        <v>150</v>
      </c>
      <c r="B11" t="s">
        <v>146</v>
      </c>
      <c r="C11" s="6">
        <f>EDATE(C8,Inputs!B10*12)</f>
        <v>58349</v>
      </c>
    </row>
    <row r="14" spans="1:75" ht="15.75" x14ac:dyDescent="0.25">
      <c r="A14" s="50" t="s">
        <v>170</v>
      </c>
      <c r="B14" s="50"/>
      <c r="C14" s="50"/>
      <c r="D14" s="50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 x14ac:dyDescent="0.2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 x14ac:dyDescent="0.2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 x14ac:dyDescent="0.25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 x14ac:dyDescent="0.25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 x14ac:dyDescent="0.25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 x14ac:dyDescent="0.25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 x14ac:dyDescent="0.25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 x14ac:dyDescent="0.25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 x14ac:dyDescent="0.25">
      <c r="A23" t="s">
        <v>159</v>
      </c>
      <c r="B23" t="s">
        <v>31</v>
      </c>
      <c r="C23" t="s">
        <v>131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 x14ac:dyDescent="0.25">
      <c r="A24" t="s">
        <v>166</v>
      </c>
      <c r="B24" t="s">
        <v>165</v>
      </c>
      <c r="C24" t="s">
        <v>131</v>
      </c>
      <c r="D24">
        <f>IF(D20+D21&gt;1,1,0)</f>
        <v>0</v>
      </c>
      <c r="E24">
        <f>IF(E20+E21&gt;1,1,0)</f>
        <v>0</v>
      </c>
      <c r="F24">
        <f t="shared" ref="F24:BQ24" si="19">IF(F20+F21&gt;1,1,0)</f>
        <v>0</v>
      </c>
      <c r="G24">
        <f t="shared" si="19"/>
        <v>0</v>
      </c>
      <c r="H24" s="21">
        <f t="shared" si="19"/>
        <v>0</v>
      </c>
      <c r="I24" s="21">
        <f t="shared" si="19"/>
        <v>0</v>
      </c>
      <c r="J24" s="21">
        <f t="shared" si="19"/>
        <v>0</v>
      </c>
      <c r="K24" s="21">
        <f t="shared" si="19"/>
        <v>0</v>
      </c>
      <c r="L24" s="21">
        <f t="shared" si="19"/>
        <v>0</v>
      </c>
      <c r="M24" s="21">
        <f t="shared" si="19"/>
        <v>0</v>
      </c>
      <c r="N24" s="21">
        <f t="shared" si="19"/>
        <v>0</v>
      </c>
      <c r="O24" s="21">
        <f t="shared" si="19"/>
        <v>0</v>
      </c>
      <c r="P24" s="21">
        <f t="shared" si="19"/>
        <v>0</v>
      </c>
      <c r="Q24" s="21">
        <f t="shared" si="19"/>
        <v>0</v>
      </c>
      <c r="R24" s="21">
        <f t="shared" si="19"/>
        <v>0</v>
      </c>
      <c r="S24" s="21">
        <f t="shared" si="19"/>
        <v>0</v>
      </c>
      <c r="T24" s="21">
        <f t="shared" si="19"/>
        <v>0</v>
      </c>
      <c r="U24" s="21">
        <f t="shared" si="19"/>
        <v>0</v>
      </c>
      <c r="V24" s="21">
        <f t="shared" si="19"/>
        <v>0</v>
      </c>
      <c r="W24" s="21">
        <f t="shared" si="19"/>
        <v>0</v>
      </c>
      <c r="X24" s="21">
        <f t="shared" si="19"/>
        <v>0</v>
      </c>
      <c r="Y24" s="21">
        <f t="shared" si="19"/>
        <v>0</v>
      </c>
      <c r="Z24" s="21">
        <f t="shared" si="19"/>
        <v>0</v>
      </c>
      <c r="AA24" s="21">
        <f t="shared" si="19"/>
        <v>0</v>
      </c>
      <c r="AB24" s="21">
        <f t="shared" si="19"/>
        <v>0</v>
      </c>
      <c r="AC24" s="21">
        <f t="shared" si="19"/>
        <v>0</v>
      </c>
      <c r="AD24" s="21">
        <f t="shared" si="19"/>
        <v>0</v>
      </c>
      <c r="AE24" s="21">
        <f t="shared" si="19"/>
        <v>0</v>
      </c>
      <c r="AF24" s="21">
        <f t="shared" si="19"/>
        <v>0</v>
      </c>
      <c r="AG24" s="21">
        <f t="shared" si="19"/>
        <v>0</v>
      </c>
      <c r="AH24" s="21">
        <f t="shared" si="19"/>
        <v>0</v>
      </c>
      <c r="AI24" s="21">
        <f t="shared" si="19"/>
        <v>0</v>
      </c>
      <c r="AJ24" s="21">
        <f t="shared" si="19"/>
        <v>0</v>
      </c>
      <c r="AK24" s="21">
        <f t="shared" si="19"/>
        <v>0</v>
      </c>
      <c r="AL24" s="21">
        <f t="shared" si="19"/>
        <v>0</v>
      </c>
      <c r="AM24" s="21">
        <f t="shared" si="19"/>
        <v>0</v>
      </c>
      <c r="AN24" s="21">
        <f t="shared" si="19"/>
        <v>0</v>
      </c>
      <c r="AO24" s="21">
        <f t="shared" si="19"/>
        <v>0</v>
      </c>
      <c r="AP24" s="21">
        <f t="shared" si="19"/>
        <v>0</v>
      </c>
      <c r="AQ24" s="21">
        <f t="shared" si="19"/>
        <v>0</v>
      </c>
      <c r="AR24" s="21">
        <f t="shared" si="19"/>
        <v>0</v>
      </c>
      <c r="AS24" s="21">
        <f t="shared" si="19"/>
        <v>0</v>
      </c>
      <c r="AT24" s="21">
        <f t="shared" si="19"/>
        <v>0</v>
      </c>
      <c r="AU24" s="21">
        <f t="shared" si="19"/>
        <v>0</v>
      </c>
      <c r="AV24" s="21">
        <f t="shared" si="19"/>
        <v>0</v>
      </c>
      <c r="AW24" s="21">
        <f t="shared" si="19"/>
        <v>0</v>
      </c>
      <c r="AX24" s="21">
        <f t="shared" si="19"/>
        <v>0</v>
      </c>
      <c r="AY24" s="21">
        <f t="shared" si="19"/>
        <v>0</v>
      </c>
      <c r="AZ24" s="21">
        <f t="shared" si="19"/>
        <v>0</v>
      </c>
      <c r="BA24" s="21">
        <f t="shared" si="19"/>
        <v>0</v>
      </c>
      <c r="BB24" s="21">
        <f t="shared" si="19"/>
        <v>0</v>
      </c>
      <c r="BC24" s="21">
        <f t="shared" si="19"/>
        <v>0</v>
      </c>
      <c r="BD24" s="21">
        <f t="shared" si="19"/>
        <v>0</v>
      </c>
      <c r="BE24" s="21">
        <f t="shared" si="19"/>
        <v>0</v>
      </c>
      <c r="BF24" s="21">
        <f t="shared" si="19"/>
        <v>0</v>
      </c>
      <c r="BG24" s="21">
        <f t="shared" si="19"/>
        <v>0</v>
      </c>
      <c r="BH24" s="21">
        <f t="shared" si="19"/>
        <v>0</v>
      </c>
      <c r="BI24" s="21">
        <f t="shared" si="19"/>
        <v>0</v>
      </c>
      <c r="BJ24" s="21">
        <f t="shared" si="19"/>
        <v>0</v>
      </c>
      <c r="BK24" s="21">
        <f t="shared" si="19"/>
        <v>0</v>
      </c>
      <c r="BL24" s="21">
        <f t="shared" si="19"/>
        <v>0</v>
      </c>
      <c r="BM24" s="21">
        <f t="shared" si="19"/>
        <v>0</v>
      </c>
      <c r="BN24" s="21">
        <f t="shared" si="19"/>
        <v>0</v>
      </c>
      <c r="BO24" s="21">
        <f t="shared" si="19"/>
        <v>0</v>
      </c>
      <c r="BP24" s="21">
        <f t="shared" si="19"/>
        <v>0</v>
      </c>
      <c r="BQ24" s="21">
        <f t="shared" si="19"/>
        <v>0</v>
      </c>
      <c r="BR24" s="21">
        <f t="shared" ref="BR24:BU24" si="20">IF(BR20+BR21&gt;1,1,0)</f>
        <v>0</v>
      </c>
      <c r="BS24" s="21">
        <f t="shared" si="20"/>
        <v>0</v>
      </c>
      <c r="BT24" s="21">
        <f t="shared" si="20"/>
        <v>0</v>
      </c>
      <c r="BU24" s="21">
        <f t="shared" si="20"/>
        <v>0</v>
      </c>
    </row>
    <row r="26" spans="1:73" ht="15.75" x14ac:dyDescent="0.25">
      <c r="A26" s="50" t="s">
        <v>171</v>
      </c>
      <c r="B26" s="50"/>
      <c r="C26" s="50"/>
      <c r="D26" s="50"/>
      <c r="E26" s="41"/>
      <c r="F26" s="41"/>
      <c r="G26" s="41"/>
    </row>
    <row r="27" spans="1:73" x14ac:dyDescent="0.25">
      <c r="A27" t="s">
        <v>168</v>
      </c>
      <c r="B27" t="s">
        <v>13</v>
      </c>
      <c r="C27" t="s">
        <v>164</v>
      </c>
    </row>
    <row r="28" spans="1:73" x14ac:dyDescent="0.25">
      <c r="A28" s="12" t="s">
        <v>160</v>
      </c>
      <c r="B28" t="s">
        <v>165</v>
      </c>
      <c r="C28">
        <f>SUM(D20:BU20)-Inputs!B9/6</f>
        <v>0</v>
      </c>
      <c r="D28" s="37" t="s">
        <v>167</v>
      </c>
      <c r="E28" s="12"/>
    </row>
    <row r="29" spans="1:73" x14ac:dyDescent="0.25">
      <c r="A29" s="12" t="s">
        <v>161</v>
      </c>
      <c r="B29" t="s">
        <v>165</v>
      </c>
      <c r="C29">
        <f>SUM(D21:BU21)-Inputs!B10*2</f>
        <v>0</v>
      </c>
      <c r="D29" s="37" t="s">
        <v>167</v>
      </c>
      <c r="E29" s="12"/>
    </row>
    <row r="30" spans="1:73" x14ac:dyDescent="0.25">
      <c r="A30" s="12" t="s">
        <v>162</v>
      </c>
      <c r="B30" t="s">
        <v>165</v>
      </c>
      <c r="C30">
        <f>SUM(D22:BU22)-Inputs!B41*2</f>
        <v>0</v>
      </c>
      <c r="D30" s="37" t="s">
        <v>167</v>
      </c>
      <c r="E30" s="12"/>
    </row>
    <row r="31" spans="1:73" x14ac:dyDescent="0.25">
      <c r="A31" s="12" t="s">
        <v>163</v>
      </c>
      <c r="B31" t="s">
        <v>165</v>
      </c>
      <c r="C31">
        <f>SUM(D24:BU24)</f>
        <v>0</v>
      </c>
      <c r="D31" s="37" t="s">
        <v>167</v>
      </c>
      <c r="E31" s="12"/>
    </row>
  </sheetData>
  <mergeCells count="3">
    <mergeCell ref="A26:D26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1"/>
  <sheetViews>
    <sheetView tabSelected="1" topLeftCell="A17" zoomScale="85" zoomScaleNormal="85" workbookViewId="0">
      <pane xSplit="3" topLeftCell="D1" activePane="topRight" state="frozen"/>
      <selection pane="topRight" activeCell="F48" sqref="F48"/>
    </sheetView>
  </sheetViews>
  <sheetFormatPr baseColWidth="10" defaultColWidth="9.140625" defaultRowHeight="15" x14ac:dyDescent="0.2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 x14ac:dyDescent="0.3">
      <c r="A1" s="1" t="s">
        <v>50</v>
      </c>
    </row>
    <row r="2" spans="1:74" x14ac:dyDescent="0.25">
      <c r="A2" t="s">
        <v>51</v>
      </c>
    </row>
    <row r="4" spans="1:74" ht="15.75" x14ac:dyDescent="0.25">
      <c r="A4" s="50" t="s">
        <v>192</v>
      </c>
      <c r="B4" s="50"/>
      <c r="C4" s="50"/>
    </row>
    <row r="5" spans="1:74" x14ac:dyDescent="0.25">
      <c r="A5" t="s">
        <v>145</v>
      </c>
      <c r="B5" t="s">
        <v>13</v>
      </c>
      <c r="C5" t="s">
        <v>187</v>
      </c>
    </row>
    <row r="6" spans="1:74" x14ac:dyDescent="0.25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 x14ac:dyDescent="0.25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 x14ac:dyDescent="0.25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 x14ac:dyDescent="0.25">
      <c r="A9" s="50" t="s">
        <v>193</v>
      </c>
      <c r="B9" s="50"/>
      <c r="C9" s="50"/>
    </row>
    <row r="10" spans="1:74" x14ac:dyDescent="0.25">
      <c r="A10" t="s">
        <v>186</v>
      </c>
      <c r="B10" t="s">
        <v>184</v>
      </c>
      <c r="C10">
        <f>Inputs!$B$17*1000*Inputs!$B$18</f>
        <v>33000000</v>
      </c>
    </row>
    <row r="11" spans="1:74" x14ac:dyDescent="0.25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 x14ac:dyDescent="0.25">
      <c r="A12" t="s">
        <v>178</v>
      </c>
      <c r="B12" t="s">
        <v>20</v>
      </c>
      <c r="C12">
        <f>SUM(D12:BU12)</f>
        <v>1</v>
      </c>
      <c r="D12">
        <f>IF(D11&gt;0,INDEX(Inputs!$B$23:$B$26,D11),0)</f>
        <v>0.15</v>
      </c>
      <c r="E12">
        <f>IF(E11&gt;0,INDEX(Inputs!$B$23:$B$26,E11),0)</f>
        <v>0.35</v>
      </c>
      <c r="F12">
        <f>IF(F11&gt;0,INDEX(Inputs!$B$23:$B$26,F11),0)</f>
        <v>0.35</v>
      </c>
      <c r="G12">
        <f>IF(G11&gt;0,INDEX(Inputs!$B$23:$B$26,G11),0)</f>
        <v>0.15</v>
      </c>
      <c r="H12">
        <f>IF(H11&gt;0,INDEX(Inputs!$B$23:$B$26,H11),0)</f>
        <v>0</v>
      </c>
      <c r="I12">
        <f>IF(I11&gt;0,INDEX(Inputs!$B$23:$B$26,I11),0)</f>
        <v>0</v>
      </c>
      <c r="J12">
        <f>IF(J11&gt;0,INDEX(Inputs!$B$23:$B$26,J11),0)</f>
        <v>0</v>
      </c>
      <c r="K12">
        <f>IF(K11&gt;0,INDEX(Inputs!$B$23:$B$26,K11),0)</f>
        <v>0</v>
      </c>
      <c r="L12">
        <f>IF(L11&gt;0,INDEX(Inputs!$B$23:$B$26,L11),0)</f>
        <v>0</v>
      </c>
      <c r="M12">
        <f>IF(M11&gt;0,INDEX(Inputs!$B$23:$B$26,M11),0)</f>
        <v>0</v>
      </c>
      <c r="N12">
        <f>IF(N11&gt;0,INDEX(Inputs!$B$23:$B$26,N11),0)</f>
        <v>0</v>
      </c>
      <c r="O12">
        <f>IF(O11&gt;0,INDEX(Inputs!$B$23:$B$26,O11),0)</f>
        <v>0</v>
      </c>
      <c r="P12">
        <f>IF(P11&gt;0,INDEX(Inputs!$B$23:$B$26,P11),0)</f>
        <v>0</v>
      </c>
      <c r="Q12">
        <f>IF(Q11&gt;0,INDEX(Inputs!$B$23:$B$26,Q11),0)</f>
        <v>0</v>
      </c>
      <c r="R12">
        <f>IF(R11&gt;0,INDEX(Inputs!$B$23:$B$26,R11),0)</f>
        <v>0</v>
      </c>
      <c r="S12">
        <f>IF(S11&gt;0,INDEX(Inputs!$B$23:$B$26,S11),0)</f>
        <v>0</v>
      </c>
      <c r="T12">
        <f>IF(T11&gt;0,INDEX(Inputs!$B$23:$B$26,T11),0)</f>
        <v>0</v>
      </c>
      <c r="U12">
        <f>IF(U11&gt;0,INDEX(Inputs!$B$23:$B$26,U11),0)</f>
        <v>0</v>
      </c>
      <c r="V12">
        <f>IF(V11&gt;0,INDEX(Inputs!$B$23:$B$26,V11),0)</f>
        <v>0</v>
      </c>
      <c r="W12">
        <f>IF(W11&gt;0,INDEX(Inputs!$B$23:$B$26,W11),0)</f>
        <v>0</v>
      </c>
      <c r="X12">
        <f>IF(X11&gt;0,INDEX(Inputs!$B$23:$B$26,X11),0)</f>
        <v>0</v>
      </c>
      <c r="Y12">
        <f>IF(Y11&gt;0,INDEX(Inputs!$B$23:$B$26,Y11),0)</f>
        <v>0</v>
      </c>
      <c r="Z12">
        <f>IF(Z11&gt;0,INDEX(Inputs!$B$23:$B$26,Z11),0)</f>
        <v>0</v>
      </c>
      <c r="AA12">
        <f>IF(AA11&gt;0,INDEX(Inputs!$B$23:$B$26,AA11),0)</f>
        <v>0</v>
      </c>
      <c r="AB12">
        <f>IF(AB11&gt;0,INDEX(Inputs!$B$23:$B$26,AB11),0)</f>
        <v>0</v>
      </c>
      <c r="AC12">
        <f>IF(AC11&gt;0,INDEX(Inputs!$B$23:$B$26,AC11),0)</f>
        <v>0</v>
      </c>
      <c r="AD12">
        <f>IF(AD11&gt;0,INDEX(Inputs!$B$23:$B$26,AD11),0)</f>
        <v>0</v>
      </c>
      <c r="AE12">
        <f>IF(AE11&gt;0,INDEX(Inputs!$B$23:$B$26,AE11),0)</f>
        <v>0</v>
      </c>
      <c r="AF12">
        <f>IF(AF11&gt;0,INDEX(Inputs!$B$23:$B$26,AF11),0)</f>
        <v>0</v>
      </c>
      <c r="AG12">
        <f>IF(AG11&gt;0,INDEX(Inputs!$B$23:$B$26,AG11),0)</f>
        <v>0</v>
      </c>
      <c r="AH12">
        <f>IF(AH11&gt;0,INDEX(Inputs!$B$23:$B$26,AH11),0)</f>
        <v>0</v>
      </c>
      <c r="AI12">
        <f>IF(AI11&gt;0,INDEX(Inputs!$B$23:$B$26,AI11),0)</f>
        <v>0</v>
      </c>
      <c r="AJ12">
        <f>IF(AJ11&gt;0,INDEX(Inputs!$B$23:$B$26,AJ11),0)</f>
        <v>0</v>
      </c>
      <c r="AK12">
        <f>IF(AK11&gt;0,INDEX(Inputs!$B$23:$B$26,AK11),0)</f>
        <v>0</v>
      </c>
      <c r="AL12">
        <f>IF(AL11&gt;0,INDEX(Inputs!$B$23:$B$26,AL11),0)</f>
        <v>0</v>
      </c>
      <c r="AM12">
        <f>IF(AM11&gt;0,INDEX(Inputs!$B$23:$B$26,AM11),0)</f>
        <v>0</v>
      </c>
      <c r="AN12">
        <f>IF(AN11&gt;0,INDEX(Inputs!$B$23:$B$26,AN11),0)</f>
        <v>0</v>
      </c>
      <c r="AO12">
        <f>IF(AO11&gt;0,INDEX(Inputs!$B$23:$B$26,AO11),0)</f>
        <v>0</v>
      </c>
      <c r="AP12">
        <f>IF(AP11&gt;0,INDEX(Inputs!$B$23:$B$26,AP11),0)</f>
        <v>0</v>
      </c>
      <c r="AQ12">
        <f>IF(AQ11&gt;0,INDEX(Inputs!$B$23:$B$26,AQ11),0)</f>
        <v>0</v>
      </c>
      <c r="AR12">
        <f>IF(AR11&gt;0,INDEX(Inputs!$B$23:$B$26,AR11),0)</f>
        <v>0</v>
      </c>
      <c r="AS12">
        <f>IF(AS11&gt;0,INDEX(Inputs!$B$23:$B$26,AS11),0)</f>
        <v>0</v>
      </c>
      <c r="AT12">
        <f>IF(AT11&gt;0,INDEX(Inputs!$B$23:$B$26,AT11),0)</f>
        <v>0</v>
      </c>
      <c r="AU12">
        <f>IF(AU11&gt;0,INDEX(Inputs!$B$23:$B$26,AU11),0)</f>
        <v>0</v>
      </c>
      <c r="AV12">
        <f>IF(AV11&gt;0,INDEX(Inputs!$B$23:$B$26,AV11),0)</f>
        <v>0</v>
      </c>
      <c r="AW12">
        <f>IF(AW11&gt;0,INDEX(Inputs!$B$23:$B$26,AW11),0)</f>
        <v>0</v>
      </c>
      <c r="AX12">
        <f>IF(AX11&gt;0,INDEX(Inputs!$B$23:$B$26,AX11),0)</f>
        <v>0</v>
      </c>
      <c r="AY12">
        <f>IF(AY11&gt;0,INDEX(Inputs!$B$23:$B$26,AY11),0)</f>
        <v>0</v>
      </c>
      <c r="AZ12">
        <f>IF(AZ11&gt;0,INDEX(Inputs!$B$23:$B$26,AZ11),0)</f>
        <v>0</v>
      </c>
      <c r="BA12">
        <f>IF(BA11&gt;0,INDEX(Inputs!$B$23:$B$26,BA11),0)</f>
        <v>0</v>
      </c>
      <c r="BB12">
        <f>IF(BB11&gt;0,INDEX(Inputs!$B$23:$B$26,BB11),0)</f>
        <v>0</v>
      </c>
      <c r="BC12">
        <f>IF(BC11&gt;0,INDEX(Inputs!$B$23:$B$26,BC11),0)</f>
        <v>0</v>
      </c>
      <c r="BD12">
        <f>IF(BD11&gt;0,INDEX(Inputs!$B$23:$B$26,BD11),0)</f>
        <v>0</v>
      </c>
      <c r="BE12">
        <f>IF(BE11&gt;0,INDEX(Inputs!$B$23:$B$26,BE11),0)</f>
        <v>0</v>
      </c>
      <c r="BF12">
        <f>IF(BF11&gt;0,INDEX(Inputs!$B$23:$B$26,BF11),0)</f>
        <v>0</v>
      </c>
      <c r="BG12">
        <f>IF(BG11&gt;0,INDEX(Inputs!$B$23:$B$26,BG11),0)</f>
        <v>0</v>
      </c>
      <c r="BH12">
        <f>IF(BH11&gt;0,INDEX(Inputs!$B$23:$B$26,BH11),0)</f>
        <v>0</v>
      </c>
      <c r="BI12">
        <f>IF(BI11&gt;0,INDEX(Inputs!$B$23:$B$26,BI11),0)</f>
        <v>0</v>
      </c>
      <c r="BJ12">
        <f>IF(BJ11&gt;0,INDEX(Inputs!$B$23:$B$26,BJ11),0)</f>
        <v>0</v>
      </c>
      <c r="BK12">
        <f>IF(BK11&gt;0,INDEX(Inputs!$B$23:$B$26,BK11),0)</f>
        <v>0</v>
      </c>
      <c r="BL12">
        <f>IF(BL11&gt;0,INDEX(Inputs!$B$23:$B$26,BL11),0)</f>
        <v>0</v>
      </c>
      <c r="BM12">
        <f>IF(BM11&gt;0,INDEX(Inputs!$B$23:$B$26,BM11),0)</f>
        <v>0</v>
      </c>
      <c r="BN12">
        <f>IF(BN11&gt;0,INDEX(Inputs!$B$23:$B$26,BN11),0)</f>
        <v>0</v>
      </c>
      <c r="BO12">
        <f>IF(BO11&gt;0,INDEX(Inputs!$B$23:$B$26,BO11),0)</f>
        <v>0</v>
      </c>
      <c r="BP12">
        <f>IF(BP11&gt;0,INDEX(Inputs!$B$23:$B$26,BP11),0)</f>
        <v>0</v>
      </c>
      <c r="BQ12">
        <f>IF(BQ11&gt;0,INDEX(Inputs!$B$23:$B$26,BQ11),0)</f>
        <v>0</v>
      </c>
      <c r="BR12">
        <f>IF(BR11&gt;0,INDEX(Inputs!$B$23:$B$26,BR11),0)</f>
        <v>0</v>
      </c>
      <c r="BS12">
        <f>IF(BS11&gt;0,INDEX(Inputs!$B$23:$B$26,BS11),0)</f>
        <v>0</v>
      </c>
      <c r="BT12">
        <f>IF(BT11&gt;0,INDEX(Inputs!$B$23:$B$26,BT11),0)</f>
        <v>0</v>
      </c>
      <c r="BU12">
        <f>IF(BU11&gt;0,INDEX(Inputs!$B$23:$B$26,BU11),0)</f>
        <v>0</v>
      </c>
    </row>
    <row r="13" spans="1:74" x14ac:dyDescent="0.25">
      <c r="A13" t="s">
        <v>179</v>
      </c>
      <c r="B13" t="s">
        <v>39</v>
      </c>
      <c r="C13" t="s">
        <v>131</v>
      </c>
      <c r="D13" s="8">
        <f>IF(D7=1,(1+Inputs!$B$28)^D8,1)</f>
        <v>1.0664710889029547</v>
      </c>
      <c r="E13" s="8">
        <f>IF(E7=1,(1+Inputs!$B$28)^E8,1)</f>
        <v>1.0771049015547092</v>
      </c>
      <c r="F13" s="8">
        <f>IF(F7=1,(1+Inputs!$B$28)^F8,1)</f>
        <v>1.0878447442458046</v>
      </c>
      <c r="G13" s="8">
        <f>IF(G7=1,(1+Inputs!$B$28)^G8,1)</f>
        <v>1.0986321084498547</v>
      </c>
      <c r="H13" s="8">
        <f>IF(H7=1,(1+Inputs!$B$28)^H8,1)</f>
        <v>1</v>
      </c>
      <c r="I13" s="8">
        <f>IF(I7=1,(1+Inputs!$B$28)^I8,1)</f>
        <v>1</v>
      </c>
      <c r="J13" s="8">
        <f>IF(J7=1,(1+Inputs!$B$28)^J8,1)</f>
        <v>1</v>
      </c>
      <c r="K13" s="8">
        <f>IF(K7=1,(1+Inputs!$B$28)^K8,1)</f>
        <v>1</v>
      </c>
      <c r="L13" s="8">
        <f>IF(L7=1,(1+Inputs!$B$28)^L8,1)</f>
        <v>1</v>
      </c>
      <c r="M13" s="8">
        <f>IF(M7=1,(1+Inputs!$B$28)^M8,1)</f>
        <v>1</v>
      </c>
      <c r="N13" s="8">
        <f>IF(N7=1,(1+Inputs!$B$28)^N8,1)</f>
        <v>1</v>
      </c>
      <c r="O13" s="8">
        <f>IF(O7=1,(1+Inputs!$B$28)^O8,1)</f>
        <v>1</v>
      </c>
      <c r="P13" s="8">
        <f>IF(P7=1,(1+Inputs!$B$28)^P8,1)</f>
        <v>1</v>
      </c>
      <c r="Q13" s="8">
        <f>IF(Q7=1,(1+Inputs!$B$28)^Q8,1)</f>
        <v>1</v>
      </c>
      <c r="R13" s="8">
        <f>IF(R7=1,(1+Inputs!$B$28)^R8,1)</f>
        <v>1</v>
      </c>
      <c r="S13" s="8">
        <f>IF(S7=1,(1+Inputs!$B$28)^S8,1)</f>
        <v>1</v>
      </c>
      <c r="T13" s="8">
        <f>IF(T7=1,(1+Inputs!$B$28)^T8,1)</f>
        <v>1</v>
      </c>
      <c r="U13" s="8">
        <f>IF(U7=1,(1+Inputs!$B$28)^U8,1)</f>
        <v>1</v>
      </c>
      <c r="V13" s="8">
        <f>IF(V7=1,(1+Inputs!$B$28)^V8,1)</f>
        <v>1</v>
      </c>
      <c r="W13" s="8">
        <f>IF(W7=1,(1+Inputs!$B$28)^W8,1)</f>
        <v>1</v>
      </c>
      <c r="X13" s="8">
        <f>IF(X7=1,(1+Inputs!$B$28)^X8,1)</f>
        <v>1</v>
      </c>
      <c r="Y13" s="8">
        <f>IF(Y7=1,(1+Inputs!$B$28)^Y8,1)</f>
        <v>1</v>
      </c>
      <c r="Z13" s="8">
        <f>IF(Z7=1,(1+Inputs!$B$28)^Z8,1)</f>
        <v>1</v>
      </c>
      <c r="AA13" s="8">
        <f>IF(AA7=1,(1+Inputs!$B$28)^AA8,1)</f>
        <v>1</v>
      </c>
      <c r="AB13" s="8">
        <f>IF(AB7=1,(1+Inputs!$B$28)^AB8,1)</f>
        <v>1</v>
      </c>
      <c r="AC13" s="8">
        <f>IF(AC7=1,(1+Inputs!$B$28)^AC8,1)</f>
        <v>1</v>
      </c>
      <c r="AD13" s="8">
        <f>IF(AD7=1,(1+Inputs!$B$28)^AD8,1)</f>
        <v>1</v>
      </c>
      <c r="AE13" s="8">
        <f>IF(AE7=1,(1+Inputs!$B$28)^AE8,1)</f>
        <v>1</v>
      </c>
      <c r="AF13" s="8">
        <f>IF(AF7=1,(1+Inputs!$B$28)^AF8,1)</f>
        <v>1</v>
      </c>
      <c r="AG13" s="8">
        <f>IF(AG7=1,(1+Inputs!$B$28)^AG8,1)</f>
        <v>1</v>
      </c>
      <c r="AH13" s="8">
        <f>IF(AH7=1,(1+Inputs!$B$28)^AH8,1)</f>
        <v>1</v>
      </c>
      <c r="AI13" s="8">
        <f>IF(AI7=1,(1+Inputs!$B$28)^AI8,1)</f>
        <v>1</v>
      </c>
      <c r="AJ13" s="8">
        <f>IF(AJ7=1,(1+Inputs!$B$28)^AJ8,1)</f>
        <v>1</v>
      </c>
      <c r="AK13" s="8">
        <f>IF(AK7=1,(1+Inputs!$B$28)^AK8,1)</f>
        <v>1</v>
      </c>
      <c r="AL13" s="8">
        <f>IF(AL7=1,(1+Inputs!$B$28)^AL8,1)</f>
        <v>1</v>
      </c>
      <c r="AM13" s="8">
        <f>IF(AM7=1,(1+Inputs!$B$28)^AM8,1)</f>
        <v>1</v>
      </c>
      <c r="AN13" s="8">
        <f>IF(AN7=1,(1+Inputs!$B$28)^AN8,1)</f>
        <v>1</v>
      </c>
      <c r="AO13" s="8">
        <f>IF(AO7=1,(1+Inputs!$B$28)^AO8,1)</f>
        <v>1</v>
      </c>
      <c r="AP13" s="8">
        <f>IF(AP7=1,(1+Inputs!$B$28)^AP8,1)</f>
        <v>1</v>
      </c>
      <c r="AQ13" s="8">
        <f>IF(AQ7=1,(1+Inputs!$B$28)^AQ8,1)</f>
        <v>1</v>
      </c>
      <c r="AR13" s="8">
        <f>IF(AR7=1,(1+Inputs!$B$28)^AR8,1)</f>
        <v>1</v>
      </c>
      <c r="AS13" s="8">
        <f>IF(AS7=1,(1+Inputs!$B$28)^AS8,1)</f>
        <v>1</v>
      </c>
      <c r="AT13" s="8">
        <f>IF(AT7=1,(1+Inputs!$B$28)^AT8,1)</f>
        <v>1</v>
      </c>
      <c r="AU13" s="8">
        <f>IF(AU7=1,(1+Inputs!$B$28)^AU8,1)</f>
        <v>1</v>
      </c>
      <c r="AV13" s="8">
        <f>IF(AV7=1,(1+Inputs!$B$28)^AV8,1)</f>
        <v>1</v>
      </c>
      <c r="AW13" s="8">
        <f>IF(AW7=1,(1+Inputs!$B$28)^AW8,1)</f>
        <v>1</v>
      </c>
      <c r="AX13" s="8">
        <f>IF(AX7=1,(1+Inputs!$B$28)^AX8,1)</f>
        <v>1</v>
      </c>
      <c r="AY13" s="8">
        <f>IF(AY7=1,(1+Inputs!$B$28)^AY8,1)</f>
        <v>1</v>
      </c>
      <c r="AZ13" s="8">
        <f>IF(AZ7=1,(1+Inputs!$B$28)^AZ8,1)</f>
        <v>1</v>
      </c>
      <c r="BA13" s="8">
        <f>IF(BA7=1,(1+Inputs!$B$28)^BA8,1)</f>
        <v>1</v>
      </c>
      <c r="BB13" s="8">
        <f>IF(BB7=1,(1+Inputs!$B$28)^BB8,1)</f>
        <v>1</v>
      </c>
      <c r="BC13" s="8">
        <f>IF(BC7=1,(1+Inputs!$B$28)^BC8,1)</f>
        <v>1</v>
      </c>
      <c r="BD13" s="8">
        <f>IF(BD7=1,(1+Inputs!$B$28)^BD8,1)</f>
        <v>1</v>
      </c>
      <c r="BE13" s="8">
        <f>IF(BE7=1,(1+Inputs!$B$28)^BE8,1)</f>
        <v>1</v>
      </c>
      <c r="BF13" s="8">
        <f>IF(BF7=1,(1+Inputs!$B$28)^BF8,1)</f>
        <v>1</v>
      </c>
      <c r="BG13" s="8">
        <f>IF(BG7=1,(1+Inputs!$B$28)^BG8,1)</f>
        <v>1</v>
      </c>
      <c r="BH13" s="8">
        <f>IF(BH7=1,(1+Inputs!$B$28)^BH8,1)</f>
        <v>1</v>
      </c>
      <c r="BI13" s="8">
        <f>IF(BI7=1,(1+Inputs!$B$28)^BI8,1)</f>
        <v>1</v>
      </c>
      <c r="BJ13" s="8">
        <f>IF(BJ7=1,(1+Inputs!$B$28)^BJ8,1)</f>
        <v>1</v>
      </c>
      <c r="BK13" s="8">
        <f>IF(BK7=1,(1+Inputs!$B$28)^BK8,1)</f>
        <v>1</v>
      </c>
      <c r="BL13" s="8">
        <f>IF(BL7=1,(1+Inputs!$B$28)^BL8,1)</f>
        <v>1</v>
      </c>
      <c r="BM13" s="8">
        <f>IF(BM7=1,(1+Inputs!$B$28)^BM8,1)</f>
        <v>1</v>
      </c>
      <c r="BN13" s="8">
        <f>IF(BN7=1,(1+Inputs!$B$28)^BN8,1)</f>
        <v>1</v>
      </c>
      <c r="BO13" s="8">
        <f>IF(BO7=1,(1+Inputs!$B$28)^BO8,1)</f>
        <v>1</v>
      </c>
      <c r="BP13" s="8">
        <f>IF(BP7=1,(1+Inputs!$B$28)^BP8,1)</f>
        <v>1</v>
      </c>
      <c r="BQ13" s="8">
        <f>IF(BQ7=1,(1+Inputs!$B$28)^BQ8,1)</f>
        <v>1</v>
      </c>
      <c r="BR13" s="8">
        <f>IF(BR7=1,(1+Inputs!$B$28)^BR8,1)</f>
        <v>1</v>
      </c>
      <c r="BS13" s="8">
        <f>IF(BS7=1,(1+Inputs!$B$28)^BS8,1)</f>
        <v>1</v>
      </c>
      <c r="BT13" s="8">
        <f>IF(BT7=1,(1+Inputs!$B$28)^BT8,1)</f>
        <v>1</v>
      </c>
      <c r="BU13" s="8">
        <f>IF(BU7=1,(1+Inputs!$B$28)^BU8,1)</f>
        <v>1</v>
      </c>
    </row>
    <row r="14" spans="1:74" x14ac:dyDescent="0.25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 x14ac:dyDescent="0.25">
      <c r="A15" t="s">
        <v>102</v>
      </c>
      <c r="B15" t="s">
        <v>184</v>
      </c>
      <c r="C15">
        <f>SUM(D15:BU15)</f>
        <v>0</v>
      </c>
      <c r="D15">
        <f>Inputs!$B$21 *D14</f>
        <v>0</v>
      </c>
      <c r="E15">
        <f>Inputs!$B$21 *E14</f>
        <v>0</v>
      </c>
      <c r="F15">
        <f>Inputs!$B$21 *F14</f>
        <v>0</v>
      </c>
      <c r="G15">
        <f>Inputs!$B$21 *G14</f>
        <v>0</v>
      </c>
      <c r="H15">
        <f>Inputs!$B$21 *H14</f>
        <v>0</v>
      </c>
      <c r="I15">
        <f>Inputs!$B$21 *I14</f>
        <v>0</v>
      </c>
      <c r="J15">
        <f>Inputs!$B$21 *J14</f>
        <v>0</v>
      </c>
      <c r="K15">
        <f>Inputs!$B$21 *K14</f>
        <v>0</v>
      </c>
      <c r="L15">
        <f>Inputs!$B$21 *L14</f>
        <v>0</v>
      </c>
      <c r="M15">
        <f>Inputs!$B$21 *M14</f>
        <v>0</v>
      </c>
      <c r="N15">
        <f>Inputs!$B$21 *N14</f>
        <v>0</v>
      </c>
      <c r="O15">
        <f>Inputs!$B$21 *O14</f>
        <v>0</v>
      </c>
      <c r="P15">
        <f>Inputs!$B$21 *P14</f>
        <v>0</v>
      </c>
      <c r="Q15">
        <f>Inputs!$B$21 *Q14</f>
        <v>0</v>
      </c>
      <c r="R15">
        <f>Inputs!$B$21 *R14</f>
        <v>0</v>
      </c>
      <c r="S15">
        <f>Inputs!$B$21 *S14</f>
        <v>0</v>
      </c>
      <c r="T15">
        <f>Inputs!$B$21 *T14</f>
        <v>0</v>
      </c>
      <c r="U15">
        <f>Inputs!$B$21 *U14</f>
        <v>0</v>
      </c>
      <c r="V15">
        <f>Inputs!$B$21 *V14</f>
        <v>0</v>
      </c>
      <c r="W15">
        <f>Inputs!$B$21 *W14</f>
        <v>0</v>
      </c>
      <c r="X15">
        <f>Inputs!$B$21 *X14</f>
        <v>0</v>
      </c>
      <c r="Y15">
        <f>Inputs!$B$21 *Y14</f>
        <v>0</v>
      </c>
      <c r="Z15">
        <f>Inputs!$B$21 *Z14</f>
        <v>0</v>
      </c>
      <c r="AA15">
        <f>Inputs!$B$21 *AA14</f>
        <v>0</v>
      </c>
      <c r="AB15">
        <f>Inputs!$B$21 *AB14</f>
        <v>0</v>
      </c>
      <c r="AC15">
        <f>Inputs!$B$21 *AC14</f>
        <v>0</v>
      </c>
      <c r="AD15">
        <f>Inputs!$B$21 *AD14</f>
        <v>0</v>
      </c>
      <c r="AE15">
        <f>Inputs!$B$21 *AE14</f>
        <v>0</v>
      </c>
      <c r="AF15">
        <f>Inputs!$B$21 *AF14</f>
        <v>0</v>
      </c>
      <c r="AG15">
        <f>Inputs!$B$21 *AG14</f>
        <v>0</v>
      </c>
      <c r="AH15">
        <f>Inputs!$B$21 *AH14</f>
        <v>0</v>
      </c>
      <c r="AI15">
        <f>Inputs!$B$21 *AI14</f>
        <v>0</v>
      </c>
      <c r="AJ15">
        <f>Inputs!$B$21 *AJ14</f>
        <v>0</v>
      </c>
      <c r="AK15">
        <f>Inputs!$B$21 *AK14</f>
        <v>0</v>
      </c>
      <c r="AL15">
        <f>Inputs!$B$21 *AL14</f>
        <v>0</v>
      </c>
      <c r="AM15">
        <f>Inputs!$B$21 *AM14</f>
        <v>0</v>
      </c>
      <c r="AN15">
        <f>Inputs!$B$21 *AN14</f>
        <v>0</v>
      </c>
      <c r="AO15">
        <f>Inputs!$B$21 *AO14</f>
        <v>0</v>
      </c>
      <c r="AP15">
        <f>Inputs!$B$21 *AP14</f>
        <v>0</v>
      </c>
      <c r="AQ15">
        <f>Inputs!$B$21 *AQ14</f>
        <v>0</v>
      </c>
      <c r="AR15">
        <f>Inputs!$B$21 *AR14</f>
        <v>0</v>
      </c>
      <c r="AS15">
        <f>Inputs!$B$21 *AS14</f>
        <v>0</v>
      </c>
      <c r="AT15">
        <f>Inputs!$B$21 *AT14</f>
        <v>0</v>
      </c>
      <c r="AU15">
        <f>Inputs!$B$21 *AU14</f>
        <v>0</v>
      </c>
      <c r="AV15">
        <f>Inputs!$B$21 *AV14</f>
        <v>0</v>
      </c>
      <c r="AW15">
        <f>Inputs!$B$21 *AW14</f>
        <v>0</v>
      </c>
      <c r="AX15">
        <f>Inputs!$B$21 *AX14</f>
        <v>0</v>
      </c>
      <c r="AY15">
        <f>Inputs!$B$21 *AY14</f>
        <v>0</v>
      </c>
      <c r="AZ15">
        <f>Inputs!$B$21 *AZ14</f>
        <v>0</v>
      </c>
      <c r="BA15">
        <f>Inputs!$B$21 *BA14</f>
        <v>0</v>
      </c>
      <c r="BB15">
        <f>Inputs!$B$21 *BB14</f>
        <v>0</v>
      </c>
      <c r="BC15">
        <f>Inputs!$B$21 *BC14</f>
        <v>0</v>
      </c>
      <c r="BD15">
        <f>Inputs!$B$21 *BD14</f>
        <v>0</v>
      </c>
      <c r="BE15">
        <f>Inputs!$B$21 *BE14</f>
        <v>0</v>
      </c>
      <c r="BF15">
        <f>Inputs!$B$21 *BF14</f>
        <v>0</v>
      </c>
      <c r="BG15">
        <f>Inputs!$B$21 *BG14</f>
        <v>0</v>
      </c>
      <c r="BH15">
        <f>Inputs!$B$21 *BH14</f>
        <v>0</v>
      </c>
      <c r="BI15">
        <f>Inputs!$B$21 *BI14</f>
        <v>0</v>
      </c>
      <c r="BJ15">
        <f>Inputs!$B$21 *BJ14</f>
        <v>0</v>
      </c>
      <c r="BK15">
        <f>Inputs!$B$21 *BK14</f>
        <v>0</v>
      </c>
      <c r="BL15">
        <f>Inputs!$B$21 *BL14</f>
        <v>0</v>
      </c>
      <c r="BM15">
        <f>Inputs!$B$21 *BM14</f>
        <v>0</v>
      </c>
      <c r="BN15">
        <f>Inputs!$B$21 *BN14</f>
        <v>0</v>
      </c>
      <c r="BO15">
        <f>Inputs!$B$21 *BO14</f>
        <v>0</v>
      </c>
      <c r="BP15">
        <f>Inputs!$B$21 *BP14</f>
        <v>0</v>
      </c>
      <c r="BQ15">
        <f>Inputs!$B$21 *BQ14</f>
        <v>0</v>
      </c>
      <c r="BR15">
        <f>Inputs!$B$21 *BR14</f>
        <v>0</v>
      </c>
      <c r="BS15">
        <f>Inputs!$B$21 *BS14</f>
        <v>0</v>
      </c>
      <c r="BT15">
        <f>Inputs!$B$21 *BT14</f>
        <v>0</v>
      </c>
      <c r="BU15">
        <f>Inputs!$B$21 *BU14</f>
        <v>0</v>
      </c>
    </row>
    <row r="16" spans="1:74" x14ac:dyDescent="0.25">
      <c r="A16" t="s">
        <v>103</v>
      </c>
      <c r="B16" t="s">
        <v>184</v>
      </c>
      <c r="C16">
        <f>SUM(D16:BU16)</f>
        <v>0</v>
      </c>
      <c r="D16">
        <f>IF(D11=1,Inputs!$B$17 * 1000 * Inputs!$B$19*D13,0)</f>
        <v>0</v>
      </c>
      <c r="E16">
        <f>IF(E11=1,Inputs!$B$17 * 1000 * Inputs!$B$19*E13,0)</f>
        <v>0</v>
      </c>
      <c r="F16">
        <f>IF(F11=1,Inputs!$B$17 * 1000 * Inputs!$B$19*F13,0)</f>
        <v>0</v>
      </c>
      <c r="G16">
        <f>IF(G11=1,Inputs!$B$17 * 1000 * Inputs!$B$19*G13,0)</f>
        <v>0</v>
      </c>
      <c r="H16">
        <f>IF(H11=1,Inputs!$B$17 * 1000 * Inputs!$B$19*H13,0)</f>
        <v>0</v>
      </c>
      <c r="I16">
        <f>IF(I11=1,Inputs!$B$17 * 1000 * Inputs!$B$19*I13,0)</f>
        <v>0</v>
      </c>
      <c r="J16">
        <f>IF(J11=1,Inputs!$B$17 * 1000 * Inputs!$B$19*J13,0)</f>
        <v>0</v>
      </c>
      <c r="K16">
        <f>IF(K11=1,Inputs!$B$17 * 1000 * Inputs!$B$19*K13,0)</f>
        <v>0</v>
      </c>
      <c r="L16">
        <f>IF(L11=1,Inputs!$B$17 * 1000 * Inputs!$B$19*L13,0)</f>
        <v>0</v>
      </c>
      <c r="M16">
        <f>IF(M11=1,Inputs!$B$17 * 1000 * Inputs!$B$19*M13,0)</f>
        <v>0</v>
      </c>
      <c r="N16">
        <f>IF(N11=1,Inputs!$B$17 * 1000 * Inputs!$B$19*N13,0)</f>
        <v>0</v>
      </c>
      <c r="O16">
        <f>IF(O11=1,Inputs!$B$17 * 1000 * Inputs!$B$19*O13,0)</f>
        <v>0</v>
      </c>
      <c r="P16">
        <f>IF(P11=1,Inputs!$B$17 * 1000 * Inputs!$B$19*P13,0)</f>
        <v>0</v>
      </c>
      <c r="Q16">
        <f>IF(Q11=1,Inputs!$B$17 * 1000 * Inputs!$B$19*Q13,0)</f>
        <v>0</v>
      </c>
      <c r="R16">
        <f>IF(R11=1,Inputs!$B$17 * 1000 * Inputs!$B$19*R13,0)</f>
        <v>0</v>
      </c>
      <c r="S16">
        <f>IF(S11=1,Inputs!$B$17 * 1000 * Inputs!$B$19*S13,0)</f>
        <v>0</v>
      </c>
      <c r="T16">
        <f>IF(T11=1,Inputs!$B$17 * 1000 * Inputs!$B$19*T13,0)</f>
        <v>0</v>
      </c>
      <c r="U16">
        <f>IF(U11=1,Inputs!$B$17 * 1000 * Inputs!$B$19*U13,0)</f>
        <v>0</v>
      </c>
      <c r="V16">
        <f>IF(V11=1,Inputs!$B$17 * 1000 * Inputs!$B$19*V13,0)</f>
        <v>0</v>
      </c>
      <c r="W16">
        <f>IF(W11=1,Inputs!$B$17 * 1000 * Inputs!$B$19*W13,0)</f>
        <v>0</v>
      </c>
      <c r="X16">
        <f>IF(X11=1,Inputs!$B$17 * 1000 * Inputs!$B$19*X13,0)</f>
        <v>0</v>
      </c>
      <c r="Y16">
        <f>IF(Y11=1,Inputs!$B$17 * 1000 * Inputs!$B$19*Y13,0)</f>
        <v>0</v>
      </c>
      <c r="Z16">
        <f>IF(Z11=1,Inputs!$B$17 * 1000 * Inputs!$B$19*Z13,0)</f>
        <v>0</v>
      </c>
      <c r="AA16">
        <f>IF(AA11=1,Inputs!$B$17 * 1000 * Inputs!$B$19*AA13,0)</f>
        <v>0</v>
      </c>
      <c r="AB16">
        <f>IF(AB11=1,Inputs!$B$17 * 1000 * Inputs!$B$19*AB13,0)</f>
        <v>0</v>
      </c>
      <c r="AC16">
        <f>IF(AC11=1,Inputs!$B$17 * 1000 * Inputs!$B$19*AC13,0)</f>
        <v>0</v>
      </c>
      <c r="AD16">
        <f>IF(AD11=1,Inputs!$B$17 * 1000 * Inputs!$B$19*AD13,0)</f>
        <v>0</v>
      </c>
      <c r="AE16">
        <f>IF(AE11=1,Inputs!$B$17 * 1000 * Inputs!$B$19*AE13,0)</f>
        <v>0</v>
      </c>
      <c r="AF16">
        <f>IF(AF11=1,Inputs!$B$17 * 1000 * Inputs!$B$19*AF13,0)</f>
        <v>0</v>
      </c>
      <c r="AG16">
        <f>IF(AG11=1,Inputs!$B$17 * 1000 * Inputs!$B$19*AG13,0)</f>
        <v>0</v>
      </c>
      <c r="AH16">
        <f>IF(AH11=1,Inputs!$B$17 * 1000 * Inputs!$B$19*AH13,0)</f>
        <v>0</v>
      </c>
      <c r="AI16">
        <f>IF(AI11=1,Inputs!$B$17 * 1000 * Inputs!$B$19*AI13,0)</f>
        <v>0</v>
      </c>
      <c r="AJ16">
        <f>IF(AJ11=1,Inputs!$B$17 * 1000 * Inputs!$B$19*AJ13,0)</f>
        <v>0</v>
      </c>
      <c r="AK16">
        <f>IF(AK11=1,Inputs!$B$17 * 1000 * Inputs!$B$19*AK13,0)</f>
        <v>0</v>
      </c>
      <c r="AL16">
        <f>IF(AL11=1,Inputs!$B$17 * 1000 * Inputs!$B$19*AL13,0)</f>
        <v>0</v>
      </c>
      <c r="AM16">
        <f>IF(AM11=1,Inputs!$B$17 * 1000 * Inputs!$B$19*AM13,0)</f>
        <v>0</v>
      </c>
      <c r="AN16">
        <f>IF(AN11=1,Inputs!$B$17 * 1000 * Inputs!$B$19*AN13,0)</f>
        <v>0</v>
      </c>
      <c r="AO16">
        <f>IF(AO11=1,Inputs!$B$17 * 1000 * Inputs!$B$19*AO13,0)</f>
        <v>0</v>
      </c>
      <c r="AP16">
        <f>IF(AP11=1,Inputs!$B$17 * 1000 * Inputs!$B$19*AP13,0)</f>
        <v>0</v>
      </c>
      <c r="AQ16">
        <f>IF(AQ11=1,Inputs!$B$17 * 1000 * Inputs!$B$19*AQ13,0)</f>
        <v>0</v>
      </c>
      <c r="AR16">
        <f>IF(AR11=1,Inputs!$B$17 * 1000 * Inputs!$B$19*AR13,0)</f>
        <v>0</v>
      </c>
      <c r="AS16">
        <f>IF(AS11=1,Inputs!$B$17 * 1000 * Inputs!$B$19*AS13,0)</f>
        <v>0</v>
      </c>
      <c r="AT16">
        <f>IF(AT11=1,Inputs!$B$17 * 1000 * Inputs!$B$19*AT13,0)</f>
        <v>0</v>
      </c>
      <c r="AU16">
        <f>IF(AU11=1,Inputs!$B$17 * 1000 * Inputs!$B$19*AU13,0)</f>
        <v>0</v>
      </c>
      <c r="AV16">
        <f>IF(AV11=1,Inputs!$B$17 * 1000 * Inputs!$B$19*AV13,0)</f>
        <v>0</v>
      </c>
      <c r="AW16">
        <f>IF(AW11=1,Inputs!$B$17 * 1000 * Inputs!$B$19*AW13,0)</f>
        <v>0</v>
      </c>
      <c r="AX16">
        <f>IF(AX11=1,Inputs!$B$17 * 1000 * Inputs!$B$19*AX13,0)</f>
        <v>0</v>
      </c>
      <c r="AY16">
        <f>IF(AY11=1,Inputs!$B$17 * 1000 * Inputs!$B$19*AY13,0)</f>
        <v>0</v>
      </c>
      <c r="AZ16">
        <f>IF(AZ11=1,Inputs!$B$17 * 1000 * Inputs!$B$19*AZ13,0)</f>
        <v>0</v>
      </c>
      <c r="BA16">
        <f>IF(BA11=1,Inputs!$B$17 * 1000 * Inputs!$B$19*BA13,0)</f>
        <v>0</v>
      </c>
      <c r="BB16">
        <f>IF(BB11=1,Inputs!$B$17 * 1000 * Inputs!$B$19*BB13,0)</f>
        <v>0</v>
      </c>
      <c r="BC16">
        <f>IF(BC11=1,Inputs!$B$17 * 1000 * Inputs!$B$19*BC13,0)</f>
        <v>0</v>
      </c>
      <c r="BD16">
        <f>IF(BD11=1,Inputs!$B$17 * 1000 * Inputs!$B$19*BD13,0)</f>
        <v>0</v>
      </c>
      <c r="BE16">
        <f>IF(BE11=1,Inputs!$B$17 * 1000 * Inputs!$B$19*BE13,0)</f>
        <v>0</v>
      </c>
      <c r="BF16">
        <f>IF(BF11=1,Inputs!$B$17 * 1000 * Inputs!$B$19*BF13,0)</f>
        <v>0</v>
      </c>
      <c r="BG16">
        <f>IF(BG11=1,Inputs!$B$17 * 1000 * Inputs!$B$19*BG13,0)</f>
        <v>0</v>
      </c>
      <c r="BH16">
        <f>IF(BH11=1,Inputs!$B$17 * 1000 * Inputs!$B$19*BH13,0)</f>
        <v>0</v>
      </c>
      <c r="BI16">
        <f>IF(BI11=1,Inputs!$B$17 * 1000 * Inputs!$B$19*BI13,0)</f>
        <v>0</v>
      </c>
      <c r="BJ16">
        <f>IF(BJ11=1,Inputs!$B$17 * 1000 * Inputs!$B$19*BJ13,0)</f>
        <v>0</v>
      </c>
      <c r="BK16">
        <f>IF(BK11=1,Inputs!$B$17 * 1000 * Inputs!$B$19*BK13,0)</f>
        <v>0</v>
      </c>
      <c r="BL16">
        <f>IF(BL11=1,Inputs!$B$17 * 1000 * Inputs!$B$19*BL13,0)</f>
        <v>0</v>
      </c>
      <c r="BM16">
        <f>IF(BM11=1,Inputs!$B$17 * 1000 * Inputs!$B$19*BM13,0)</f>
        <v>0</v>
      </c>
      <c r="BN16">
        <f>IF(BN11=1,Inputs!$B$17 * 1000 * Inputs!$B$19*BN13,0)</f>
        <v>0</v>
      </c>
      <c r="BO16">
        <f>IF(BO11=1,Inputs!$B$17 * 1000 * Inputs!$B$19*BO13,0)</f>
        <v>0</v>
      </c>
      <c r="BP16">
        <f>IF(BP11=1,Inputs!$B$17 * 1000 * Inputs!$B$19*BP13,0)</f>
        <v>0</v>
      </c>
      <c r="BQ16">
        <f>IF(BQ11=1,Inputs!$B$17 * 1000 * Inputs!$B$19*BQ13,0)</f>
        <v>0</v>
      </c>
      <c r="BR16">
        <f>IF(BR11=1,Inputs!$B$17 * 1000 * Inputs!$B$19*BR13,0)</f>
        <v>0</v>
      </c>
      <c r="BS16">
        <f>IF(BS11=1,Inputs!$B$17 * 1000 * Inputs!$B$19*BS13,0)</f>
        <v>0</v>
      </c>
      <c r="BT16">
        <f>IF(BT11=1,Inputs!$B$17 * 1000 * Inputs!$B$19*BT13,0)</f>
        <v>0</v>
      </c>
      <c r="BU16">
        <f>IF(BU11=1,Inputs!$B$17 * 1000 * Inputs!$B$19*BU13,0)</f>
        <v>0</v>
      </c>
    </row>
    <row r="18" spans="1:73" x14ac:dyDescent="0.25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 x14ac:dyDescent="0.25">
      <c r="A19" s="50" t="s">
        <v>194</v>
      </c>
      <c r="B19" s="50"/>
      <c r="C19" s="50"/>
      <c r="D19" s="50"/>
    </row>
    <row r="20" spans="1:73" x14ac:dyDescent="0.25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 x14ac:dyDescent="0.25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 x14ac:dyDescent="0.25">
      <c r="A24" s="50" t="s">
        <v>206</v>
      </c>
      <c r="B24" s="50"/>
      <c r="C24" s="50"/>
    </row>
    <row r="25" spans="1:73" x14ac:dyDescent="0.25">
      <c r="A25" t="s">
        <v>195</v>
      </c>
      <c r="B25" t="s">
        <v>184</v>
      </c>
      <c r="C25" s="47">
        <f>Inputs!B48*C18</f>
        <v>25005700.465124637</v>
      </c>
    </row>
    <row r="26" spans="1:73" x14ac:dyDescent="0.25">
      <c r="A26" t="s">
        <v>196</v>
      </c>
      <c r="B26" t="s">
        <v>20</v>
      </c>
      <c r="C26" s="46">
        <f>C25/C18</f>
        <v>0.7</v>
      </c>
    </row>
    <row r="27" spans="1:73" x14ac:dyDescent="0.25">
      <c r="A27" t="s">
        <v>197</v>
      </c>
      <c r="B27" t="s">
        <v>184</v>
      </c>
      <c r="C27">
        <f>SUM(D27:BU27)</f>
        <v>25005700.465124637</v>
      </c>
      <c r="D27">
        <f t="shared" ref="D27:AI27" si="5">D18*$C$26</f>
        <v>3695322.3230487383</v>
      </c>
      <c r="E27">
        <f t="shared" si="5"/>
        <v>8708393.1290698238</v>
      </c>
      <c r="F27">
        <f t="shared" si="5"/>
        <v>8795224.7572273295</v>
      </c>
      <c r="G27">
        <f t="shared" si="5"/>
        <v>3806760.2557787462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 x14ac:dyDescent="0.25">
      <c r="A28" t="s">
        <v>198</v>
      </c>
      <c r="B28" t="s">
        <v>184</v>
      </c>
      <c r="C28">
        <f>SUM(D28:BU28)</f>
        <v>10716728.770767702</v>
      </c>
      <c r="D28">
        <f t="shared" ref="D28:AI28" si="8">D18-D27</f>
        <v>1583709.567020888</v>
      </c>
      <c r="E28">
        <f t="shared" si="8"/>
        <v>3732168.4838870671</v>
      </c>
      <c r="F28">
        <f t="shared" si="8"/>
        <v>3769382.0388117135</v>
      </c>
      <c r="G28">
        <f t="shared" si="8"/>
        <v>1631468.6810480342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 x14ac:dyDescent="0.25">
      <c r="A29" t="s">
        <v>199</v>
      </c>
      <c r="B29" t="s">
        <v>184</v>
      </c>
      <c r="C29" t="s">
        <v>131</v>
      </c>
    </row>
    <row r="30" spans="1:73" x14ac:dyDescent="0.25">
      <c r="A30" t="s">
        <v>202</v>
      </c>
      <c r="B30" t="s">
        <v>184</v>
      </c>
      <c r="C30" t="s">
        <v>131</v>
      </c>
      <c r="D30" s="48">
        <v>0</v>
      </c>
      <c r="E30">
        <f>D32</f>
        <v>3695322.3230487383</v>
      </c>
      <c r="F30">
        <f t="shared" ref="F30:BQ30" si="11">E32</f>
        <v>12403715.452118563</v>
      </c>
      <c r="G30">
        <f t="shared" si="11"/>
        <v>21198940.209345892</v>
      </c>
      <c r="H30">
        <f t="shared" si="11"/>
        <v>25005700.465124637</v>
      </c>
      <c r="I30">
        <f t="shared" si="11"/>
        <v>25005700.465124637</v>
      </c>
      <c r="J30">
        <f t="shared" si="11"/>
        <v>25005700.465124637</v>
      </c>
      <c r="K30">
        <f t="shared" si="11"/>
        <v>25005700.465124637</v>
      </c>
      <c r="L30">
        <f t="shared" si="11"/>
        <v>25005700.465124637</v>
      </c>
      <c r="M30">
        <f t="shared" si="11"/>
        <v>25005700.465124637</v>
      </c>
      <c r="N30">
        <f t="shared" si="11"/>
        <v>25005700.465124637</v>
      </c>
      <c r="O30">
        <f t="shared" si="11"/>
        <v>25005700.465124637</v>
      </c>
      <c r="P30">
        <f t="shared" si="11"/>
        <v>25005700.465124637</v>
      </c>
      <c r="Q30">
        <f t="shared" si="11"/>
        <v>25005700.465124637</v>
      </c>
      <c r="R30">
        <f t="shared" si="11"/>
        <v>25005700.465124637</v>
      </c>
      <c r="S30">
        <f t="shared" si="11"/>
        <v>25005700.465124637</v>
      </c>
      <c r="T30">
        <f t="shared" si="11"/>
        <v>25005700.465124637</v>
      </c>
      <c r="U30">
        <f t="shared" si="11"/>
        <v>25005700.465124637</v>
      </c>
      <c r="V30">
        <f t="shared" si="11"/>
        <v>25005700.465124637</v>
      </c>
      <c r="W30">
        <f t="shared" si="11"/>
        <v>25005700.465124637</v>
      </c>
      <c r="X30">
        <f t="shared" si="11"/>
        <v>25005700.465124637</v>
      </c>
      <c r="Y30">
        <f t="shared" si="11"/>
        <v>25005700.465124637</v>
      </c>
      <c r="Z30">
        <f t="shared" si="11"/>
        <v>25005700.465124637</v>
      </c>
      <c r="AA30">
        <f t="shared" si="11"/>
        <v>25005700.465124637</v>
      </c>
      <c r="AB30">
        <f t="shared" si="11"/>
        <v>25005700.465124637</v>
      </c>
      <c r="AC30">
        <f t="shared" si="11"/>
        <v>25005700.465124637</v>
      </c>
      <c r="AD30">
        <f t="shared" si="11"/>
        <v>25005700.465124637</v>
      </c>
      <c r="AE30">
        <f t="shared" si="11"/>
        <v>25005700.465124637</v>
      </c>
      <c r="AF30">
        <f t="shared" si="11"/>
        <v>25005700.465124637</v>
      </c>
      <c r="AG30">
        <f t="shared" si="11"/>
        <v>25005700.465124637</v>
      </c>
      <c r="AH30">
        <f t="shared" si="11"/>
        <v>25005700.465124637</v>
      </c>
      <c r="AI30">
        <f t="shared" si="11"/>
        <v>25005700.465124637</v>
      </c>
      <c r="AJ30">
        <f t="shared" si="11"/>
        <v>25005700.465124637</v>
      </c>
      <c r="AK30">
        <f t="shared" si="11"/>
        <v>25005700.465124637</v>
      </c>
      <c r="AL30">
        <f t="shared" si="11"/>
        <v>25005700.465124637</v>
      </c>
      <c r="AM30">
        <f t="shared" si="11"/>
        <v>25005700.465124637</v>
      </c>
      <c r="AN30">
        <f t="shared" si="11"/>
        <v>25005700.465124637</v>
      </c>
      <c r="AO30">
        <f t="shared" si="11"/>
        <v>25005700.465124637</v>
      </c>
      <c r="AP30">
        <f t="shared" si="11"/>
        <v>25005700.465124637</v>
      </c>
      <c r="AQ30">
        <f t="shared" si="11"/>
        <v>25005700.465124637</v>
      </c>
      <c r="AR30">
        <f t="shared" si="11"/>
        <v>25005700.465124637</v>
      </c>
      <c r="AS30">
        <f t="shared" si="11"/>
        <v>25005700.465124637</v>
      </c>
      <c r="AT30">
        <f t="shared" si="11"/>
        <v>25005700.465124637</v>
      </c>
      <c r="AU30">
        <f t="shared" si="11"/>
        <v>25005700.465124637</v>
      </c>
      <c r="AV30">
        <f t="shared" si="11"/>
        <v>25005700.465124637</v>
      </c>
      <c r="AW30">
        <f t="shared" si="11"/>
        <v>25005700.465124637</v>
      </c>
      <c r="AX30">
        <f t="shared" si="11"/>
        <v>25005700.465124637</v>
      </c>
      <c r="AY30">
        <f t="shared" si="11"/>
        <v>25005700.465124637</v>
      </c>
      <c r="AZ30">
        <f t="shared" si="11"/>
        <v>25005700.465124637</v>
      </c>
      <c r="BA30">
        <f t="shared" si="11"/>
        <v>25005700.465124637</v>
      </c>
      <c r="BB30">
        <f t="shared" si="11"/>
        <v>25005700.465124637</v>
      </c>
      <c r="BC30">
        <f t="shared" si="11"/>
        <v>25005700.465124637</v>
      </c>
      <c r="BD30">
        <f t="shared" si="11"/>
        <v>25005700.465124637</v>
      </c>
      <c r="BE30">
        <f t="shared" si="11"/>
        <v>25005700.465124637</v>
      </c>
      <c r="BF30">
        <f t="shared" si="11"/>
        <v>25005700.465124637</v>
      </c>
      <c r="BG30">
        <f t="shared" si="11"/>
        <v>25005700.465124637</v>
      </c>
      <c r="BH30">
        <f t="shared" si="11"/>
        <v>25005700.465124637</v>
      </c>
      <c r="BI30">
        <f t="shared" si="11"/>
        <v>25005700.465124637</v>
      </c>
      <c r="BJ30">
        <f t="shared" si="11"/>
        <v>25005700.465124637</v>
      </c>
      <c r="BK30">
        <f t="shared" si="11"/>
        <v>25005700.465124637</v>
      </c>
      <c r="BL30">
        <f t="shared" si="11"/>
        <v>25005700.465124637</v>
      </c>
      <c r="BM30">
        <f t="shared" si="11"/>
        <v>25005700.465124637</v>
      </c>
      <c r="BN30">
        <f t="shared" si="11"/>
        <v>25005700.465124637</v>
      </c>
      <c r="BO30">
        <f t="shared" si="11"/>
        <v>25005700.465124637</v>
      </c>
      <c r="BP30">
        <f t="shared" si="11"/>
        <v>25005700.465124637</v>
      </c>
      <c r="BQ30">
        <f t="shared" si="11"/>
        <v>25005700.465124637</v>
      </c>
      <c r="BR30">
        <f t="shared" ref="BR30:BU30" si="12">BQ32</f>
        <v>25005700.465124637</v>
      </c>
      <c r="BS30">
        <f t="shared" si="12"/>
        <v>25005700.465124637</v>
      </c>
      <c r="BT30">
        <f t="shared" si="12"/>
        <v>25005700.465124637</v>
      </c>
      <c r="BU30">
        <f t="shared" si="12"/>
        <v>25005700.465124637</v>
      </c>
    </row>
    <row r="31" spans="1:73" x14ac:dyDescent="0.25">
      <c r="A31" t="s">
        <v>203</v>
      </c>
      <c r="B31" t="s">
        <v>184</v>
      </c>
      <c r="C31" t="s">
        <v>131</v>
      </c>
      <c r="D31">
        <f>D27</f>
        <v>3695322.3230487383</v>
      </c>
      <c r="E31">
        <f t="shared" ref="E31:BP31" si="13">E27</f>
        <v>8708393.1290698238</v>
      </c>
      <c r="F31">
        <f t="shared" si="13"/>
        <v>8795224.7572273295</v>
      </c>
      <c r="G31">
        <f t="shared" si="13"/>
        <v>3806760.2557787462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 x14ac:dyDescent="0.25">
      <c r="A32" t="s">
        <v>204</v>
      </c>
      <c r="B32" t="s">
        <v>184</v>
      </c>
      <c r="C32" t="s">
        <v>131</v>
      </c>
      <c r="D32">
        <f>D30+D31</f>
        <v>3695322.3230487383</v>
      </c>
      <c r="E32">
        <f t="shared" ref="E32:BP32" si="15">E30+E31</f>
        <v>12403715.452118563</v>
      </c>
      <c r="F32">
        <f t="shared" si="15"/>
        <v>21198940.209345892</v>
      </c>
      <c r="G32">
        <f t="shared" si="15"/>
        <v>25005700.465124637</v>
      </c>
      <c r="H32">
        <f t="shared" si="15"/>
        <v>25005700.465124637</v>
      </c>
      <c r="I32">
        <f t="shared" si="15"/>
        <v>25005700.465124637</v>
      </c>
      <c r="J32">
        <f t="shared" si="15"/>
        <v>25005700.465124637</v>
      </c>
      <c r="K32">
        <f t="shared" si="15"/>
        <v>25005700.465124637</v>
      </c>
      <c r="L32">
        <f t="shared" si="15"/>
        <v>25005700.465124637</v>
      </c>
      <c r="M32">
        <f t="shared" si="15"/>
        <v>25005700.465124637</v>
      </c>
      <c r="N32">
        <f t="shared" si="15"/>
        <v>25005700.465124637</v>
      </c>
      <c r="O32">
        <f t="shared" si="15"/>
        <v>25005700.465124637</v>
      </c>
      <c r="P32">
        <f t="shared" si="15"/>
        <v>25005700.465124637</v>
      </c>
      <c r="Q32">
        <f t="shared" si="15"/>
        <v>25005700.465124637</v>
      </c>
      <c r="R32">
        <f t="shared" si="15"/>
        <v>25005700.465124637</v>
      </c>
      <c r="S32">
        <f t="shared" si="15"/>
        <v>25005700.465124637</v>
      </c>
      <c r="T32">
        <f t="shared" si="15"/>
        <v>25005700.465124637</v>
      </c>
      <c r="U32">
        <f t="shared" si="15"/>
        <v>25005700.465124637</v>
      </c>
      <c r="V32">
        <f t="shared" si="15"/>
        <v>25005700.465124637</v>
      </c>
      <c r="W32">
        <f t="shared" si="15"/>
        <v>25005700.465124637</v>
      </c>
      <c r="X32">
        <f t="shared" si="15"/>
        <v>25005700.465124637</v>
      </c>
      <c r="Y32">
        <f t="shared" si="15"/>
        <v>25005700.465124637</v>
      </c>
      <c r="Z32">
        <f t="shared" si="15"/>
        <v>25005700.465124637</v>
      </c>
      <c r="AA32">
        <f t="shared" si="15"/>
        <v>25005700.465124637</v>
      </c>
      <c r="AB32">
        <f t="shared" si="15"/>
        <v>25005700.465124637</v>
      </c>
      <c r="AC32">
        <f t="shared" si="15"/>
        <v>25005700.465124637</v>
      </c>
      <c r="AD32">
        <f t="shared" si="15"/>
        <v>25005700.465124637</v>
      </c>
      <c r="AE32">
        <f t="shared" si="15"/>
        <v>25005700.465124637</v>
      </c>
      <c r="AF32">
        <f t="shared" si="15"/>
        <v>25005700.465124637</v>
      </c>
      <c r="AG32">
        <f t="shared" si="15"/>
        <v>25005700.465124637</v>
      </c>
      <c r="AH32">
        <f t="shared" si="15"/>
        <v>25005700.465124637</v>
      </c>
      <c r="AI32">
        <f t="shared" si="15"/>
        <v>25005700.465124637</v>
      </c>
      <c r="AJ32">
        <f t="shared" si="15"/>
        <v>25005700.465124637</v>
      </c>
      <c r="AK32">
        <f t="shared" si="15"/>
        <v>25005700.465124637</v>
      </c>
      <c r="AL32">
        <f t="shared" si="15"/>
        <v>25005700.465124637</v>
      </c>
      <c r="AM32">
        <f t="shared" si="15"/>
        <v>25005700.465124637</v>
      </c>
      <c r="AN32">
        <f t="shared" si="15"/>
        <v>25005700.465124637</v>
      </c>
      <c r="AO32">
        <f t="shared" si="15"/>
        <v>25005700.465124637</v>
      </c>
      <c r="AP32">
        <f t="shared" si="15"/>
        <v>25005700.465124637</v>
      </c>
      <c r="AQ32">
        <f t="shared" si="15"/>
        <v>25005700.465124637</v>
      </c>
      <c r="AR32">
        <f t="shared" si="15"/>
        <v>25005700.465124637</v>
      </c>
      <c r="AS32">
        <f t="shared" si="15"/>
        <v>25005700.465124637</v>
      </c>
      <c r="AT32">
        <f t="shared" si="15"/>
        <v>25005700.465124637</v>
      </c>
      <c r="AU32">
        <f t="shared" si="15"/>
        <v>25005700.465124637</v>
      </c>
      <c r="AV32">
        <f t="shared" si="15"/>
        <v>25005700.465124637</v>
      </c>
      <c r="AW32">
        <f t="shared" si="15"/>
        <v>25005700.465124637</v>
      </c>
      <c r="AX32">
        <f t="shared" si="15"/>
        <v>25005700.465124637</v>
      </c>
      <c r="AY32">
        <f t="shared" si="15"/>
        <v>25005700.465124637</v>
      </c>
      <c r="AZ32">
        <f t="shared" si="15"/>
        <v>25005700.465124637</v>
      </c>
      <c r="BA32">
        <f t="shared" si="15"/>
        <v>25005700.465124637</v>
      </c>
      <c r="BB32">
        <f t="shared" si="15"/>
        <v>25005700.465124637</v>
      </c>
      <c r="BC32">
        <f t="shared" si="15"/>
        <v>25005700.465124637</v>
      </c>
      <c r="BD32">
        <f t="shared" si="15"/>
        <v>25005700.465124637</v>
      </c>
      <c r="BE32">
        <f t="shared" si="15"/>
        <v>25005700.465124637</v>
      </c>
      <c r="BF32">
        <f t="shared" si="15"/>
        <v>25005700.465124637</v>
      </c>
      <c r="BG32">
        <f t="shared" si="15"/>
        <v>25005700.465124637</v>
      </c>
      <c r="BH32">
        <f t="shared" si="15"/>
        <v>25005700.465124637</v>
      </c>
      <c r="BI32">
        <f t="shared" si="15"/>
        <v>25005700.465124637</v>
      </c>
      <c r="BJ32">
        <f t="shared" si="15"/>
        <v>25005700.465124637</v>
      </c>
      <c r="BK32">
        <f t="shared" si="15"/>
        <v>25005700.465124637</v>
      </c>
      <c r="BL32">
        <f t="shared" si="15"/>
        <v>25005700.465124637</v>
      </c>
      <c r="BM32">
        <f t="shared" si="15"/>
        <v>25005700.465124637</v>
      </c>
      <c r="BN32">
        <f t="shared" si="15"/>
        <v>25005700.465124637</v>
      </c>
      <c r="BO32">
        <f t="shared" si="15"/>
        <v>25005700.465124637</v>
      </c>
      <c r="BP32">
        <f t="shared" si="15"/>
        <v>25005700.465124637</v>
      </c>
      <c r="BQ32">
        <f t="shared" ref="BQ32:BU32" si="16">BQ30+BQ31</f>
        <v>25005700.465124637</v>
      </c>
      <c r="BR32">
        <f t="shared" si="16"/>
        <v>25005700.465124637</v>
      </c>
      <c r="BS32">
        <f t="shared" si="16"/>
        <v>25005700.465124637</v>
      </c>
      <c r="BT32">
        <f t="shared" si="16"/>
        <v>25005700.465124637</v>
      </c>
      <c r="BU32">
        <f t="shared" si="16"/>
        <v>25005700.465124637</v>
      </c>
    </row>
    <row r="33" spans="1:73" x14ac:dyDescent="0.25">
      <c r="A33" t="s">
        <v>205</v>
      </c>
      <c r="B33" t="s">
        <v>184</v>
      </c>
      <c r="C33" t="s">
        <v>131</v>
      </c>
      <c r="D33">
        <f t="shared" ref="D33:AI33" si="17">IF(D7=1,$C$25-D30,0)</f>
        <v>25005700.465124637</v>
      </c>
      <c r="E33">
        <f t="shared" si="17"/>
        <v>21310378.1420759</v>
      </c>
      <c r="F33">
        <f t="shared" si="17"/>
        <v>12601985.013006074</v>
      </c>
      <c r="G33">
        <f t="shared" si="17"/>
        <v>3806760.2557787448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 x14ac:dyDescent="0.25">
      <c r="A34" s="50" t="s">
        <v>207</v>
      </c>
      <c r="B34" s="50"/>
      <c r="C34" s="50"/>
    </row>
    <row r="35" spans="1:73" x14ac:dyDescent="0.25">
      <c r="A35" t="s">
        <v>201</v>
      </c>
      <c r="B35" t="s">
        <v>165</v>
      </c>
      <c r="C35">
        <f>SUM(D27:BU27)+SUM(D28:BU28)-C18</f>
        <v>0</v>
      </c>
      <c r="D35" s="37" t="s">
        <v>167</v>
      </c>
    </row>
    <row r="36" spans="1:73" x14ac:dyDescent="0.25">
      <c r="A36" t="s">
        <v>200</v>
      </c>
      <c r="B36" t="s">
        <v>165</v>
      </c>
      <c r="C36">
        <f>INDEX(D32:BU32,MAX(D11:BU11))-$C$25</f>
        <v>0</v>
      </c>
      <c r="D36" s="37" t="s">
        <v>167</v>
      </c>
    </row>
    <row r="37" spans="1:73" ht="15.75" x14ac:dyDescent="0.25">
      <c r="A37" s="50" t="s">
        <v>208</v>
      </c>
      <c r="B37" s="50"/>
      <c r="C37" s="50"/>
    </row>
    <row r="38" spans="1:73" x14ac:dyDescent="0.25">
      <c r="A38" t="s">
        <v>209</v>
      </c>
      <c r="B38" t="s">
        <v>184</v>
      </c>
      <c r="D38">
        <f>(D30+D32)/2 *  D7</f>
        <v>1847661.1615243691</v>
      </c>
      <c r="E38">
        <f t="shared" ref="E38:BP38" si="20">(E30+E32)/2 *  E7</f>
        <v>8049518.8875836506</v>
      </c>
      <c r="F38">
        <f t="shared" si="20"/>
        <v>16801327.830732226</v>
      </c>
      <c r="G38">
        <f t="shared" si="20"/>
        <v>23102320.337235264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 x14ac:dyDescent="0.25">
      <c r="A39" t="s">
        <v>44</v>
      </c>
      <c r="B39" t="s">
        <v>184</v>
      </c>
      <c r="C39">
        <f>SUM(D39:BU39)</f>
        <v>375085.50697686954</v>
      </c>
      <c r="D39">
        <f>IF(D11=1,Inputs!$B$50*$C$25,0)</f>
        <v>375085.50697686954</v>
      </c>
      <c r="E39">
        <f>IF(E11=1,Inputs!$B$50*$C$25,0)</f>
        <v>0</v>
      </c>
      <c r="F39">
        <f>IF(F11=1,Inputs!$B$50*$C$25,0)</f>
        <v>0</v>
      </c>
      <c r="G39">
        <f>IF(G11=1,Inputs!$B$50*$C$25,0)</f>
        <v>0</v>
      </c>
      <c r="H39">
        <f>IF(H11=1,Inputs!$B$50*$C$25,0)</f>
        <v>0</v>
      </c>
      <c r="I39">
        <f>IF(I11=1,Inputs!$B$50*$C$25,0)</f>
        <v>0</v>
      </c>
      <c r="J39">
        <f>IF(J11=1,Inputs!$B$50*$C$25,0)</f>
        <v>0</v>
      </c>
      <c r="K39">
        <f>IF(K11=1,Inputs!$B$50*$C$25,0)</f>
        <v>0</v>
      </c>
      <c r="L39">
        <f>IF(L11=1,Inputs!$B$50*$C$25,0)</f>
        <v>0</v>
      </c>
      <c r="M39">
        <f>IF(M11=1,Inputs!$B$50*$C$25,0)</f>
        <v>0</v>
      </c>
      <c r="N39">
        <f>IF(N11=1,Inputs!$B$50*$C$25,0)</f>
        <v>0</v>
      </c>
      <c r="O39">
        <f>IF(O11=1,Inputs!$B$50*$C$25,0)</f>
        <v>0</v>
      </c>
      <c r="P39">
        <f>IF(P11=1,Inputs!$B$50*$C$25,0)</f>
        <v>0</v>
      </c>
      <c r="Q39">
        <f>IF(Q11=1,Inputs!$B$50*$C$25,0)</f>
        <v>0</v>
      </c>
      <c r="R39">
        <f>IF(R11=1,Inputs!$B$50*$C$25,0)</f>
        <v>0</v>
      </c>
      <c r="S39">
        <f>IF(S11=1,Inputs!$B$50*$C$25,0)</f>
        <v>0</v>
      </c>
      <c r="T39">
        <f>IF(T11=1,Inputs!$B$50*$C$25,0)</f>
        <v>0</v>
      </c>
      <c r="U39">
        <f>IF(U11=1,Inputs!$B$50*$C$25,0)</f>
        <v>0</v>
      </c>
      <c r="V39">
        <f>IF(V11=1,Inputs!$B$50*$C$25,0)</f>
        <v>0</v>
      </c>
      <c r="W39">
        <f>IF(W11=1,Inputs!$B$50*$C$25,0)</f>
        <v>0</v>
      </c>
      <c r="X39">
        <f>IF(X11=1,Inputs!$B$50*$C$25,0)</f>
        <v>0</v>
      </c>
      <c r="Y39">
        <f>IF(Y11=1,Inputs!$B$50*$C$25,0)</f>
        <v>0</v>
      </c>
      <c r="Z39">
        <f>IF(Z11=1,Inputs!$B$50*$C$25,0)</f>
        <v>0</v>
      </c>
      <c r="AA39">
        <f>IF(AA11=1,Inputs!$B$50*$C$25,0)</f>
        <v>0</v>
      </c>
      <c r="AB39">
        <f>IF(AB11=1,Inputs!$B$50*$C$25,0)</f>
        <v>0</v>
      </c>
      <c r="AC39">
        <f>IF(AC11=1,Inputs!$B$50*$C$25,0)</f>
        <v>0</v>
      </c>
      <c r="AD39">
        <f>IF(AD11=1,Inputs!$B$50*$C$25,0)</f>
        <v>0</v>
      </c>
      <c r="AE39">
        <f>IF(AE11=1,Inputs!$B$50*$C$25,0)</f>
        <v>0</v>
      </c>
      <c r="AF39">
        <f>IF(AF11=1,Inputs!$B$50*$C$25,0)</f>
        <v>0</v>
      </c>
      <c r="AG39">
        <f>IF(AG11=1,Inputs!$B$50*$C$25,0)</f>
        <v>0</v>
      </c>
      <c r="AH39">
        <f>IF(AH11=1,Inputs!$B$50*$C$25,0)</f>
        <v>0</v>
      </c>
      <c r="AI39">
        <f>IF(AI11=1,Inputs!$B$50*$C$25,0)</f>
        <v>0</v>
      </c>
      <c r="AJ39">
        <f>IF(AJ11=1,Inputs!$B$50*$C$25,0)</f>
        <v>0</v>
      </c>
      <c r="AK39">
        <f>IF(AK11=1,Inputs!$B$50*$C$25,0)</f>
        <v>0</v>
      </c>
      <c r="AL39">
        <f>IF(AL11=1,Inputs!$B$50*$C$25,0)</f>
        <v>0</v>
      </c>
      <c r="AM39">
        <f>IF(AM11=1,Inputs!$B$50*$C$25,0)</f>
        <v>0</v>
      </c>
      <c r="AN39">
        <f>IF(AN11=1,Inputs!$B$50*$C$25,0)</f>
        <v>0</v>
      </c>
      <c r="AO39">
        <f>IF(AO11=1,Inputs!$B$50*$C$25,0)</f>
        <v>0</v>
      </c>
      <c r="AP39">
        <f>IF(AP11=1,Inputs!$B$50*$C$25,0)</f>
        <v>0</v>
      </c>
      <c r="AQ39">
        <f>IF(AQ11=1,Inputs!$B$50*$C$25,0)</f>
        <v>0</v>
      </c>
      <c r="AR39">
        <f>IF(AR11=1,Inputs!$B$50*$C$25,0)</f>
        <v>0</v>
      </c>
      <c r="AS39">
        <f>IF(AS11=1,Inputs!$B$50*$C$25,0)</f>
        <v>0</v>
      </c>
      <c r="AT39">
        <f>IF(AT11=1,Inputs!$B$50*$C$25,0)</f>
        <v>0</v>
      </c>
      <c r="AU39">
        <f>IF(AU11=1,Inputs!$B$50*$C$25,0)</f>
        <v>0</v>
      </c>
      <c r="AV39">
        <f>IF(AV11=1,Inputs!$B$50*$C$25,0)</f>
        <v>0</v>
      </c>
      <c r="AW39">
        <f>IF(AW11=1,Inputs!$B$50*$C$25,0)</f>
        <v>0</v>
      </c>
      <c r="AX39">
        <f>IF(AX11=1,Inputs!$B$50*$C$25,0)</f>
        <v>0</v>
      </c>
      <c r="AY39">
        <f>IF(AY11=1,Inputs!$B$50*$C$25,0)</f>
        <v>0</v>
      </c>
      <c r="AZ39">
        <f>IF(AZ11=1,Inputs!$B$50*$C$25,0)</f>
        <v>0</v>
      </c>
      <c r="BA39">
        <f>IF(BA11=1,Inputs!$B$50*$C$25,0)</f>
        <v>0</v>
      </c>
      <c r="BB39">
        <f>IF(BB11=1,Inputs!$B$50*$C$25,0)</f>
        <v>0</v>
      </c>
      <c r="BC39">
        <f>IF(BC11=1,Inputs!$B$50*$C$25,0)</f>
        <v>0</v>
      </c>
      <c r="BD39">
        <f>IF(BD11=1,Inputs!$B$50*$C$25,0)</f>
        <v>0</v>
      </c>
      <c r="BE39">
        <f>IF(BE11=1,Inputs!$B$50*$C$25,0)</f>
        <v>0</v>
      </c>
      <c r="BF39">
        <f>IF(BF11=1,Inputs!$B$50*$C$25,0)</f>
        <v>0</v>
      </c>
      <c r="BG39">
        <f>IF(BG11=1,Inputs!$B$50*$C$25,0)</f>
        <v>0</v>
      </c>
      <c r="BH39">
        <f>IF(BH11=1,Inputs!$B$50*$C$25,0)</f>
        <v>0</v>
      </c>
      <c r="BI39">
        <f>IF(BI11=1,Inputs!$B$50*$C$25,0)</f>
        <v>0</v>
      </c>
      <c r="BJ39">
        <f>IF(BJ11=1,Inputs!$B$50*$C$25,0)</f>
        <v>0</v>
      </c>
      <c r="BK39">
        <f>IF(BK11=1,Inputs!$B$50*$C$25,0)</f>
        <v>0</v>
      </c>
      <c r="BL39">
        <f>IF(BL11=1,Inputs!$B$50*$C$25,0)</f>
        <v>0</v>
      </c>
      <c r="BM39">
        <f>IF(BM11=1,Inputs!$B$50*$C$25,0)</f>
        <v>0</v>
      </c>
      <c r="BN39">
        <f>IF(BN11=1,Inputs!$B$50*$C$25,0)</f>
        <v>0</v>
      </c>
      <c r="BO39">
        <f>IF(BO11=1,Inputs!$B$50*$C$25,0)</f>
        <v>0</v>
      </c>
      <c r="BP39">
        <f>IF(BP11=1,Inputs!$B$50*$C$25,0)</f>
        <v>0</v>
      </c>
      <c r="BQ39">
        <f>IF(BQ11=1,Inputs!$B$50*$C$25,0)</f>
        <v>0</v>
      </c>
      <c r="BR39">
        <f>IF(BR11=1,Inputs!$B$50*$C$25,0)</f>
        <v>0</v>
      </c>
      <c r="BS39">
        <f>IF(BS11=1,Inputs!$B$50*$C$25,0)</f>
        <v>0</v>
      </c>
      <c r="BT39">
        <f>IF(BT11=1,Inputs!$B$50*$C$25,0)</f>
        <v>0</v>
      </c>
      <c r="BU39">
        <f>IF(BU11=1,Inputs!$B$50*$C$25,0)</f>
        <v>0</v>
      </c>
    </row>
    <row r="40" spans="1:73" x14ac:dyDescent="0.25">
      <c r="A40" t="s">
        <v>45</v>
      </c>
      <c r="B40" t="s">
        <v>184</v>
      </c>
      <c r="C40">
        <f t="shared" ref="C40:C43" si="22">SUM(D40:BU40)</f>
        <v>125554.9341085576</v>
      </c>
      <c r="D40">
        <f>($C$25-D38)* Inputs!$B$51/2 *D7</f>
        <v>57895.098259000668</v>
      </c>
      <c r="E40">
        <f>($C$25-E38)* Inputs!$B$51/2 *E7</f>
        <v>42390.453943852466</v>
      </c>
      <c r="F40">
        <f>($C$25-F38)* Inputs!$B$51/2 *F7</f>
        <v>20510.931585981027</v>
      </c>
      <c r="G40">
        <f>($C$25-G38)* Inputs!$B$51/2 *G7</f>
        <v>4758.4503197234308</v>
      </c>
      <c r="H40">
        <f>($C$25-H38)* Inputs!$B$51/2 *H7</f>
        <v>0</v>
      </c>
      <c r="I40">
        <f>($C$25-I38)* Inputs!$B$51/2 *I7</f>
        <v>0</v>
      </c>
      <c r="J40">
        <f>($C$25-J38)* Inputs!$B$51/2 *J7</f>
        <v>0</v>
      </c>
      <c r="K40">
        <f>($C$25-K38)* Inputs!$B$51/2 *K7</f>
        <v>0</v>
      </c>
      <c r="L40">
        <f>($C$25-L38)* Inputs!$B$51/2 *L7</f>
        <v>0</v>
      </c>
      <c r="M40">
        <f>($C$25-M38)* Inputs!$B$51/2 *M7</f>
        <v>0</v>
      </c>
      <c r="N40">
        <f>($C$25-N38)* Inputs!$B$51/2 *N7</f>
        <v>0</v>
      </c>
      <c r="O40">
        <f>($C$25-O38)* Inputs!$B$51/2 *O7</f>
        <v>0</v>
      </c>
      <c r="P40">
        <f>($C$25-P38)* Inputs!$B$51/2 *P7</f>
        <v>0</v>
      </c>
      <c r="Q40">
        <f>($C$25-Q38)* Inputs!$B$51/2 *Q7</f>
        <v>0</v>
      </c>
      <c r="R40">
        <f>($C$25-R38)* Inputs!$B$51/2 *R7</f>
        <v>0</v>
      </c>
      <c r="S40">
        <f>($C$25-S38)* Inputs!$B$51/2 *S7</f>
        <v>0</v>
      </c>
      <c r="T40">
        <f>($C$25-T38)* Inputs!$B$51/2 *T7</f>
        <v>0</v>
      </c>
      <c r="U40">
        <f>($C$25-U38)* Inputs!$B$51/2 *U7</f>
        <v>0</v>
      </c>
      <c r="V40">
        <f>($C$25-V38)* Inputs!$B$51/2 *V7</f>
        <v>0</v>
      </c>
      <c r="W40">
        <f>($C$25-W38)* Inputs!$B$51/2 *W7</f>
        <v>0</v>
      </c>
      <c r="X40">
        <f>($C$25-X38)* Inputs!$B$51/2 *X7</f>
        <v>0</v>
      </c>
      <c r="Y40">
        <f>($C$25-Y38)* Inputs!$B$51/2 *Y7</f>
        <v>0</v>
      </c>
      <c r="Z40">
        <f>($C$25-Z38)* Inputs!$B$51/2 *Z7</f>
        <v>0</v>
      </c>
      <c r="AA40">
        <f>($C$25-AA38)* Inputs!$B$51/2 *AA7</f>
        <v>0</v>
      </c>
      <c r="AB40">
        <f>($C$25-AB38)* Inputs!$B$51/2 *AB7</f>
        <v>0</v>
      </c>
      <c r="AC40">
        <f>($C$25-AC38)* Inputs!$B$51/2 *AC7</f>
        <v>0</v>
      </c>
      <c r="AD40">
        <f>($C$25-AD38)* Inputs!$B$51/2 *AD7</f>
        <v>0</v>
      </c>
      <c r="AE40">
        <f>($C$25-AE38)* Inputs!$B$51/2 *AE7</f>
        <v>0</v>
      </c>
      <c r="AF40">
        <f>($C$25-AF38)* Inputs!$B$51/2 *AF7</f>
        <v>0</v>
      </c>
      <c r="AG40">
        <f>($C$25-AG38)* Inputs!$B$51/2 *AG7</f>
        <v>0</v>
      </c>
      <c r="AH40">
        <f>($C$25-AH38)* Inputs!$B$51/2 *AH7</f>
        <v>0</v>
      </c>
      <c r="AI40">
        <f>($C$25-AI38)* Inputs!$B$51/2 *AI7</f>
        <v>0</v>
      </c>
      <c r="AJ40">
        <f>($C$25-AJ38)* Inputs!$B$51/2 *AJ7</f>
        <v>0</v>
      </c>
      <c r="AK40">
        <f>($C$25-AK38)* Inputs!$B$51/2 *AK7</f>
        <v>0</v>
      </c>
      <c r="AL40">
        <f>($C$25-AL38)* Inputs!$B$51/2 *AL7</f>
        <v>0</v>
      </c>
      <c r="AM40">
        <f>($C$25-AM38)* Inputs!$B$51/2 *AM7</f>
        <v>0</v>
      </c>
      <c r="AN40">
        <f>($C$25-AN38)* Inputs!$B$51/2 *AN7</f>
        <v>0</v>
      </c>
      <c r="AO40">
        <f>($C$25-AO38)* Inputs!$B$51/2 *AO7</f>
        <v>0</v>
      </c>
      <c r="AP40">
        <f>($C$25-AP38)* Inputs!$B$51/2 *AP7</f>
        <v>0</v>
      </c>
      <c r="AQ40">
        <f>($C$25-AQ38)* Inputs!$B$51/2 *AQ7</f>
        <v>0</v>
      </c>
      <c r="AR40">
        <f>($C$25-AR38)* Inputs!$B$51/2 *AR7</f>
        <v>0</v>
      </c>
      <c r="AS40">
        <f>($C$25-AS38)* Inputs!$B$51/2 *AS7</f>
        <v>0</v>
      </c>
      <c r="AT40">
        <f>($C$25-AT38)* Inputs!$B$51/2 *AT7</f>
        <v>0</v>
      </c>
      <c r="AU40">
        <f>($C$25-AU38)* Inputs!$B$51/2 *AU7</f>
        <v>0</v>
      </c>
      <c r="AV40">
        <f>($C$25-AV38)* Inputs!$B$51/2 *AV7</f>
        <v>0</v>
      </c>
      <c r="AW40">
        <f>($C$25-AW38)* Inputs!$B$51/2 *AW7</f>
        <v>0</v>
      </c>
      <c r="AX40">
        <f>($C$25-AX38)* Inputs!$B$51/2 *AX7</f>
        <v>0</v>
      </c>
      <c r="AY40">
        <f>($C$25-AY38)* Inputs!$B$51/2 *AY7</f>
        <v>0</v>
      </c>
      <c r="AZ40">
        <f>($C$25-AZ38)* Inputs!$B$51/2 *AZ7</f>
        <v>0</v>
      </c>
      <c r="BA40">
        <f>($C$25-BA38)* Inputs!$B$51/2 *BA7</f>
        <v>0</v>
      </c>
      <c r="BB40">
        <f>($C$25-BB38)* Inputs!$B$51/2 *BB7</f>
        <v>0</v>
      </c>
      <c r="BC40">
        <f>($C$25-BC38)* Inputs!$B$51/2 *BC7</f>
        <v>0</v>
      </c>
      <c r="BD40">
        <f>($C$25-BD38)* Inputs!$B$51/2 *BD7</f>
        <v>0</v>
      </c>
      <c r="BE40">
        <f>($C$25-BE38)* Inputs!$B$51/2 *BE7</f>
        <v>0</v>
      </c>
      <c r="BF40">
        <f>($C$25-BF38)* Inputs!$B$51/2 *BF7</f>
        <v>0</v>
      </c>
      <c r="BG40">
        <f>($C$25-BG38)* Inputs!$B$51/2 *BG7</f>
        <v>0</v>
      </c>
      <c r="BH40">
        <f>($C$25-BH38)* Inputs!$B$51/2 *BH7</f>
        <v>0</v>
      </c>
      <c r="BI40">
        <f>($C$25-BI38)* Inputs!$B$51/2 *BI7</f>
        <v>0</v>
      </c>
      <c r="BJ40">
        <f>($C$25-BJ38)* Inputs!$B$51/2 *BJ7</f>
        <v>0</v>
      </c>
      <c r="BK40">
        <f>($C$25-BK38)* Inputs!$B$51/2 *BK7</f>
        <v>0</v>
      </c>
      <c r="BL40">
        <f>($C$25-BL38)* Inputs!$B$51/2 *BL7</f>
        <v>0</v>
      </c>
      <c r="BM40">
        <f>($C$25-BM38)* Inputs!$B$51/2 *BM7</f>
        <v>0</v>
      </c>
      <c r="BN40">
        <f>($C$25-BN38)* Inputs!$B$51/2 *BN7</f>
        <v>0</v>
      </c>
      <c r="BO40">
        <f>($C$25-BO38)* Inputs!$B$51/2 *BO7</f>
        <v>0</v>
      </c>
      <c r="BP40">
        <f>($C$25-BP38)* Inputs!$B$51/2 *BP7</f>
        <v>0</v>
      </c>
      <c r="BQ40">
        <f>($C$25-BQ38)* Inputs!$B$51/2 *BQ7</f>
        <v>0</v>
      </c>
      <c r="BR40">
        <f>($C$25-BR38)* Inputs!$B$51/2 *BR7</f>
        <v>0</v>
      </c>
      <c r="BS40">
        <f>($C$25-BS38)* Inputs!$B$51/2 *BS7</f>
        <v>0</v>
      </c>
      <c r="BT40">
        <f>($C$25-BT38)* Inputs!$B$51/2 *BT7</f>
        <v>0</v>
      </c>
      <c r="BU40">
        <f>($C$25-BU38)* Inputs!$B$51/2 *BU7</f>
        <v>0</v>
      </c>
    </row>
    <row r="41" spans="1:73" x14ac:dyDescent="0.25">
      <c r="A41" t="s">
        <v>210</v>
      </c>
      <c r="B41" t="s">
        <v>184</v>
      </c>
      <c r="C41">
        <f t="shared" si="22"/>
        <v>2241037.2697683978</v>
      </c>
      <c r="D41">
        <f>D38*Inputs!$B$43*D7</f>
        <v>83144.752268596611</v>
      </c>
      <c r="E41">
        <f>E38*Inputs!$B$43*E7</f>
        <v>362228.34994126426</v>
      </c>
      <c r="F41">
        <f>F38*Inputs!$B$43*F7</f>
        <v>756059.75238295016</v>
      </c>
      <c r="G41">
        <f>G38*Inputs!$B$43*G7</f>
        <v>1039604.4151755868</v>
      </c>
      <c r="H41">
        <f>H38*Inputs!$B$43*H7</f>
        <v>0</v>
      </c>
      <c r="I41">
        <f>I38*Inputs!$B$43*I7</f>
        <v>0</v>
      </c>
      <c r="J41">
        <f>J38*Inputs!$B$43*J7</f>
        <v>0</v>
      </c>
      <c r="K41">
        <f>K38*Inputs!$B$43*K7</f>
        <v>0</v>
      </c>
      <c r="L41">
        <f>L38*Inputs!$B$43*L7</f>
        <v>0</v>
      </c>
      <c r="M41">
        <f>M38*Inputs!$B$43*M7</f>
        <v>0</v>
      </c>
      <c r="N41">
        <f>N38*Inputs!$B$43*N7</f>
        <v>0</v>
      </c>
      <c r="O41">
        <f>O38*Inputs!$B$43*O7</f>
        <v>0</v>
      </c>
      <c r="P41">
        <f>P38*Inputs!$B$43*P7</f>
        <v>0</v>
      </c>
      <c r="Q41">
        <f>Q38*Inputs!$B$43*Q7</f>
        <v>0</v>
      </c>
      <c r="R41">
        <f>R38*Inputs!$B$43*R7</f>
        <v>0</v>
      </c>
      <c r="S41">
        <f>S38*Inputs!$B$43*S7</f>
        <v>0</v>
      </c>
      <c r="T41">
        <f>T38*Inputs!$B$43*T7</f>
        <v>0</v>
      </c>
      <c r="U41">
        <f>U38*Inputs!$B$43*U7</f>
        <v>0</v>
      </c>
      <c r="V41">
        <f>V38*Inputs!$B$43*V7</f>
        <v>0</v>
      </c>
      <c r="W41">
        <f>W38*Inputs!$B$43*W7</f>
        <v>0</v>
      </c>
      <c r="X41">
        <f>X38*Inputs!$B$43*X7</f>
        <v>0</v>
      </c>
      <c r="Y41">
        <f>Y38*Inputs!$B$43*Y7</f>
        <v>0</v>
      </c>
      <c r="Z41">
        <f>Z38*Inputs!$B$43*Z7</f>
        <v>0</v>
      </c>
      <c r="AA41">
        <f>AA38*Inputs!$B$43*AA7</f>
        <v>0</v>
      </c>
      <c r="AB41">
        <f>AB38*Inputs!$B$43*AB7</f>
        <v>0</v>
      </c>
      <c r="AC41">
        <f>AC38*Inputs!$B$43*AC7</f>
        <v>0</v>
      </c>
      <c r="AD41">
        <f>AD38*Inputs!$B$43*AD7</f>
        <v>0</v>
      </c>
      <c r="AE41">
        <f>AE38*Inputs!$B$43*AE7</f>
        <v>0</v>
      </c>
      <c r="AF41">
        <f>AF38*Inputs!$B$43*AF7</f>
        <v>0</v>
      </c>
      <c r="AG41">
        <f>AG38*Inputs!$B$43*AG7</f>
        <v>0</v>
      </c>
      <c r="AH41">
        <f>AH38*Inputs!$B$43*AH7</f>
        <v>0</v>
      </c>
      <c r="AI41">
        <f>AI38*Inputs!$B$43*AI7</f>
        <v>0</v>
      </c>
      <c r="AJ41">
        <f>AJ38*Inputs!$B$43*AJ7</f>
        <v>0</v>
      </c>
      <c r="AK41">
        <f>AK38*Inputs!$B$43*AK7</f>
        <v>0</v>
      </c>
      <c r="AL41">
        <f>AL38*Inputs!$B$43*AL7</f>
        <v>0</v>
      </c>
      <c r="AM41">
        <f>AM38*Inputs!$B$43*AM7</f>
        <v>0</v>
      </c>
      <c r="AN41">
        <f>AN38*Inputs!$B$43*AN7</f>
        <v>0</v>
      </c>
      <c r="AO41">
        <f>AO38*Inputs!$B$43*AO7</f>
        <v>0</v>
      </c>
      <c r="AP41">
        <f>AP38*Inputs!$B$43*AP7</f>
        <v>0</v>
      </c>
      <c r="AQ41">
        <f>AQ38*Inputs!$B$43*AQ7</f>
        <v>0</v>
      </c>
      <c r="AR41">
        <f>AR38*Inputs!$B$43*AR7</f>
        <v>0</v>
      </c>
      <c r="AS41">
        <f>AS38*Inputs!$B$43*AS7</f>
        <v>0</v>
      </c>
      <c r="AT41">
        <f>AT38*Inputs!$B$43*AT7</f>
        <v>0</v>
      </c>
      <c r="AU41">
        <f>AU38*Inputs!$B$43*AU7</f>
        <v>0</v>
      </c>
      <c r="AV41">
        <f>AV38*Inputs!$B$43*AV7</f>
        <v>0</v>
      </c>
      <c r="AW41">
        <f>AW38*Inputs!$B$43*AW7</f>
        <v>0</v>
      </c>
      <c r="AX41">
        <f>AX38*Inputs!$B$43*AX7</f>
        <v>0</v>
      </c>
      <c r="AY41">
        <f>AY38*Inputs!$B$43*AY7</f>
        <v>0</v>
      </c>
      <c r="AZ41">
        <f>AZ38*Inputs!$B$43*AZ7</f>
        <v>0</v>
      </c>
      <c r="BA41">
        <f>BA38*Inputs!$B$43*BA7</f>
        <v>0</v>
      </c>
      <c r="BB41">
        <f>BB38*Inputs!$B$43*BB7</f>
        <v>0</v>
      </c>
      <c r="BC41">
        <f>BC38*Inputs!$B$43*BC7</f>
        <v>0</v>
      </c>
      <c r="BD41">
        <f>BD38*Inputs!$B$43*BD7</f>
        <v>0</v>
      </c>
      <c r="BE41">
        <f>BE38*Inputs!$B$43*BE7</f>
        <v>0</v>
      </c>
      <c r="BF41">
        <f>BF38*Inputs!$B$43*BF7</f>
        <v>0</v>
      </c>
      <c r="BG41">
        <f>BG38*Inputs!$B$43*BG7</f>
        <v>0</v>
      </c>
      <c r="BH41">
        <f>BH38*Inputs!$B$43*BH7</f>
        <v>0</v>
      </c>
      <c r="BI41">
        <f>BI38*Inputs!$B$43*BI7</f>
        <v>0</v>
      </c>
      <c r="BJ41">
        <f>BJ38*Inputs!$B$43*BJ7</f>
        <v>0</v>
      </c>
      <c r="BK41">
        <f>BK38*Inputs!$B$43*BK7</f>
        <v>0</v>
      </c>
      <c r="BL41">
        <f>BL38*Inputs!$B$43*BL7</f>
        <v>0</v>
      </c>
      <c r="BM41">
        <f>BM38*Inputs!$B$43*BM7</f>
        <v>0</v>
      </c>
      <c r="BN41">
        <f>BN38*Inputs!$B$43*BN7</f>
        <v>0</v>
      </c>
      <c r="BO41">
        <f>BO38*Inputs!$B$43*BO7</f>
        <v>0</v>
      </c>
      <c r="BP41">
        <f>BP38*Inputs!$B$43*BP7</f>
        <v>0</v>
      </c>
      <c r="BQ41">
        <f>BQ38*Inputs!$B$43*BQ7</f>
        <v>0</v>
      </c>
      <c r="BR41">
        <f>BR38*Inputs!$B$43*BR7</f>
        <v>0</v>
      </c>
      <c r="BS41">
        <f>BS38*Inputs!$B$43*BS7</f>
        <v>0</v>
      </c>
      <c r="BT41">
        <f>BT38*Inputs!$B$43*BT7</f>
        <v>0</v>
      </c>
      <c r="BU41">
        <f>BU38*Inputs!$B$43*BU7</f>
        <v>0</v>
      </c>
    </row>
    <row r="42" spans="1:73" x14ac:dyDescent="0.25">
      <c r="A42" t="s">
        <v>211</v>
      </c>
      <c r="B42" t="s">
        <v>184</v>
      </c>
      <c r="C42">
        <f t="shared" si="22"/>
        <v>2741677.7108538249</v>
      </c>
      <c r="D42">
        <f>SUM(D39:D41)</f>
        <v>516125.35750446684</v>
      </c>
      <c r="E42">
        <f t="shared" ref="E42:BP42" si="23">SUM(E39:E41)</f>
        <v>404618.80388511671</v>
      </c>
      <c r="F42">
        <f t="shared" si="23"/>
        <v>776570.6839689312</v>
      </c>
      <c r="G42">
        <f t="shared" si="23"/>
        <v>1044362.8654953103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 x14ac:dyDescent="0.25">
      <c r="A43" t="s">
        <v>212</v>
      </c>
      <c r="B43" t="s">
        <v>184</v>
      </c>
      <c r="C43">
        <f t="shared" si="22"/>
        <v>13458406.481621528</v>
      </c>
      <c r="D43">
        <f>D28+D42</f>
        <v>2099834.924525355</v>
      </c>
      <c r="E43">
        <f t="shared" ref="E43:BP43" si="25">E28+E42</f>
        <v>4136787.2877721838</v>
      </c>
      <c r="F43">
        <f t="shared" si="25"/>
        <v>4545952.7227806449</v>
      </c>
      <c r="G43">
        <f t="shared" si="25"/>
        <v>2675831.5465433444</v>
      </c>
      <c r="H43">
        <f t="shared" si="25"/>
        <v>0</v>
      </c>
      <c r="I43">
        <f t="shared" si="25"/>
        <v>0</v>
      </c>
      <c r="J43">
        <f t="shared" si="25"/>
        <v>0</v>
      </c>
      <c r="K43">
        <f t="shared" si="25"/>
        <v>0</v>
      </c>
      <c r="L43">
        <f t="shared" si="25"/>
        <v>0</v>
      </c>
      <c r="M43">
        <f t="shared" si="25"/>
        <v>0</v>
      </c>
      <c r="N43">
        <f t="shared" si="25"/>
        <v>0</v>
      </c>
      <c r="O43">
        <f t="shared" si="25"/>
        <v>0</v>
      </c>
      <c r="P43">
        <f t="shared" si="25"/>
        <v>0</v>
      </c>
      <c r="Q43">
        <f t="shared" si="25"/>
        <v>0</v>
      </c>
      <c r="R43">
        <f t="shared" si="25"/>
        <v>0</v>
      </c>
      <c r="S43">
        <f t="shared" si="25"/>
        <v>0</v>
      </c>
      <c r="T43">
        <f t="shared" si="25"/>
        <v>0</v>
      </c>
      <c r="U43">
        <f t="shared" si="25"/>
        <v>0</v>
      </c>
      <c r="V43">
        <f t="shared" si="25"/>
        <v>0</v>
      </c>
      <c r="W43">
        <f t="shared" si="25"/>
        <v>0</v>
      </c>
      <c r="X43">
        <f t="shared" si="25"/>
        <v>0</v>
      </c>
      <c r="Y43">
        <f t="shared" si="25"/>
        <v>0</v>
      </c>
      <c r="Z43">
        <f t="shared" si="25"/>
        <v>0</v>
      </c>
      <c r="AA43">
        <f t="shared" si="25"/>
        <v>0</v>
      </c>
      <c r="AB43">
        <f t="shared" si="25"/>
        <v>0</v>
      </c>
      <c r="AC43">
        <f t="shared" si="25"/>
        <v>0</v>
      </c>
      <c r="AD43">
        <f t="shared" si="25"/>
        <v>0</v>
      </c>
      <c r="AE43">
        <f t="shared" si="25"/>
        <v>0</v>
      </c>
      <c r="AF43">
        <f t="shared" si="25"/>
        <v>0</v>
      </c>
      <c r="AG43">
        <f t="shared" si="25"/>
        <v>0</v>
      </c>
      <c r="AH43">
        <f t="shared" si="25"/>
        <v>0</v>
      </c>
      <c r="AI43">
        <f t="shared" si="25"/>
        <v>0</v>
      </c>
      <c r="AJ43">
        <f t="shared" si="25"/>
        <v>0</v>
      </c>
      <c r="AK43">
        <f t="shared" si="25"/>
        <v>0</v>
      </c>
      <c r="AL43">
        <f t="shared" si="25"/>
        <v>0</v>
      </c>
      <c r="AM43">
        <f t="shared" si="25"/>
        <v>0</v>
      </c>
      <c r="AN43">
        <f t="shared" si="25"/>
        <v>0</v>
      </c>
      <c r="AO43">
        <f t="shared" si="25"/>
        <v>0</v>
      </c>
      <c r="AP43">
        <f t="shared" si="25"/>
        <v>0</v>
      </c>
      <c r="AQ43">
        <f t="shared" si="25"/>
        <v>0</v>
      </c>
      <c r="AR43">
        <f t="shared" si="25"/>
        <v>0</v>
      </c>
      <c r="AS43">
        <f t="shared" si="25"/>
        <v>0</v>
      </c>
      <c r="AT43">
        <f t="shared" si="25"/>
        <v>0</v>
      </c>
      <c r="AU43">
        <f t="shared" si="25"/>
        <v>0</v>
      </c>
      <c r="AV43">
        <f t="shared" si="25"/>
        <v>0</v>
      </c>
      <c r="AW43">
        <f t="shared" si="25"/>
        <v>0</v>
      </c>
      <c r="AX43">
        <f t="shared" si="25"/>
        <v>0</v>
      </c>
      <c r="AY43">
        <f t="shared" si="25"/>
        <v>0</v>
      </c>
      <c r="AZ43">
        <f t="shared" si="25"/>
        <v>0</v>
      </c>
      <c r="BA43">
        <f t="shared" si="25"/>
        <v>0</v>
      </c>
      <c r="BB43">
        <f t="shared" si="25"/>
        <v>0</v>
      </c>
      <c r="BC43">
        <f t="shared" si="25"/>
        <v>0</v>
      </c>
      <c r="BD43">
        <f t="shared" si="25"/>
        <v>0</v>
      </c>
      <c r="BE43">
        <f t="shared" si="25"/>
        <v>0</v>
      </c>
      <c r="BF43">
        <f t="shared" si="25"/>
        <v>0</v>
      </c>
      <c r="BG43">
        <f t="shared" si="25"/>
        <v>0</v>
      </c>
      <c r="BH43">
        <f t="shared" si="25"/>
        <v>0</v>
      </c>
      <c r="BI43">
        <f t="shared" si="25"/>
        <v>0</v>
      </c>
      <c r="BJ43">
        <f t="shared" si="25"/>
        <v>0</v>
      </c>
      <c r="BK43">
        <f t="shared" si="25"/>
        <v>0</v>
      </c>
      <c r="BL43">
        <f t="shared" si="25"/>
        <v>0</v>
      </c>
      <c r="BM43">
        <f t="shared" si="25"/>
        <v>0</v>
      </c>
      <c r="BN43">
        <f t="shared" si="25"/>
        <v>0</v>
      </c>
      <c r="BO43">
        <f t="shared" si="25"/>
        <v>0</v>
      </c>
      <c r="BP43">
        <f t="shared" si="25"/>
        <v>0</v>
      </c>
      <c r="BQ43">
        <f t="shared" ref="BQ43:BU43" si="26">BQ28+BQ42</f>
        <v>0</v>
      </c>
      <c r="BR43">
        <f t="shared" si="26"/>
        <v>0</v>
      </c>
      <c r="BS43">
        <f t="shared" si="26"/>
        <v>0</v>
      </c>
      <c r="BT43">
        <f t="shared" si="26"/>
        <v>0</v>
      </c>
      <c r="BU43">
        <f t="shared" si="26"/>
        <v>0</v>
      </c>
    </row>
    <row r="44" spans="1:73" ht="15.75" x14ac:dyDescent="0.25">
      <c r="A44" s="50" t="s">
        <v>216</v>
      </c>
      <c r="B44" s="50"/>
      <c r="C44" s="50"/>
    </row>
    <row r="45" spans="1:73" x14ac:dyDescent="0.25">
      <c r="A45" t="s">
        <v>180</v>
      </c>
      <c r="B45" t="s">
        <v>184</v>
      </c>
      <c r="C45">
        <f>C14</f>
        <v>35722429.235892341</v>
      </c>
    </row>
    <row r="46" spans="1:73" x14ac:dyDescent="0.25">
      <c r="A46" t="s">
        <v>102</v>
      </c>
      <c r="B46" t="s">
        <v>184</v>
      </c>
      <c r="C46">
        <f>C15</f>
        <v>0</v>
      </c>
    </row>
    <row r="47" spans="1:73" x14ac:dyDescent="0.25">
      <c r="A47" t="s">
        <v>103</v>
      </c>
      <c r="B47" t="s">
        <v>184</v>
      </c>
      <c r="C47">
        <f>C16</f>
        <v>0</v>
      </c>
    </row>
    <row r="48" spans="1:73" x14ac:dyDescent="0.25">
      <c r="A48" t="s">
        <v>44</v>
      </c>
      <c r="B48" t="s">
        <v>184</v>
      </c>
      <c r="C48">
        <f>C39</f>
        <v>375085.50697686954</v>
      </c>
    </row>
    <row r="49" spans="1:4" x14ac:dyDescent="0.25">
      <c r="A49" t="s">
        <v>213</v>
      </c>
      <c r="B49" t="s">
        <v>184</v>
      </c>
      <c r="C49">
        <f>C40</f>
        <v>125554.9341085576</v>
      </c>
    </row>
    <row r="50" spans="1:4" x14ac:dyDescent="0.25">
      <c r="A50" t="s">
        <v>210</v>
      </c>
      <c r="B50" t="s">
        <v>184</v>
      </c>
      <c r="C50">
        <f>C41</f>
        <v>2241037.2697683978</v>
      </c>
    </row>
    <row r="51" spans="1:4" x14ac:dyDescent="0.25">
      <c r="A51" t="s">
        <v>214</v>
      </c>
      <c r="B51" t="s">
        <v>184</v>
      </c>
      <c r="C51" s="48">
        <v>0</v>
      </c>
      <c r="D51" t="s">
        <v>225</v>
      </c>
    </row>
    <row r="52" spans="1:4" x14ac:dyDescent="0.25">
      <c r="A52" s="12" t="s">
        <v>215</v>
      </c>
      <c r="B52" s="12" t="s">
        <v>184</v>
      </c>
      <c r="C52" s="12">
        <f>SUM(C45:C51)</f>
        <v>38464106.946746163</v>
      </c>
    </row>
    <row r="53" spans="1:4" ht="15.75" x14ac:dyDescent="0.25">
      <c r="A53" s="50" t="s">
        <v>217</v>
      </c>
      <c r="B53" s="50"/>
      <c r="C53" s="50"/>
    </row>
    <row r="54" spans="1:4" x14ac:dyDescent="0.25">
      <c r="A54" t="s">
        <v>218</v>
      </c>
      <c r="B54" s="49" t="s">
        <v>184</v>
      </c>
      <c r="C54">
        <f>C27</f>
        <v>25005700.465124637</v>
      </c>
    </row>
    <row r="55" spans="1:4" x14ac:dyDescent="0.25">
      <c r="A55" t="s">
        <v>219</v>
      </c>
      <c r="B55" s="49" t="s">
        <v>184</v>
      </c>
      <c r="C55">
        <f>C43</f>
        <v>13458406.481621528</v>
      </c>
    </row>
    <row r="56" spans="1:4" x14ac:dyDescent="0.25">
      <c r="A56" s="12" t="s">
        <v>220</v>
      </c>
      <c r="B56" s="49" t="s">
        <v>184</v>
      </c>
      <c r="C56" s="12">
        <f>SUM(C54:C55)</f>
        <v>38464106.946746163</v>
      </c>
    </row>
    <row r="58" spans="1:4" x14ac:dyDescent="0.25">
      <c r="A58" t="s">
        <v>221</v>
      </c>
      <c r="B58" t="s">
        <v>20</v>
      </c>
      <c r="C58" s="46">
        <f>C54/C56</f>
        <v>0.6501047976947758</v>
      </c>
    </row>
    <row r="59" spans="1:4" x14ac:dyDescent="0.25">
      <c r="A59" t="s">
        <v>222</v>
      </c>
      <c r="B59" t="s">
        <v>20</v>
      </c>
      <c r="C59" s="46">
        <f>C55/C56</f>
        <v>0.3498952023052242</v>
      </c>
    </row>
    <row r="60" spans="1:4" ht="15.75" x14ac:dyDescent="0.25">
      <c r="A60" s="50" t="s">
        <v>223</v>
      </c>
      <c r="B60" s="50"/>
      <c r="C60" s="50"/>
    </row>
    <row r="61" spans="1:4" x14ac:dyDescent="0.25">
      <c r="A61" t="s">
        <v>224</v>
      </c>
      <c r="B61" t="s">
        <v>165</v>
      </c>
      <c r="C61">
        <f>C56-C52</f>
        <v>0</v>
      </c>
      <c r="D61" s="37" t="s">
        <v>167</v>
      </c>
    </row>
  </sheetData>
  <mergeCells count="9">
    <mergeCell ref="A60:C60"/>
    <mergeCell ref="A37:C37"/>
    <mergeCell ref="A44:C44"/>
    <mergeCell ref="A53:C53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52</v>
      </c>
    </row>
    <row r="2" spans="1:1" x14ac:dyDescent="0.25">
      <c r="A2" t="s">
        <v>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54</v>
      </c>
    </row>
    <row r="2" spans="1:1" x14ac:dyDescent="0.25">
      <c r="A2" t="s">
        <v>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56</v>
      </c>
    </row>
    <row r="2" spans="1:1" x14ac:dyDescent="0.25">
      <c r="A2" t="s">
        <v>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58</v>
      </c>
    </row>
    <row r="2" spans="1:1" x14ac:dyDescent="0.25">
      <c r="A2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60</v>
      </c>
    </row>
    <row r="2" spans="1:1" x14ac:dyDescent="0.25">
      <c r="A2" t="s">
        <v>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62</v>
      </c>
    </row>
    <row r="2" spans="1:1" x14ac:dyDescent="0.25">
      <c r="A2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64</v>
      </c>
    </row>
    <row r="2" spans="1:1" x14ac:dyDescent="0.25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66</v>
      </c>
    </row>
    <row r="2" spans="1:1" x14ac:dyDescent="0.25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2026-10-27T15:16:43Z</dcterms:modified>
</cp:coreProperties>
</file>