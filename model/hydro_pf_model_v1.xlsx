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firstSheet="4" activeTab="8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E31" i="9" l="1"/>
  <c r="D31" i="9"/>
  <c r="F25" i="9" l="1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J25" i="9"/>
  <c r="BK25" i="9"/>
  <c r="BL25" i="9"/>
  <c r="BM25" i="9"/>
  <c r="BN25" i="9"/>
  <c r="BO25" i="9"/>
  <c r="BP25" i="9"/>
  <c r="BQ25" i="9"/>
  <c r="BR25" i="9"/>
  <c r="BS25" i="9"/>
  <c r="BT25" i="9"/>
  <c r="BU25" i="9"/>
  <c r="E25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J24" i="9"/>
  <c r="BK24" i="9"/>
  <c r="BL24" i="9"/>
  <c r="BM24" i="9"/>
  <c r="BN24" i="9"/>
  <c r="BO24" i="9"/>
  <c r="BP24" i="9"/>
  <c r="BQ24" i="9"/>
  <c r="BR24" i="9"/>
  <c r="BS24" i="9"/>
  <c r="BT24" i="9"/>
  <c r="BU24" i="9"/>
  <c r="D24" i="9"/>
  <c r="E30" i="9" l="1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J30" i="9"/>
  <c r="BK30" i="9"/>
  <c r="BL30" i="9"/>
  <c r="BM30" i="9"/>
  <c r="BN30" i="9"/>
  <c r="BO30" i="9"/>
  <c r="BP30" i="9"/>
  <c r="BQ30" i="9"/>
  <c r="BR30" i="9"/>
  <c r="BS30" i="9"/>
  <c r="BT30" i="9"/>
  <c r="BU30" i="9"/>
  <c r="E27" i="9"/>
  <c r="F26" i="9"/>
  <c r="G27" i="9"/>
  <c r="K26" i="9"/>
  <c r="L26" i="9"/>
  <c r="M26" i="9"/>
  <c r="N26" i="9"/>
  <c r="O27" i="9"/>
  <c r="P27" i="9"/>
  <c r="Q26" i="9"/>
  <c r="R27" i="9"/>
  <c r="S26" i="9"/>
  <c r="X26" i="9"/>
  <c r="Y26" i="9"/>
  <c r="Z26" i="9"/>
  <c r="AA27" i="9"/>
  <c r="AB26" i="9"/>
  <c r="AC27" i="9"/>
  <c r="AD27" i="9"/>
  <c r="AE27" i="9"/>
  <c r="AJ26" i="9"/>
  <c r="AK26" i="9"/>
  <c r="AL26" i="9"/>
  <c r="AM27" i="9"/>
  <c r="AN27" i="9"/>
  <c r="AO27" i="9"/>
  <c r="AP27" i="9"/>
  <c r="AQ26" i="9"/>
  <c r="AV26" i="9"/>
  <c r="AW26" i="9"/>
  <c r="AX26" i="9"/>
  <c r="AY27" i="9"/>
  <c r="AZ27" i="9"/>
  <c r="BA27" i="9"/>
  <c r="BB26" i="9"/>
  <c r="BC27" i="9"/>
  <c r="BH26" i="9"/>
  <c r="BI26" i="9"/>
  <c r="BJ26" i="9"/>
  <c r="BK27" i="9"/>
  <c r="BL27" i="9"/>
  <c r="BM26" i="9"/>
  <c r="BN27" i="9"/>
  <c r="BO27" i="9"/>
  <c r="BT26" i="9"/>
  <c r="BU26" i="9"/>
  <c r="H26" i="9"/>
  <c r="I26" i="9"/>
  <c r="J26" i="9"/>
  <c r="T26" i="9"/>
  <c r="U26" i="9"/>
  <c r="V26" i="9"/>
  <c r="W26" i="9"/>
  <c r="AF26" i="9"/>
  <c r="AG26" i="9"/>
  <c r="AH26" i="9"/>
  <c r="AI26" i="9"/>
  <c r="AR26" i="9"/>
  <c r="AS26" i="9"/>
  <c r="AT26" i="9"/>
  <c r="AU26" i="9"/>
  <c r="BD26" i="9"/>
  <c r="BE26" i="9"/>
  <c r="BF26" i="9"/>
  <c r="BG26" i="9"/>
  <c r="BP26" i="9"/>
  <c r="BQ26" i="9"/>
  <c r="BR26" i="9"/>
  <c r="BS26" i="9"/>
  <c r="H27" i="9"/>
  <c r="I27" i="9"/>
  <c r="J27" i="9"/>
  <c r="K27" i="9"/>
  <c r="L27" i="9"/>
  <c r="M27" i="9"/>
  <c r="N27" i="9"/>
  <c r="T27" i="9"/>
  <c r="U27" i="9"/>
  <c r="V27" i="9"/>
  <c r="W27" i="9"/>
  <c r="X27" i="9"/>
  <c r="Y27" i="9"/>
  <c r="Z27" i="9"/>
  <c r="AF27" i="9"/>
  <c r="AG27" i="9"/>
  <c r="AH27" i="9"/>
  <c r="AI27" i="9"/>
  <c r="AJ27" i="9"/>
  <c r="AK27" i="9"/>
  <c r="AL27" i="9"/>
  <c r="AR27" i="9"/>
  <c r="AS27" i="9"/>
  <c r="AT27" i="9"/>
  <c r="AU27" i="9"/>
  <c r="AV27" i="9"/>
  <c r="AW27" i="9"/>
  <c r="AX27" i="9"/>
  <c r="BD27" i="9"/>
  <c r="BE27" i="9"/>
  <c r="BF27" i="9"/>
  <c r="BG27" i="9"/>
  <c r="BH27" i="9"/>
  <c r="BI27" i="9"/>
  <c r="BJ27" i="9"/>
  <c r="BP27" i="9"/>
  <c r="BQ27" i="9"/>
  <c r="BR27" i="9"/>
  <c r="BS27" i="9"/>
  <c r="BT27" i="9"/>
  <c r="BU27" i="9"/>
  <c r="D30" i="9"/>
  <c r="D26" i="9"/>
  <c r="D27" i="9"/>
  <c r="D25" i="9"/>
  <c r="D32" i="9" l="1"/>
  <c r="E29" i="9" s="1"/>
  <c r="BC26" i="9"/>
  <c r="E26" i="9"/>
  <c r="BO26" i="9"/>
  <c r="AD26" i="9"/>
  <c r="AC26" i="9"/>
  <c r="AQ27" i="9"/>
  <c r="AZ26" i="9"/>
  <c r="AY26" i="9"/>
  <c r="G26" i="9"/>
  <c r="AP26" i="9"/>
  <c r="S27" i="9"/>
  <c r="AN26" i="9"/>
  <c r="F27" i="9"/>
  <c r="C37" i="9" s="1"/>
  <c r="BK26" i="9"/>
  <c r="AA26" i="9"/>
  <c r="BM27" i="9"/>
  <c r="Q27" i="9"/>
  <c r="AE26" i="9"/>
  <c r="R26" i="9"/>
  <c r="AO26" i="9"/>
  <c r="BL26" i="9"/>
  <c r="P26" i="9"/>
  <c r="BB27" i="9"/>
  <c r="O26" i="9"/>
  <c r="AB27" i="9"/>
  <c r="BN26" i="9"/>
  <c r="BA26" i="9"/>
  <c r="AM26" i="9"/>
  <c r="BU12" i="9"/>
  <c r="A9" i="9"/>
  <c r="B7" i="9"/>
  <c r="C7" i="9"/>
  <c r="D7" i="9"/>
  <c r="D16" i="9" s="1"/>
  <c r="E7" i="9"/>
  <c r="E16" i="9" s="1"/>
  <c r="F7" i="9"/>
  <c r="F16" i="9" s="1"/>
  <c r="G7" i="9"/>
  <c r="G16" i="9" s="1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F16" i="9" s="1"/>
  <c r="AG7" i="9"/>
  <c r="AG16" i="9" s="1"/>
  <c r="AH7" i="9"/>
  <c r="AH16" i="9" s="1"/>
  <c r="AI7" i="9"/>
  <c r="AI16" i="9" s="1"/>
  <c r="AJ7" i="9"/>
  <c r="AJ16" i="9" s="1"/>
  <c r="AK7" i="9"/>
  <c r="AK16" i="9" s="1"/>
  <c r="AL7" i="9"/>
  <c r="AL16" i="9" s="1"/>
  <c r="AM7" i="9"/>
  <c r="AM16" i="9" s="1"/>
  <c r="AN7" i="9"/>
  <c r="AN16" i="9" s="1"/>
  <c r="AO7" i="9"/>
  <c r="AO16" i="9" s="1"/>
  <c r="AP7" i="9"/>
  <c r="AP16" i="9" s="1"/>
  <c r="AQ7" i="9"/>
  <c r="AQ16" i="9" s="1"/>
  <c r="AR7" i="9"/>
  <c r="AR16" i="9" s="1"/>
  <c r="AS7" i="9"/>
  <c r="AS16" i="9" s="1"/>
  <c r="AT7" i="9"/>
  <c r="AT16" i="9" s="1"/>
  <c r="AU7" i="9"/>
  <c r="AU16" i="9" s="1"/>
  <c r="AV7" i="9"/>
  <c r="AV16" i="9" s="1"/>
  <c r="AW7" i="9"/>
  <c r="AW16" i="9" s="1"/>
  <c r="AX7" i="9"/>
  <c r="AX16" i="9" s="1"/>
  <c r="AY7" i="9"/>
  <c r="AY16" i="9" s="1"/>
  <c r="AZ7" i="9"/>
  <c r="AZ16" i="9" s="1"/>
  <c r="BA7" i="9"/>
  <c r="BA16" i="9" s="1"/>
  <c r="BB7" i="9"/>
  <c r="BB16" i="9" s="1"/>
  <c r="BC7" i="9"/>
  <c r="BC16" i="9" s="1"/>
  <c r="BD7" i="9"/>
  <c r="BD16" i="9" s="1"/>
  <c r="BE7" i="9"/>
  <c r="BE16" i="9" s="1"/>
  <c r="BF7" i="9"/>
  <c r="BF16" i="9" s="1"/>
  <c r="BG7" i="9"/>
  <c r="BG16" i="9" s="1"/>
  <c r="BH7" i="9"/>
  <c r="BH16" i="9" s="1"/>
  <c r="BI7" i="9"/>
  <c r="BI16" i="9" s="1"/>
  <c r="BJ7" i="9"/>
  <c r="BJ16" i="9" s="1"/>
  <c r="BK7" i="9"/>
  <c r="BK16" i="9" s="1"/>
  <c r="BL7" i="9"/>
  <c r="BL16" i="9" s="1"/>
  <c r="BM7" i="9"/>
  <c r="BM16" i="9" s="1"/>
  <c r="BN7" i="9"/>
  <c r="BN16" i="9" s="1"/>
  <c r="BO7" i="9"/>
  <c r="BO16" i="9" s="1"/>
  <c r="BP7" i="9"/>
  <c r="BP16" i="9" s="1"/>
  <c r="BQ7" i="9"/>
  <c r="BQ16" i="9" s="1"/>
  <c r="BR7" i="9"/>
  <c r="BR16" i="9" s="1"/>
  <c r="BS7" i="9"/>
  <c r="BS16" i="9" s="1"/>
  <c r="BT7" i="9"/>
  <c r="BT16" i="9" s="1"/>
  <c r="BU7" i="9"/>
  <c r="BU16" i="9" s="1"/>
  <c r="B8" i="9"/>
  <c r="B9" i="9"/>
  <c r="A8" i="9"/>
  <c r="A7" i="9"/>
  <c r="BU6" i="9"/>
  <c r="BU11" i="9" s="1"/>
  <c r="B6" i="9"/>
  <c r="C6" i="9"/>
  <c r="D6" i="9"/>
  <c r="D11" i="9" s="1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X11" i="9" s="1"/>
  <c r="AZ6" i="9"/>
  <c r="AY11" i="9" s="1"/>
  <c r="BA6" i="9"/>
  <c r="AZ11" i="9" s="1"/>
  <c r="BB6" i="9"/>
  <c r="BC6" i="9"/>
  <c r="BD6" i="9"/>
  <c r="BE6" i="9"/>
  <c r="BF6" i="9"/>
  <c r="BG6" i="9"/>
  <c r="BH6" i="9"/>
  <c r="BI6" i="9"/>
  <c r="BJ6" i="9"/>
  <c r="BK6" i="9"/>
  <c r="BL6" i="9"/>
  <c r="BM6" i="9"/>
  <c r="BN6" i="9"/>
  <c r="BO6" i="9"/>
  <c r="BP6" i="9"/>
  <c r="BQ6" i="9"/>
  <c r="BR6" i="9"/>
  <c r="BS6" i="9"/>
  <c r="BT6" i="9"/>
  <c r="A6" i="9"/>
  <c r="C36" i="9" l="1"/>
  <c r="E32" i="9"/>
  <c r="F29" i="9" s="1"/>
  <c r="F31" i="9" s="1"/>
  <c r="AM11" i="9"/>
  <c r="O11" i="9"/>
  <c r="AL11" i="9"/>
  <c r="AN11" i="9"/>
  <c r="P11" i="9"/>
  <c r="N11" i="9"/>
  <c r="Z11" i="9"/>
  <c r="AW11" i="9"/>
  <c r="BL11" i="9"/>
  <c r="AA11" i="9"/>
  <c r="M11" i="9"/>
  <c r="AB11" i="9"/>
  <c r="BI11" i="9"/>
  <c r="AK11" i="9"/>
  <c r="BK11" i="9"/>
  <c r="BJ11" i="9"/>
  <c r="Y11" i="9"/>
  <c r="BT11" i="9"/>
  <c r="BG11" i="9"/>
  <c r="AH11" i="9"/>
  <c r="AS11" i="9"/>
  <c r="BH11" i="9"/>
  <c r="X11" i="9"/>
  <c r="AF11" i="9"/>
  <c r="H11" i="9"/>
  <c r="AE11" i="9"/>
  <c r="AJ11" i="9"/>
  <c r="G11" i="9"/>
  <c r="W11" i="9"/>
  <c r="BF11" i="9"/>
  <c r="J11" i="9"/>
  <c r="BE11" i="9"/>
  <c r="U11" i="9"/>
  <c r="T11" i="9"/>
  <c r="BO11" i="9"/>
  <c r="BN11" i="9"/>
  <c r="AD11" i="9"/>
  <c r="F11" i="9"/>
  <c r="BA11" i="9"/>
  <c r="AV11" i="9"/>
  <c r="BS11" i="9"/>
  <c r="AI11" i="9"/>
  <c r="AR11" i="9"/>
  <c r="AQ11" i="9"/>
  <c r="BB11" i="9"/>
  <c r="R11" i="9"/>
  <c r="AC11" i="9"/>
  <c r="L11" i="9"/>
  <c r="K11" i="9"/>
  <c r="BR11" i="9"/>
  <c r="V11" i="9"/>
  <c r="I11" i="9"/>
  <c r="BD11" i="9"/>
  <c r="S11" i="9"/>
  <c r="AO11" i="9"/>
  <c r="Q11" i="9"/>
  <c r="AU11" i="9"/>
  <c r="AT11" i="9"/>
  <c r="BQ11" i="9"/>
  <c r="AG11" i="9"/>
  <c r="BP11" i="9"/>
  <c r="BC11" i="9"/>
  <c r="AP11" i="9"/>
  <c r="BU15" i="9"/>
  <c r="BU43" i="5" s="1"/>
  <c r="BU44" i="5" s="1"/>
  <c r="BM11" i="9"/>
  <c r="E11" i="9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D11" i="8"/>
  <c r="F32" i="9" l="1"/>
  <c r="D20" i="7"/>
  <c r="G29" i="9" l="1"/>
  <c r="G31" i="9" s="1"/>
  <c r="C25" i="5"/>
  <c r="D24" i="8"/>
  <c r="H23" i="8"/>
  <c r="H24" i="8" s="1"/>
  <c r="H20" i="7" s="1"/>
  <c r="G32" i="9" l="1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D9" i="8"/>
  <c r="B8" i="8"/>
  <c r="A8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A7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H29" i="9" l="1"/>
  <c r="H31" i="9" s="1"/>
  <c r="D14" i="2"/>
  <c r="B8" i="7"/>
  <c r="A8" i="7"/>
  <c r="B7" i="7"/>
  <c r="C7" i="7"/>
  <c r="D7" i="7"/>
  <c r="D9" i="7" s="1"/>
  <c r="E7" i="7"/>
  <c r="E9" i="7" s="1"/>
  <c r="F7" i="7"/>
  <c r="F9" i="7" s="1"/>
  <c r="G7" i="7"/>
  <c r="G9" i="7" s="1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P9" i="7" s="1"/>
  <c r="BQ7" i="7"/>
  <c r="BQ9" i="7" s="1"/>
  <c r="BR7" i="7"/>
  <c r="BR9" i="7" s="1"/>
  <c r="BS7" i="7"/>
  <c r="BS9" i="7" s="1"/>
  <c r="BT7" i="7"/>
  <c r="BT9" i="7" s="1"/>
  <c r="BU7" i="7"/>
  <c r="BU9" i="7" s="1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H32" i="9" l="1"/>
  <c r="AN9" i="7"/>
  <c r="AN14" i="7" s="1"/>
  <c r="AB9" i="7"/>
  <c r="AB14" i="7" s="1"/>
  <c r="AZ9" i="7"/>
  <c r="AZ14" i="7" s="1"/>
  <c r="BL9" i="7"/>
  <c r="BL14" i="7" s="1"/>
  <c r="P9" i="7"/>
  <c r="O9" i="7"/>
  <c r="M9" i="7"/>
  <c r="L9" i="7"/>
  <c r="BK9" i="7"/>
  <c r="BK14" i="7" s="1"/>
  <c r="AL9" i="7"/>
  <c r="AL14" i="7" s="1"/>
  <c r="AW9" i="7"/>
  <c r="AW14" i="7" s="1"/>
  <c r="AI9" i="7"/>
  <c r="AI14" i="7" s="1"/>
  <c r="K9" i="7"/>
  <c r="AA9" i="7"/>
  <c r="AX9" i="7"/>
  <c r="AX14" i="7" s="1"/>
  <c r="AK9" i="7"/>
  <c r="AK14" i="7" s="1"/>
  <c r="V9" i="7"/>
  <c r="J9" i="7"/>
  <c r="AM9" i="7"/>
  <c r="AM14" i="7" s="1"/>
  <c r="BJ9" i="7"/>
  <c r="BJ14" i="7" s="1"/>
  <c r="N9" i="7"/>
  <c r="BI9" i="7"/>
  <c r="BI14" i="7" s="1"/>
  <c r="BH9" i="7"/>
  <c r="BH14" i="7" s="1"/>
  <c r="BG9" i="7"/>
  <c r="BG14" i="7" s="1"/>
  <c r="BE9" i="7"/>
  <c r="BE14" i="7" s="1"/>
  <c r="I9" i="7"/>
  <c r="Y9" i="7"/>
  <c r="AJ9" i="7"/>
  <c r="AJ14" i="7" s="1"/>
  <c r="AU9" i="7"/>
  <c r="AU14" i="7" s="1"/>
  <c r="BF9" i="7"/>
  <c r="BF14" i="7" s="1"/>
  <c r="AS9" i="7"/>
  <c r="AS14" i="7" s="1"/>
  <c r="AV9" i="7"/>
  <c r="AV14" i="7" s="1"/>
  <c r="AT9" i="7"/>
  <c r="AT14" i="7" s="1"/>
  <c r="AG9" i="7"/>
  <c r="AG14" i="7" s="1"/>
  <c r="AY9" i="7"/>
  <c r="AY14" i="7" s="1"/>
  <c r="Z9" i="7"/>
  <c r="X9" i="7"/>
  <c r="W9" i="7"/>
  <c r="AH9" i="7"/>
  <c r="AH14" i="7" s="1"/>
  <c r="U9" i="7"/>
  <c r="BD9" i="7"/>
  <c r="BD14" i="7" s="1"/>
  <c r="AR9" i="7"/>
  <c r="AR14" i="7" s="1"/>
  <c r="AF9" i="7"/>
  <c r="AF14" i="7" s="1"/>
  <c r="T9" i="7"/>
  <c r="H9" i="7"/>
  <c r="BO9" i="7"/>
  <c r="BO14" i="7" s="1"/>
  <c r="BC9" i="7"/>
  <c r="BC14" i="7" s="1"/>
  <c r="AQ9" i="7"/>
  <c r="AQ14" i="7" s="1"/>
  <c r="AE9" i="7"/>
  <c r="AE14" i="7" s="1"/>
  <c r="S9" i="7"/>
  <c r="BN9" i="7"/>
  <c r="BN14" i="7" s="1"/>
  <c r="BB9" i="7"/>
  <c r="BB14" i="7" s="1"/>
  <c r="AP9" i="7"/>
  <c r="AP14" i="7" s="1"/>
  <c r="AD9" i="7"/>
  <c r="AD14" i="7" s="1"/>
  <c r="R9" i="7"/>
  <c r="BA9" i="7"/>
  <c r="BA14" i="7" s="1"/>
  <c r="AO9" i="7"/>
  <c r="AO14" i="7" s="1"/>
  <c r="AC9" i="7"/>
  <c r="AC14" i="7" s="1"/>
  <c r="Q9" i="7"/>
  <c r="BM9" i="7"/>
  <c r="BM14" i="7" s="1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D23" i="6"/>
  <c r="I29" i="9" l="1"/>
  <c r="I31" i="9" s="1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A22" i="6"/>
  <c r="I32" i="9" l="1"/>
  <c r="D15" i="6"/>
  <c r="J29" i="9" l="1"/>
  <c r="J31" i="9" s="1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E15" i="6"/>
  <c r="J32" i="9" l="1"/>
  <c r="K29" i="9" s="1"/>
  <c r="J16" i="6"/>
  <c r="L16" i="6"/>
  <c r="M16" i="6"/>
  <c r="N16" i="6"/>
  <c r="O16" i="6"/>
  <c r="P16" i="6"/>
  <c r="Q16" i="6"/>
  <c r="R16" i="6"/>
  <c r="V16" i="6"/>
  <c r="W16" i="6"/>
  <c r="X16" i="6"/>
  <c r="Y16" i="6"/>
  <c r="Z16" i="6"/>
  <c r="AA16" i="6"/>
  <c r="AB16" i="6"/>
  <c r="AC16" i="6"/>
  <c r="AD16" i="6"/>
  <c r="AH16" i="6"/>
  <c r="AI16" i="6"/>
  <c r="AJ16" i="6"/>
  <c r="AK16" i="6"/>
  <c r="AL16" i="6"/>
  <c r="AM16" i="6"/>
  <c r="AN16" i="6"/>
  <c r="AO16" i="6"/>
  <c r="AP16" i="6"/>
  <c r="AT16" i="6"/>
  <c r="AU16" i="6"/>
  <c r="AV16" i="6"/>
  <c r="AW16" i="6"/>
  <c r="AX16" i="6"/>
  <c r="AY16" i="6"/>
  <c r="AZ16" i="6"/>
  <c r="BA16" i="6"/>
  <c r="BB16" i="6"/>
  <c r="BF16" i="6"/>
  <c r="BG16" i="6"/>
  <c r="BH16" i="6"/>
  <c r="BI16" i="6"/>
  <c r="BJ16" i="6"/>
  <c r="BK16" i="6"/>
  <c r="BL16" i="6"/>
  <c r="BM16" i="6"/>
  <c r="BN16" i="6"/>
  <c r="BR16" i="6"/>
  <c r="BS16" i="6"/>
  <c r="BT16" i="6"/>
  <c r="BU16" i="6"/>
  <c r="E16" i="6"/>
  <c r="F16" i="6"/>
  <c r="G16" i="6"/>
  <c r="H16" i="6"/>
  <c r="I16" i="6"/>
  <c r="K16" i="6"/>
  <c r="S16" i="6"/>
  <c r="T16" i="6"/>
  <c r="U16" i="6"/>
  <c r="AE16" i="6"/>
  <c r="AF16" i="6"/>
  <c r="AG16" i="6"/>
  <c r="AQ16" i="6"/>
  <c r="AR16" i="6"/>
  <c r="AS16" i="6"/>
  <c r="BC16" i="6"/>
  <c r="BD16" i="6"/>
  <c r="BE16" i="6"/>
  <c r="BO16" i="6"/>
  <c r="BP16" i="6"/>
  <c r="BQ16" i="6"/>
  <c r="D16" i="6"/>
  <c r="C10" i="6"/>
  <c r="C12" i="6" s="1"/>
  <c r="K31" i="9" l="1"/>
  <c r="K32" i="9" s="1"/>
  <c r="L29" i="9" s="1"/>
  <c r="I13" i="6"/>
  <c r="I14" i="6" s="1"/>
  <c r="U13" i="6"/>
  <c r="U14" i="6" s="1"/>
  <c r="AG13" i="6"/>
  <c r="AG14" i="6" s="1"/>
  <c r="AS13" i="6"/>
  <c r="AS14" i="6" s="1"/>
  <c r="BE13" i="6"/>
  <c r="BE14" i="6" s="1"/>
  <c r="BQ13" i="6"/>
  <c r="BQ14" i="6" s="1"/>
  <c r="AM13" i="6"/>
  <c r="AM14" i="6" s="1"/>
  <c r="BA13" i="6"/>
  <c r="BA14" i="6" s="1"/>
  <c r="AQ13" i="6"/>
  <c r="AQ14" i="6" s="1"/>
  <c r="W13" i="6"/>
  <c r="W14" i="6" s="1"/>
  <c r="AU13" i="6"/>
  <c r="AU14" i="6" s="1"/>
  <c r="BG13" i="6"/>
  <c r="BG14" i="6" s="1"/>
  <c r="E13" i="6"/>
  <c r="E14" i="6" s="1"/>
  <c r="BO13" i="6"/>
  <c r="BO14" i="6" s="1"/>
  <c r="K13" i="6"/>
  <c r="K14" i="6" s="1"/>
  <c r="AI13" i="6"/>
  <c r="AI14" i="6" s="1"/>
  <c r="BS13" i="6"/>
  <c r="BS14" i="6" s="1"/>
  <c r="BK13" i="6"/>
  <c r="BK14" i="6" s="1"/>
  <c r="Q13" i="6"/>
  <c r="Q14" i="6" s="1"/>
  <c r="BC13" i="6"/>
  <c r="BC14" i="6" s="1"/>
  <c r="Y13" i="6"/>
  <c r="Y14" i="6" s="1"/>
  <c r="AK13" i="6"/>
  <c r="AK14" i="6" s="1"/>
  <c r="AW13" i="6"/>
  <c r="AW14" i="6" s="1"/>
  <c r="BI13" i="6"/>
  <c r="BI14" i="6" s="1"/>
  <c r="BU13" i="6"/>
  <c r="BU14" i="6" s="1"/>
  <c r="AY13" i="6"/>
  <c r="AY14" i="6" s="1"/>
  <c r="AC13" i="6"/>
  <c r="AC14" i="6" s="1"/>
  <c r="G13" i="6"/>
  <c r="G14" i="6" s="1"/>
  <c r="M13" i="6"/>
  <c r="M14" i="6" s="1"/>
  <c r="AA13" i="6"/>
  <c r="AA14" i="6" s="1"/>
  <c r="AO13" i="6"/>
  <c r="AO14" i="6" s="1"/>
  <c r="AE13" i="6"/>
  <c r="AE14" i="6" s="1"/>
  <c r="O13" i="6"/>
  <c r="O14" i="6" s="1"/>
  <c r="BM13" i="6"/>
  <c r="BM14" i="6" s="1"/>
  <c r="S13" i="6"/>
  <c r="S14" i="6" s="1"/>
  <c r="C11" i="6"/>
  <c r="E17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A9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A8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A7" i="6"/>
  <c r="BT6" i="6"/>
  <c r="BU6" i="6"/>
  <c r="BR6" i="6"/>
  <c r="BS6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A6" i="6"/>
  <c r="L31" i="9" l="1"/>
  <c r="L32" i="9" s="1"/>
  <c r="M29" i="9" s="1"/>
  <c r="O25" i="6"/>
  <c r="AU25" i="6"/>
  <c r="AQ25" i="6"/>
  <c r="BE25" i="6"/>
  <c r="BG25" i="6"/>
  <c r="W25" i="6"/>
  <c r="AE25" i="6"/>
  <c r="AO25" i="6"/>
  <c r="BK25" i="6"/>
  <c r="G25" i="6"/>
  <c r="AI25" i="6"/>
  <c r="AS25" i="6"/>
  <c r="S25" i="6"/>
  <c r="AK25" i="6"/>
  <c r="BA25" i="6"/>
  <c r="AM25" i="6"/>
  <c r="BS25" i="6"/>
  <c r="K25" i="6"/>
  <c r="AG25" i="6"/>
  <c r="AW25" i="6"/>
  <c r="BC25" i="6"/>
  <c r="BQ25" i="6"/>
  <c r="AY25" i="6"/>
  <c r="BO25" i="6"/>
  <c r="U25" i="6"/>
  <c r="BI25" i="6"/>
  <c r="BM25" i="6"/>
  <c r="Y25" i="6"/>
  <c r="Q25" i="6"/>
  <c r="AA25" i="6"/>
  <c r="M25" i="6"/>
  <c r="AC25" i="6"/>
  <c r="BU25" i="6"/>
  <c r="E25" i="6"/>
  <c r="I25" i="6"/>
  <c r="AN13" i="6"/>
  <c r="AN14" i="6" s="1"/>
  <c r="AP13" i="6"/>
  <c r="AP14" i="6" s="1"/>
  <c r="J13" i="6"/>
  <c r="J14" i="6" s="1"/>
  <c r="V13" i="6"/>
  <c r="V14" i="6" s="1"/>
  <c r="V25" i="6" s="1"/>
  <c r="AH13" i="6"/>
  <c r="AH14" i="6" s="1"/>
  <c r="AH25" i="6" s="1"/>
  <c r="AT13" i="6"/>
  <c r="AT14" i="6" s="1"/>
  <c r="AT25" i="6" s="1"/>
  <c r="BF13" i="6"/>
  <c r="BF14" i="6" s="1"/>
  <c r="BF25" i="6" s="1"/>
  <c r="BR13" i="6"/>
  <c r="BR14" i="6" s="1"/>
  <c r="BR25" i="6" s="1"/>
  <c r="D13" i="6"/>
  <c r="D14" i="6" s="1"/>
  <c r="D25" i="6" s="1"/>
  <c r="P13" i="6"/>
  <c r="P14" i="6" s="1"/>
  <c r="P25" i="6" s="1"/>
  <c r="F13" i="6"/>
  <c r="F14" i="6" s="1"/>
  <c r="F25" i="6" s="1"/>
  <c r="L13" i="6"/>
  <c r="L14" i="6" s="1"/>
  <c r="L25" i="6" s="1"/>
  <c r="X13" i="6"/>
  <c r="X14" i="6" s="1"/>
  <c r="AJ13" i="6"/>
  <c r="AJ14" i="6" s="1"/>
  <c r="AV13" i="6"/>
  <c r="AV14" i="6" s="1"/>
  <c r="BH13" i="6"/>
  <c r="BH14" i="6" s="1"/>
  <c r="BH25" i="6" s="1"/>
  <c r="BT13" i="6"/>
  <c r="BT14" i="6" s="1"/>
  <c r="BT25" i="6" s="1"/>
  <c r="Z13" i="6"/>
  <c r="Z14" i="6" s="1"/>
  <c r="Z25" i="6" s="1"/>
  <c r="AX13" i="6"/>
  <c r="AX14" i="6" s="1"/>
  <c r="AB13" i="6"/>
  <c r="AB14" i="6" s="1"/>
  <c r="BB13" i="6"/>
  <c r="BB14" i="6" s="1"/>
  <c r="BB25" i="6" s="1"/>
  <c r="BP13" i="6"/>
  <c r="BP14" i="6" s="1"/>
  <c r="BP25" i="6" s="1"/>
  <c r="N13" i="6"/>
  <c r="N14" i="6" s="1"/>
  <c r="N25" i="6" s="1"/>
  <c r="AL13" i="6"/>
  <c r="AL14" i="6" s="1"/>
  <c r="AL25" i="6" s="1"/>
  <c r="BJ13" i="6"/>
  <c r="BJ14" i="6" s="1"/>
  <c r="AZ13" i="6"/>
  <c r="AZ14" i="6" s="1"/>
  <c r="R13" i="6"/>
  <c r="R14" i="6" s="1"/>
  <c r="BL13" i="6"/>
  <c r="BL14" i="6" s="1"/>
  <c r="AD13" i="6"/>
  <c r="AD14" i="6" s="1"/>
  <c r="AR13" i="6"/>
  <c r="AR14" i="6" s="1"/>
  <c r="AR25" i="6" s="1"/>
  <c r="BN13" i="6"/>
  <c r="BN14" i="6" s="1"/>
  <c r="BN25" i="6" s="1"/>
  <c r="H13" i="6"/>
  <c r="H14" i="6" s="1"/>
  <c r="T13" i="6"/>
  <c r="T14" i="6" s="1"/>
  <c r="T25" i="6" s="1"/>
  <c r="AF13" i="6"/>
  <c r="AF14" i="6" s="1"/>
  <c r="AF25" i="6" s="1"/>
  <c r="BD13" i="6"/>
  <c r="BD14" i="6" s="1"/>
  <c r="BD25" i="6" s="1"/>
  <c r="BU17" i="6"/>
  <c r="BS17" i="6"/>
  <c r="BI17" i="6"/>
  <c r="BG17" i="6"/>
  <c r="W17" i="6"/>
  <c r="AW17" i="6"/>
  <c r="M17" i="6"/>
  <c r="AU17" i="6"/>
  <c r="K17" i="6"/>
  <c r="BQ17" i="6"/>
  <c r="BE17" i="6"/>
  <c r="AS17" i="6"/>
  <c r="AG17" i="6"/>
  <c r="U17" i="6"/>
  <c r="I17" i="6"/>
  <c r="BO17" i="6"/>
  <c r="BC17" i="6"/>
  <c r="AQ17" i="6"/>
  <c r="AE17" i="6"/>
  <c r="S17" i="6"/>
  <c r="G17" i="6"/>
  <c r="O17" i="6"/>
  <c r="BM17" i="6"/>
  <c r="BA17" i="6"/>
  <c r="AO17" i="6"/>
  <c r="AC17" i="6"/>
  <c r="Q17" i="6"/>
  <c r="AI17" i="6"/>
  <c r="AK17" i="6"/>
  <c r="Y17" i="6"/>
  <c r="BK17" i="6"/>
  <c r="AY17" i="6"/>
  <c r="AM17" i="6"/>
  <c r="AA17" i="6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D24" i="4"/>
  <c r="M31" i="9" l="1"/>
  <c r="M32" i="9" s="1"/>
  <c r="N29" i="9" s="1"/>
  <c r="X25" i="6"/>
  <c r="BJ25" i="6"/>
  <c r="AN25" i="6"/>
  <c r="H25" i="6"/>
  <c r="AD25" i="6"/>
  <c r="AB25" i="6"/>
  <c r="AX25" i="6"/>
  <c r="R25" i="6"/>
  <c r="AV25" i="6"/>
  <c r="J25" i="6"/>
  <c r="BL25" i="6"/>
  <c r="AZ25" i="6"/>
  <c r="AJ25" i="6"/>
  <c r="AP25" i="6"/>
  <c r="AP17" i="6"/>
  <c r="AJ17" i="6"/>
  <c r="AV17" i="6"/>
  <c r="AZ17" i="6"/>
  <c r="AX17" i="6"/>
  <c r="R17" i="6"/>
  <c r="J17" i="6"/>
  <c r="D17" i="6"/>
  <c r="N17" i="6"/>
  <c r="F17" i="6"/>
  <c r="BP17" i="6"/>
  <c r="Z17" i="6"/>
  <c r="AF17" i="6"/>
  <c r="T17" i="6"/>
  <c r="H17" i="6"/>
  <c r="BR17" i="6"/>
  <c r="AT17" i="6"/>
  <c r="BT17" i="6"/>
  <c r="AH17" i="6"/>
  <c r="L17" i="6"/>
  <c r="BN17" i="6"/>
  <c r="X17" i="6"/>
  <c r="V17" i="6"/>
  <c r="AL17" i="6"/>
  <c r="BD17" i="6"/>
  <c r="P17" i="6"/>
  <c r="BF17" i="6"/>
  <c r="AR17" i="6"/>
  <c r="AB17" i="6"/>
  <c r="BJ17" i="6"/>
  <c r="BB17" i="6"/>
  <c r="AN17" i="6"/>
  <c r="AD17" i="6"/>
  <c r="BH17" i="6"/>
  <c r="BL17" i="6"/>
  <c r="C14" i="6"/>
  <c r="C13" i="6"/>
  <c r="C19" i="6" s="1"/>
  <c r="C10" i="5"/>
  <c r="N31" i="9" l="1"/>
  <c r="N32" i="9" s="1"/>
  <c r="O29" i="9" s="1"/>
  <c r="Q24" i="6"/>
  <c r="Q26" i="6" s="1"/>
  <c r="Q27" i="6" s="1"/>
  <c r="Q28" i="6" s="1"/>
  <c r="BM24" i="6"/>
  <c r="BM26" i="6" s="1"/>
  <c r="BM27" i="6" s="1"/>
  <c r="AC24" i="6"/>
  <c r="AC26" i="6" s="1"/>
  <c r="AC27" i="6" s="1"/>
  <c r="F24" i="6"/>
  <c r="F26" i="6" s="1"/>
  <c r="F27" i="6" s="1"/>
  <c r="BC24" i="6"/>
  <c r="BC26" i="6" s="1"/>
  <c r="BC27" i="6" s="1"/>
  <c r="BC28" i="6" s="1"/>
  <c r="R24" i="6"/>
  <c r="R26" i="6" s="1"/>
  <c r="R27" i="6" s="1"/>
  <c r="BN24" i="6"/>
  <c r="BN26" i="6" s="1"/>
  <c r="BN27" i="6" s="1"/>
  <c r="BN28" i="6" s="1"/>
  <c r="E24" i="6"/>
  <c r="E26" i="6" s="1"/>
  <c r="E27" i="6" s="1"/>
  <c r="S24" i="6"/>
  <c r="S26" i="6" s="1"/>
  <c r="S27" i="6" s="1"/>
  <c r="S28" i="6" s="1"/>
  <c r="BO24" i="6"/>
  <c r="BO26" i="6" s="1"/>
  <c r="BO27" i="6" s="1"/>
  <c r="BO8" i="7" s="1"/>
  <c r="D24" i="6"/>
  <c r="G24" i="6"/>
  <c r="G26" i="6" s="1"/>
  <c r="G27" i="6" s="1"/>
  <c r="G28" i="6" s="1"/>
  <c r="AD24" i="6"/>
  <c r="AD26" i="6" s="1"/>
  <c r="AD27" i="6" s="1"/>
  <c r="BB24" i="6"/>
  <c r="BB26" i="6" s="1"/>
  <c r="BB27" i="6" s="1"/>
  <c r="AE24" i="6"/>
  <c r="AE26" i="6" s="1"/>
  <c r="AE27" i="6" s="1"/>
  <c r="AO24" i="6"/>
  <c r="AO26" i="6" s="1"/>
  <c r="AO27" i="6" s="1"/>
  <c r="AO8" i="7" s="1"/>
  <c r="AP24" i="6"/>
  <c r="AP26" i="6" s="1"/>
  <c r="AP27" i="6" s="1"/>
  <c r="AQ24" i="6"/>
  <c r="AQ26" i="6" s="1"/>
  <c r="AQ27" i="6" s="1"/>
  <c r="AQ8" i="7" s="1"/>
  <c r="BA24" i="6"/>
  <c r="BA26" i="6" s="1"/>
  <c r="BA27" i="6" s="1"/>
  <c r="BL24" i="6"/>
  <c r="BL26" i="6" s="1"/>
  <c r="BL27" i="6" s="1"/>
  <c r="J24" i="6"/>
  <c r="J26" i="6" s="1"/>
  <c r="J27" i="6" s="1"/>
  <c r="AF24" i="6"/>
  <c r="AF26" i="6" s="1"/>
  <c r="AF27" i="6" s="1"/>
  <c r="AF8" i="7" s="1"/>
  <c r="BI24" i="6"/>
  <c r="BI26" i="6" s="1"/>
  <c r="BI27" i="6" s="1"/>
  <c r="BI28" i="6" s="1"/>
  <c r="AI24" i="6"/>
  <c r="AI26" i="6" s="1"/>
  <c r="AI27" i="6" s="1"/>
  <c r="AI28" i="6" s="1"/>
  <c r="AB24" i="6"/>
  <c r="AB26" i="6" s="1"/>
  <c r="AB27" i="6" s="1"/>
  <c r="AX24" i="6"/>
  <c r="AX26" i="6" s="1"/>
  <c r="AX27" i="6" s="1"/>
  <c r="AG24" i="6"/>
  <c r="AG26" i="6" s="1"/>
  <c r="AG27" i="6" s="1"/>
  <c r="U24" i="6"/>
  <c r="U26" i="6" s="1"/>
  <c r="U27" i="6" s="1"/>
  <c r="U28" i="6" s="1"/>
  <c r="AN24" i="6"/>
  <c r="AN26" i="6" s="1"/>
  <c r="AN27" i="6" s="1"/>
  <c r="BK24" i="6"/>
  <c r="BK26" i="6" s="1"/>
  <c r="BK27" i="6" s="1"/>
  <c r="BK8" i="7" s="1"/>
  <c r="AT24" i="6"/>
  <c r="AT26" i="6" s="1"/>
  <c r="AT27" i="6" s="1"/>
  <c r="AV24" i="6"/>
  <c r="AV26" i="6" s="1"/>
  <c r="AV27" i="6" s="1"/>
  <c r="P24" i="6"/>
  <c r="P26" i="6" s="1"/>
  <c r="P27" i="6" s="1"/>
  <c r="P28" i="6" s="1"/>
  <c r="AR24" i="6"/>
  <c r="AR26" i="6" s="1"/>
  <c r="AR27" i="6" s="1"/>
  <c r="AJ24" i="6"/>
  <c r="AJ26" i="6" s="1"/>
  <c r="AJ27" i="6" s="1"/>
  <c r="BU24" i="6"/>
  <c r="BU26" i="6" s="1"/>
  <c r="BU27" i="6" s="1"/>
  <c r="BU8" i="7" s="1"/>
  <c r="BT24" i="6"/>
  <c r="BT26" i="6" s="1"/>
  <c r="BT27" i="6" s="1"/>
  <c r="BT8" i="7" s="1"/>
  <c r="AY24" i="6"/>
  <c r="AY26" i="6" s="1"/>
  <c r="AY27" i="6" s="1"/>
  <c r="AU24" i="6"/>
  <c r="AU26" i="6" s="1"/>
  <c r="AU27" i="6" s="1"/>
  <c r="AU8" i="7" s="1"/>
  <c r="BD24" i="6"/>
  <c r="BD26" i="6" s="1"/>
  <c r="BD27" i="6" s="1"/>
  <c r="BD28" i="6" s="1"/>
  <c r="AZ24" i="6"/>
  <c r="AZ26" i="6" s="1"/>
  <c r="AZ27" i="6" s="1"/>
  <c r="BJ24" i="6"/>
  <c r="BJ26" i="6" s="1"/>
  <c r="BJ27" i="6" s="1"/>
  <c r="X24" i="6"/>
  <c r="X26" i="6" s="1"/>
  <c r="X27" i="6" s="1"/>
  <c r="L24" i="6"/>
  <c r="L26" i="6" s="1"/>
  <c r="L27" i="6" s="1"/>
  <c r="BQ24" i="6"/>
  <c r="BQ26" i="6" s="1"/>
  <c r="BQ27" i="6" s="1"/>
  <c r="BQ8" i="7" s="1"/>
  <c r="T24" i="6"/>
  <c r="T26" i="6" s="1"/>
  <c r="T27" i="6" s="1"/>
  <c r="T28" i="6" s="1"/>
  <c r="BS24" i="6"/>
  <c r="BS26" i="6" s="1"/>
  <c r="BS27" i="6" s="1"/>
  <c r="BS28" i="6" s="1"/>
  <c r="K24" i="6"/>
  <c r="K26" i="6" s="1"/>
  <c r="K27" i="6" s="1"/>
  <c r="K8" i="7" s="1"/>
  <c r="I24" i="6"/>
  <c r="I26" i="6" s="1"/>
  <c r="I27" i="6" s="1"/>
  <c r="I28" i="6" s="1"/>
  <c r="AK24" i="6"/>
  <c r="AK26" i="6" s="1"/>
  <c r="AK27" i="6" s="1"/>
  <c r="AM24" i="6"/>
  <c r="AM26" i="6" s="1"/>
  <c r="AM27" i="6" s="1"/>
  <c r="V24" i="6"/>
  <c r="V26" i="6" s="1"/>
  <c r="V27" i="6" s="1"/>
  <c r="V28" i="6" s="1"/>
  <c r="O24" i="6"/>
  <c r="O26" i="6" s="1"/>
  <c r="O27" i="6" s="1"/>
  <c r="O28" i="6" s="1"/>
  <c r="BE24" i="6"/>
  <c r="BE26" i="6" s="1"/>
  <c r="BE27" i="6" s="1"/>
  <c r="BE28" i="6" s="1"/>
  <c r="AL24" i="6"/>
  <c r="AL26" i="6" s="1"/>
  <c r="AL27" i="6" s="1"/>
  <c r="AL28" i="6" s="1"/>
  <c r="N24" i="6"/>
  <c r="N26" i="6" s="1"/>
  <c r="N27" i="6" s="1"/>
  <c r="W24" i="6"/>
  <c r="W26" i="6" s="1"/>
  <c r="W27" i="6" s="1"/>
  <c r="W28" i="6" s="1"/>
  <c r="BR24" i="6"/>
  <c r="BR26" i="6" s="1"/>
  <c r="BR27" i="6" s="1"/>
  <c r="BR8" i="7" s="1"/>
  <c r="AA24" i="6"/>
  <c r="AA26" i="6" s="1"/>
  <c r="AA27" i="6" s="1"/>
  <c r="AA8" i="7" s="1"/>
  <c r="H24" i="6"/>
  <c r="H26" i="6" s="1"/>
  <c r="AS24" i="6"/>
  <c r="AS26" i="6" s="1"/>
  <c r="AS27" i="6" s="1"/>
  <c r="AS8" i="7" s="1"/>
  <c r="BG24" i="6"/>
  <c r="BG26" i="6" s="1"/>
  <c r="BG27" i="6" s="1"/>
  <c r="AW24" i="6"/>
  <c r="AW26" i="6" s="1"/>
  <c r="AW27" i="6" s="1"/>
  <c r="AW28" i="6" s="1"/>
  <c r="M24" i="6"/>
  <c r="M26" i="6" s="1"/>
  <c r="M27" i="6" s="1"/>
  <c r="M28" i="6" s="1"/>
  <c r="BP24" i="6"/>
  <c r="BP26" i="6" s="1"/>
  <c r="BP27" i="6" s="1"/>
  <c r="BP28" i="6" s="1"/>
  <c r="AH24" i="6"/>
  <c r="AH26" i="6" s="1"/>
  <c r="AH27" i="6" s="1"/>
  <c r="AH28" i="6" s="1"/>
  <c r="BF24" i="6"/>
  <c r="BF26" i="6" s="1"/>
  <c r="BF27" i="6" s="1"/>
  <c r="BF8" i="7" s="1"/>
  <c r="Y24" i="6"/>
  <c r="Y26" i="6" s="1"/>
  <c r="Y27" i="6" s="1"/>
  <c r="Y28" i="6" s="1"/>
  <c r="BH24" i="6"/>
  <c r="BH26" i="6" s="1"/>
  <c r="BH27" i="6" s="1"/>
  <c r="BH28" i="6" s="1"/>
  <c r="Z24" i="6"/>
  <c r="Z26" i="6" s="1"/>
  <c r="Z27" i="6" s="1"/>
  <c r="C25" i="6"/>
  <c r="AF28" i="6"/>
  <c r="AE28" i="6"/>
  <c r="AE8" i="7"/>
  <c r="BG28" i="6"/>
  <c r="BG8" i="7"/>
  <c r="AC28" i="6"/>
  <c r="AC8" i="7"/>
  <c r="AM28" i="6"/>
  <c r="AM8" i="7"/>
  <c r="BB28" i="6"/>
  <c r="BB8" i="7"/>
  <c r="U8" i="7"/>
  <c r="AY28" i="6"/>
  <c r="AY8" i="7"/>
  <c r="AG28" i="6"/>
  <c r="AG8" i="7"/>
  <c r="F28" i="6"/>
  <c r="F8" i="7"/>
  <c r="BM28" i="6"/>
  <c r="BM8" i="7"/>
  <c r="AK28" i="6"/>
  <c r="AK8" i="7"/>
  <c r="BA28" i="6"/>
  <c r="BA8" i="7"/>
  <c r="BF28" i="6"/>
  <c r="AU28" i="6"/>
  <c r="C20" i="6"/>
  <c r="C17" i="6"/>
  <c r="B19" i="4"/>
  <c r="O31" i="9" l="1"/>
  <c r="O32" i="9"/>
  <c r="P29" i="9" s="1"/>
  <c r="T8" i="7"/>
  <c r="BI8" i="7"/>
  <c r="AA28" i="6"/>
  <c r="AH8" i="7"/>
  <c r="BO28" i="6"/>
  <c r="W8" i="7"/>
  <c r="AW8" i="7"/>
  <c r="BE8" i="7"/>
  <c r="BK28" i="6"/>
  <c r="AP8" i="7"/>
  <c r="AP28" i="6"/>
  <c r="BP8" i="7"/>
  <c r="AQ28" i="6"/>
  <c r="V8" i="7"/>
  <c r="BQ28" i="6"/>
  <c r="BC8" i="7"/>
  <c r="P8" i="7"/>
  <c r="AL8" i="7"/>
  <c r="BN8" i="7"/>
  <c r="O8" i="7"/>
  <c r="Y8" i="7"/>
  <c r="BH8" i="7"/>
  <c r="AO28" i="6"/>
  <c r="BD8" i="7"/>
  <c r="N28" i="6"/>
  <c r="N8" i="7"/>
  <c r="AJ8" i="7"/>
  <c r="AJ28" i="6"/>
  <c r="AR28" i="6"/>
  <c r="AR8" i="7"/>
  <c r="C24" i="6"/>
  <c r="D26" i="6"/>
  <c r="D27" i="6" s="1"/>
  <c r="D8" i="7" s="1"/>
  <c r="BR28" i="6"/>
  <c r="E28" i="6"/>
  <c r="E8" i="7"/>
  <c r="K28" i="6"/>
  <c r="AI8" i="7"/>
  <c r="I8" i="7"/>
  <c r="AS28" i="6"/>
  <c r="BU28" i="6"/>
  <c r="Q8" i="7"/>
  <c r="BT28" i="6"/>
  <c r="G8" i="7"/>
  <c r="M8" i="7"/>
  <c r="S8" i="7"/>
  <c r="BS8" i="7"/>
  <c r="H27" i="6"/>
  <c r="H28" i="6" s="1"/>
  <c r="AZ28" i="6"/>
  <c r="AZ8" i="7"/>
  <c r="AD28" i="6"/>
  <c r="AD8" i="7"/>
  <c r="L8" i="7"/>
  <c r="X28" i="6"/>
  <c r="X8" i="7"/>
  <c r="AX28" i="6"/>
  <c r="AX8" i="7"/>
  <c r="AN28" i="6"/>
  <c r="AN8" i="7"/>
  <c r="Z28" i="6"/>
  <c r="Z8" i="7"/>
  <c r="AT28" i="6"/>
  <c r="AT8" i="7"/>
  <c r="J28" i="6"/>
  <c r="J8" i="7"/>
  <c r="AV28" i="6"/>
  <c r="AV8" i="7"/>
  <c r="BL28" i="6"/>
  <c r="BL8" i="7"/>
  <c r="BJ28" i="6"/>
  <c r="BJ8" i="7"/>
  <c r="AB28" i="6"/>
  <c r="AB8" i="7"/>
  <c r="R28" i="6"/>
  <c r="R8" i="7"/>
  <c r="L28" i="6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P31" i="9" l="1"/>
  <c r="P32" i="9" s="1"/>
  <c r="Q29" i="9" s="1"/>
  <c r="H8" i="7"/>
  <c r="D28" i="6"/>
  <c r="C30" i="6"/>
  <c r="C27" i="6"/>
  <c r="C8" i="7" s="1"/>
  <c r="C26" i="6"/>
  <c r="C28" i="6"/>
  <c r="C8" i="4"/>
  <c r="D16" i="4"/>
  <c r="D6" i="5" s="1"/>
  <c r="B43" i="2"/>
  <c r="Q31" i="9" l="1"/>
  <c r="Q32" i="9" s="1"/>
  <c r="R29" i="9" s="1"/>
  <c r="D23" i="4"/>
  <c r="D8" i="5" s="1"/>
  <c r="D17" i="4"/>
  <c r="D20" i="4"/>
  <c r="D7" i="5" s="1"/>
  <c r="C11" i="4"/>
  <c r="D21" i="4" s="1"/>
  <c r="C10" i="4"/>
  <c r="C9" i="4"/>
  <c r="B27" i="2"/>
  <c r="R31" i="9" l="1"/>
  <c r="R32" i="9"/>
  <c r="S29" i="9" s="1"/>
  <c r="D11" i="5"/>
  <c r="D13" i="5"/>
  <c r="D22" i="4"/>
  <c r="E16" i="4"/>
  <c r="E6" i="5" s="1"/>
  <c r="D18" i="4"/>
  <c r="D19" i="4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S31" i="9" l="1"/>
  <c r="S32" i="9"/>
  <c r="T29" i="9" s="1"/>
  <c r="D16" i="5"/>
  <c r="D12" i="5"/>
  <c r="E23" i="4"/>
  <c r="E8" i="5" s="1"/>
  <c r="E17" i="4"/>
  <c r="E20" i="4"/>
  <c r="E7" i="5" s="1"/>
  <c r="E22" i="4"/>
  <c r="E21" i="4"/>
  <c r="L16" i="3"/>
  <c r="L17" i="3"/>
  <c r="M17" i="3"/>
  <c r="N17" i="3" s="1"/>
  <c r="M16" i="3"/>
  <c r="N16" i="3" s="1"/>
  <c r="M18" i="3"/>
  <c r="T31" i="9" l="1"/>
  <c r="T32" i="9"/>
  <c r="U29" i="9" s="1"/>
  <c r="D14" i="5"/>
  <c r="E13" i="5"/>
  <c r="E11" i="5"/>
  <c r="E19" i="4"/>
  <c r="F16" i="4"/>
  <c r="F6" i="5" s="1"/>
  <c r="E18" i="4"/>
  <c r="E25" i="4"/>
  <c r="L18" i="3"/>
  <c r="N18" i="3" s="1"/>
  <c r="U31" i="9" l="1"/>
  <c r="U32" i="9"/>
  <c r="V29" i="9" s="1"/>
  <c r="E39" i="5"/>
  <c r="E12" i="5"/>
  <c r="E16" i="5"/>
  <c r="D15" i="5"/>
  <c r="D18" i="5" s="1"/>
  <c r="F23" i="4"/>
  <c r="F8" i="5" s="1"/>
  <c r="F17" i="4"/>
  <c r="F22" i="4"/>
  <c r="F20" i="4"/>
  <c r="F7" i="5" s="1"/>
  <c r="F21" i="4"/>
  <c r="V31" i="9" l="1"/>
  <c r="V32" i="9"/>
  <c r="W29" i="9" s="1"/>
  <c r="F13" i="5"/>
  <c r="F11" i="5"/>
  <c r="E14" i="5"/>
  <c r="F18" i="4"/>
  <c r="F19" i="4"/>
  <c r="G16" i="4"/>
  <c r="G6" i="5" s="1"/>
  <c r="F25" i="4"/>
  <c r="W31" i="9" l="1"/>
  <c r="W32" i="9"/>
  <c r="X29" i="9" s="1"/>
  <c r="E15" i="5"/>
  <c r="E18" i="5"/>
  <c r="F39" i="5"/>
  <c r="F12" i="5"/>
  <c r="F16" i="5"/>
  <c r="G23" i="4"/>
  <c r="G8" i="5" s="1"/>
  <c r="G17" i="4"/>
  <c r="G22" i="4"/>
  <c r="G20" i="4"/>
  <c r="G7" i="5" s="1"/>
  <c r="G21" i="4"/>
  <c r="X31" i="9" l="1"/>
  <c r="X32" i="9"/>
  <c r="Y29" i="9" s="1"/>
  <c r="F14" i="5"/>
  <c r="G11" i="5"/>
  <c r="G13" i="5"/>
  <c r="G25" i="4"/>
  <c r="H16" i="4"/>
  <c r="H6" i="5" s="1"/>
  <c r="G18" i="4"/>
  <c r="G19" i="4"/>
  <c r="Y31" i="9" l="1"/>
  <c r="Y32" i="9"/>
  <c r="Z29" i="9" s="1"/>
  <c r="G39" i="5"/>
  <c r="G16" i="5"/>
  <c r="G12" i="5"/>
  <c r="F15" i="5"/>
  <c r="F18" i="5"/>
  <c r="H23" i="4"/>
  <c r="H8" i="5" s="1"/>
  <c r="H17" i="4"/>
  <c r="H22" i="4"/>
  <c r="H20" i="4"/>
  <c r="H7" i="5" s="1"/>
  <c r="H21" i="4"/>
  <c r="Z31" i="9" l="1"/>
  <c r="Z32" i="9"/>
  <c r="AA29" i="9" s="1"/>
  <c r="G14" i="5"/>
  <c r="H33" i="5"/>
  <c r="H11" i="5"/>
  <c r="H13" i="5"/>
  <c r="H25" i="4"/>
  <c r="I16" i="4"/>
  <c r="I6" i="5" s="1"/>
  <c r="H18" i="4"/>
  <c r="H19" i="4"/>
  <c r="AA31" i="9" l="1"/>
  <c r="AA32" i="9"/>
  <c r="AB29" i="9" s="1"/>
  <c r="H39" i="5"/>
  <c r="H16" i="5"/>
  <c r="H12" i="5"/>
  <c r="G15" i="5"/>
  <c r="G18" i="5" s="1"/>
  <c r="I23" i="4"/>
  <c r="I8" i="5" s="1"/>
  <c r="I17" i="4"/>
  <c r="I20" i="4"/>
  <c r="I7" i="5" s="1"/>
  <c r="I22" i="4"/>
  <c r="I21" i="4"/>
  <c r="AB31" i="9" l="1"/>
  <c r="AB32" i="9"/>
  <c r="AC29" i="9" s="1"/>
  <c r="I13" i="5"/>
  <c r="I11" i="5"/>
  <c r="I33" i="5"/>
  <c r="H14" i="5"/>
  <c r="I25" i="4"/>
  <c r="J16" i="4"/>
  <c r="J6" i="5" s="1"/>
  <c r="I18" i="4"/>
  <c r="I19" i="4"/>
  <c r="AC31" i="9" l="1"/>
  <c r="AC32" i="9"/>
  <c r="AD29" i="9" s="1"/>
  <c r="H15" i="5"/>
  <c r="H18" i="5"/>
  <c r="I39" i="5"/>
  <c r="I12" i="5"/>
  <c r="I14" i="5" s="1"/>
  <c r="I16" i="5"/>
  <c r="J23" i="4"/>
  <c r="J8" i="5" s="1"/>
  <c r="J17" i="4"/>
  <c r="J20" i="4"/>
  <c r="J7" i="5" s="1"/>
  <c r="J22" i="4"/>
  <c r="J21" i="4"/>
  <c r="AD31" i="9" l="1"/>
  <c r="AD32" i="9"/>
  <c r="AE29" i="9" s="1"/>
  <c r="J33" i="5"/>
  <c r="J11" i="5"/>
  <c r="J13" i="5"/>
  <c r="I15" i="5"/>
  <c r="I18" i="5"/>
  <c r="J25" i="4"/>
  <c r="K16" i="4"/>
  <c r="K6" i="5" s="1"/>
  <c r="J19" i="4"/>
  <c r="J18" i="4"/>
  <c r="AE31" i="9" l="1"/>
  <c r="AE32" i="9"/>
  <c r="AF29" i="9" s="1"/>
  <c r="J39" i="5"/>
  <c r="J12" i="5"/>
  <c r="J14" i="5" s="1"/>
  <c r="J16" i="5"/>
  <c r="K23" i="4"/>
  <c r="K8" i="5" s="1"/>
  <c r="K17" i="4"/>
  <c r="K21" i="4"/>
  <c r="K20" i="4"/>
  <c r="K22" i="4"/>
  <c r="AF31" i="9" l="1"/>
  <c r="AF32" i="9"/>
  <c r="AG29" i="9" s="1"/>
  <c r="K25" i="4"/>
  <c r="K7" i="5"/>
  <c r="J15" i="5"/>
  <c r="J18" i="5" s="1"/>
  <c r="L16" i="4"/>
  <c r="L6" i="5" s="1"/>
  <c r="K19" i="4"/>
  <c r="K18" i="4"/>
  <c r="AG31" i="9" l="1"/>
  <c r="AG32" i="9"/>
  <c r="AH29" i="9" s="1"/>
  <c r="K33" i="5"/>
  <c r="K13" i="5"/>
  <c r="K11" i="5"/>
  <c r="L23" i="4"/>
  <c r="L8" i="5" s="1"/>
  <c r="L17" i="4"/>
  <c r="L21" i="4"/>
  <c r="L20" i="4"/>
  <c r="L7" i="5" s="1"/>
  <c r="L22" i="4"/>
  <c r="AH31" i="9" l="1"/>
  <c r="AH32" i="9"/>
  <c r="AI29" i="9" s="1"/>
  <c r="L13" i="5"/>
  <c r="L33" i="5"/>
  <c r="L11" i="5"/>
  <c r="K39" i="5"/>
  <c r="K16" i="5"/>
  <c r="K12" i="5"/>
  <c r="K14" i="5" s="1"/>
  <c r="L25" i="4"/>
  <c r="M16" i="4"/>
  <c r="M6" i="5" s="1"/>
  <c r="L19" i="4"/>
  <c r="L18" i="4"/>
  <c r="AI31" i="9" l="1"/>
  <c r="AI32" i="9"/>
  <c r="AJ29" i="9" s="1"/>
  <c r="K15" i="5"/>
  <c r="K18" i="5"/>
  <c r="L39" i="5"/>
  <c r="L16" i="5"/>
  <c r="L12" i="5"/>
  <c r="L14" i="5" s="1"/>
  <c r="L15" i="5" s="1"/>
  <c r="L18" i="5" s="1"/>
  <c r="M23" i="4"/>
  <c r="M8" i="5" s="1"/>
  <c r="M17" i="4"/>
  <c r="M21" i="4"/>
  <c r="M20" i="4"/>
  <c r="M7" i="5" s="1"/>
  <c r="M22" i="4"/>
  <c r="AJ31" i="9" l="1"/>
  <c r="AJ32" i="9"/>
  <c r="AK29" i="9" s="1"/>
  <c r="M11" i="5"/>
  <c r="M13" i="5"/>
  <c r="M33" i="5"/>
  <c r="M25" i="4"/>
  <c r="N16" i="4"/>
  <c r="N6" i="5" s="1"/>
  <c r="M19" i="4"/>
  <c r="M18" i="4"/>
  <c r="AK31" i="9" l="1"/>
  <c r="AK32" i="9"/>
  <c r="AL29" i="9" s="1"/>
  <c r="M39" i="5"/>
  <c r="M16" i="5"/>
  <c r="M12" i="5"/>
  <c r="M14" i="5" s="1"/>
  <c r="M15" i="5" s="1"/>
  <c r="M18" i="5" s="1"/>
  <c r="N23" i="4"/>
  <c r="N8" i="5" s="1"/>
  <c r="N17" i="4"/>
  <c r="N21" i="4"/>
  <c r="N20" i="4"/>
  <c r="N22" i="4"/>
  <c r="AL31" i="9" l="1"/>
  <c r="AL32" i="9"/>
  <c r="AM29" i="9" s="1"/>
  <c r="N25" i="4"/>
  <c r="N7" i="5"/>
  <c r="O16" i="4"/>
  <c r="O6" i="5" s="1"/>
  <c r="N18" i="4"/>
  <c r="N19" i="4"/>
  <c r="AM31" i="9" l="1"/>
  <c r="AM32" i="9"/>
  <c r="AN29" i="9" s="1"/>
  <c r="N33" i="5"/>
  <c r="N13" i="5"/>
  <c r="N11" i="5"/>
  <c r="O23" i="4"/>
  <c r="O8" i="5" s="1"/>
  <c r="O17" i="4"/>
  <c r="O21" i="4"/>
  <c r="O22" i="4"/>
  <c r="O20" i="4"/>
  <c r="O7" i="5" s="1"/>
  <c r="AN31" i="9" l="1"/>
  <c r="AN32" i="9"/>
  <c r="AO29" i="9" s="1"/>
  <c r="O13" i="5"/>
  <c r="O11" i="5"/>
  <c r="O33" i="5"/>
  <c r="N39" i="5"/>
  <c r="N16" i="5"/>
  <c r="N12" i="5"/>
  <c r="N14" i="5" s="1"/>
  <c r="N15" i="5" s="1"/>
  <c r="N18" i="5" s="1"/>
  <c r="O25" i="4"/>
  <c r="P16" i="4"/>
  <c r="P6" i="5" s="1"/>
  <c r="O18" i="4"/>
  <c r="O19" i="4"/>
  <c r="AO31" i="9" l="1"/>
  <c r="AO32" i="9"/>
  <c r="AP29" i="9" s="1"/>
  <c r="O39" i="5"/>
  <c r="O12" i="5"/>
  <c r="O14" i="5" s="1"/>
  <c r="O16" i="5"/>
  <c r="P23" i="4"/>
  <c r="P8" i="5" s="1"/>
  <c r="P17" i="4"/>
  <c r="P21" i="4"/>
  <c r="P22" i="4"/>
  <c r="P20" i="4"/>
  <c r="AP31" i="9" l="1"/>
  <c r="AP32" i="9"/>
  <c r="AQ29" i="9" s="1"/>
  <c r="P25" i="4"/>
  <c r="P7" i="5"/>
  <c r="O15" i="5"/>
  <c r="O18" i="5"/>
  <c r="Q16" i="4"/>
  <c r="Q6" i="5" s="1"/>
  <c r="P18" i="4"/>
  <c r="P19" i="4"/>
  <c r="AQ31" i="9" l="1"/>
  <c r="AQ32" i="9" s="1"/>
  <c r="AR29" i="9" s="1"/>
  <c r="P13" i="5"/>
  <c r="P33" i="5"/>
  <c r="P11" i="5"/>
  <c r="Q23" i="4"/>
  <c r="Q8" i="5" s="1"/>
  <c r="Q17" i="4"/>
  <c r="Q21" i="4"/>
  <c r="Q22" i="4"/>
  <c r="Q20" i="4"/>
  <c r="AR31" i="9" l="1"/>
  <c r="AR32" i="9"/>
  <c r="AS29" i="9" s="1"/>
  <c r="Q25" i="4"/>
  <c r="Q7" i="5"/>
  <c r="P39" i="5"/>
  <c r="P16" i="5"/>
  <c r="P12" i="5"/>
  <c r="P14" i="5" s="1"/>
  <c r="R16" i="4"/>
  <c r="R6" i="5" s="1"/>
  <c r="Q18" i="4"/>
  <c r="Q19" i="4"/>
  <c r="AS31" i="9" l="1"/>
  <c r="AS32" i="9"/>
  <c r="AT29" i="9" s="1"/>
  <c r="P15" i="5"/>
  <c r="P18" i="5" s="1"/>
  <c r="Q13" i="5"/>
  <c r="Q33" i="5"/>
  <c r="Q11" i="5"/>
  <c r="R23" i="4"/>
  <c r="R8" i="5" s="1"/>
  <c r="R17" i="4"/>
  <c r="R22" i="4"/>
  <c r="R20" i="4"/>
  <c r="R7" i="5" s="1"/>
  <c r="R21" i="4"/>
  <c r="AT31" i="9" l="1"/>
  <c r="AT32" i="9"/>
  <c r="AU29" i="9" s="1"/>
  <c r="R13" i="5"/>
  <c r="R33" i="5"/>
  <c r="R11" i="5"/>
  <c r="Q39" i="5"/>
  <c r="Q12" i="5"/>
  <c r="Q14" i="5" s="1"/>
  <c r="Q16" i="5"/>
  <c r="R25" i="4"/>
  <c r="S16" i="4"/>
  <c r="S6" i="5" s="1"/>
  <c r="R19" i="4"/>
  <c r="R18" i="4"/>
  <c r="AU31" i="9" l="1"/>
  <c r="AU32" i="9"/>
  <c r="AV29" i="9" s="1"/>
  <c r="Q15" i="5"/>
  <c r="Q18" i="5" s="1"/>
  <c r="R39" i="5"/>
  <c r="R12" i="5"/>
  <c r="R14" i="5" s="1"/>
  <c r="R15" i="5" s="1"/>
  <c r="R16" i="5"/>
  <c r="S23" i="4"/>
  <c r="S8" i="5" s="1"/>
  <c r="S17" i="4"/>
  <c r="S22" i="4"/>
  <c r="S20" i="4"/>
  <c r="S7" i="5" s="1"/>
  <c r="S21" i="4"/>
  <c r="AV31" i="9" l="1"/>
  <c r="AV32" i="9"/>
  <c r="AW29" i="9" s="1"/>
  <c r="S13" i="5"/>
  <c r="S33" i="5"/>
  <c r="S11" i="5"/>
  <c r="R18" i="5"/>
  <c r="S25" i="4"/>
  <c r="T16" i="4"/>
  <c r="T6" i="5" s="1"/>
  <c r="S19" i="4"/>
  <c r="S18" i="4"/>
  <c r="AW31" i="9" l="1"/>
  <c r="AW32" i="9"/>
  <c r="AX29" i="9" s="1"/>
  <c r="S39" i="5"/>
  <c r="S16" i="5"/>
  <c r="S12" i="5"/>
  <c r="S14" i="5" s="1"/>
  <c r="S15" i="5" s="1"/>
  <c r="S18" i="5" s="1"/>
  <c r="T23" i="4"/>
  <c r="T8" i="5" s="1"/>
  <c r="T17" i="4"/>
  <c r="T20" i="4"/>
  <c r="T7" i="5" s="1"/>
  <c r="T22" i="4"/>
  <c r="T21" i="4"/>
  <c r="AX31" i="9" l="1"/>
  <c r="AX32" i="9"/>
  <c r="AY29" i="9" s="1"/>
  <c r="T13" i="5"/>
  <c r="T11" i="5"/>
  <c r="T33" i="5"/>
  <c r="T25" i="4"/>
  <c r="U16" i="4"/>
  <c r="U6" i="5" s="1"/>
  <c r="T19" i="4"/>
  <c r="T18" i="4"/>
  <c r="AY31" i="9" l="1"/>
  <c r="AY32" i="9"/>
  <c r="AZ29" i="9" s="1"/>
  <c r="T39" i="5"/>
  <c r="T16" i="5"/>
  <c r="T12" i="5"/>
  <c r="T14" i="5" s="1"/>
  <c r="T15" i="5" s="1"/>
  <c r="T18" i="5" s="1"/>
  <c r="U23" i="4"/>
  <c r="U8" i="5" s="1"/>
  <c r="U17" i="4"/>
  <c r="U22" i="4"/>
  <c r="U20" i="4"/>
  <c r="U7" i="5" s="1"/>
  <c r="U21" i="4"/>
  <c r="AZ31" i="9" l="1"/>
  <c r="AZ32" i="9"/>
  <c r="BA29" i="9" s="1"/>
  <c r="U33" i="5"/>
  <c r="U13" i="5"/>
  <c r="U11" i="5"/>
  <c r="U25" i="4"/>
  <c r="V16" i="4"/>
  <c r="V6" i="5" s="1"/>
  <c r="U19" i="4"/>
  <c r="U18" i="4"/>
  <c r="BA31" i="9" l="1"/>
  <c r="BA32" i="9"/>
  <c r="BB29" i="9" s="1"/>
  <c r="U39" i="5"/>
  <c r="U12" i="5"/>
  <c r="U14" i="5" s="1"/>
  <c r="U16" i="5"/>
  <c r="V23" i="4"/>
  <c r="V8" i="5" s="1"/>
  <c r="V17" i="4"/>
  <c r="V20" i="4"/>
  <c r="V7" i="5" s="1"/>
  <c r="V22" i="4"/>
  <c r="V21" i="4"/>
  <c r="BB31" i="9" l="1"/>
  <c r="BB32" i="9"/>
  <c r="BC29" i="9" s="1"/>
  <c r="V11" i="5"/>
  <c r="V13" i="5"/>
  <c r="V33" i="5"/>
  <c r="U15" i="5"/>
  <c r="U18" i="5"/>
  <c r="V25" i="4"/>
  <c r="W16" i="4"/>
  <c r="W6" i="5" s="1"/>
  <c r="V19" i="4"/>
  <c r="V18" i="4"/>
  <c r="BC31" i="9" l="1"/>
  <c r="BC32" i="9"/>
  <c r="BD29" i="9" s="1"/>
  <c r="V39" i="5"/>
  <c r="V12" i="5"/>
  <c r="V14" i="5" s="1"/>
  <c r="V16" i="5"/>
  <c r="W23" i="4"/>
  <c r="W8" i="5" s="1"/>
  <c r="W17" i="4"/>
  <c r="W22" i="4"/>
  <c r="W21" i="4"/>
  <c r="W20" i="4"/>
  <c r="W7" i="5" s="1"/>
  <c r="BD31" i="9" l="1"/>
  <c r="BD32" i="9"/>
  <c r="BE29" i="9" s="1"/>
  <c r="W11" i="5"/>
  <c r="W13" i="5"/>
  <c r="W33" i="5"/>
  <c r="V15" i="5"/>
  <c r="V18" i="5" s="1"/>
  <c r="W25" i="4"/>
  <c r="X16" i="4"/>
  <c r="X6" i="5" s="1"/>
  <c r="W19" i="4"/>
  <c r="W18" i="4"/>
  <c r="BE31" i="9" l="1"/>
  <c r="BE32" i="9"/>
  <c r="BF29" i="9" s="1"/>
  <c r="W39" i="5"/>
  <c r="W12" i="5"/>
  <c r="W14" i="5" s="1"/>
  <c r="W16" i="5"/>
  <c r="X23" i="4"/>
  <c r="X8" i="5" s="1"/>
  <c r="X17" i="4"/>
  <c r="X22" i="4"/>
  <c r="X20" i="4"/>
  <c r="X7" i="5" s="1"/>
  <c r="X21" i="4"/>
  <c r="BF31" i="9" l="1"/>
  <c r="BF32" i="9"/>
  <c r="BG29" i="9" s="1"/>
  <c r="X11" i="5"/>
  <c r="X13" i="5"/>
  <c r="X33" i="5"/>
  <c r="W15" i="5"/>
  <c r="W18" i="5" s="1"/>
  <c r="X25" i="4"/>
  <c r="Y16" i="4"/>
  <c r="Y6" i="5" s="1"/>
  <c r="X19" i="4"/>
  <c r="X18" i="4"/>
  <c r="BG31" i="9" l="1"/>
  <c r="BG32" i="9"/>
  <c r="BH29" i="9" s="1"/>
  <c r="X39" i="5"/>
  <c r="X12" i="5"/>
  <c r="X14" i="5" s="1"/>
  <c r="X15" i="5" s="1"/>
  <c r="X16" i="5"/>
  <c r="Y23" i="4"/>
  <c r="Y8" i="5" s="1"/>
  <c r="Y17" i="4"/>
  <c r="Y20" i="4"/>
  <c r="Y7" i="5" s="1"/>
  <c r="Y22" i="4"/>
  <c r="Y21" i="4"/>
  <c r="BH31" i="9" l="1"/>
  <c r="BH32" i="9"/>
  <c r="BI29" i="9" s="1"/>
  <c r="X18" i="5"/>
  <c r="Y13" i="5"/>
  <c r="Y33" i="5"/>
  <c r="Y11" i="5"/>
  <c r="Y25" i="4"/>
  <c r="Z16" i="4"/>
  <c r="Z6" i="5" s="1"/>
  <c r="Y19" i="4"/>
  <c r="Y18" i="4"/>
  <c r="BI31" i="9" l="1"/>
  <c r="BI32" i="9"/>
  <c r="BJ29" i="9" s="1"/>
  <c r="Y39" i="5"/>
  <c r="Y16" i="5"/>
  <c r="Y12" i="5"/>
  <c r="Y14" i="5" s="1"/>
  <c r="Z23" i="4"/>
  <c r="Z8" i="5" s="1"/>
  <c r="Z17" i="4"/>
  <c r="Z21" i="4"/>
  <c r="Z20" i="4"/>
  <c r="Z7" i="5" s="1"/>
  <c r="Z22" i="4"/>
  <c r="BJ31" i="9" l="1"/>
  <c r="BJ32" i="9"/>
  <c r="BK29" i="9" s="1"/>
  <c r="Z33" i="5"/>
  <c r="Z11" i="5"/>
  <c r="Z13" i="5"/>
  <c r="Y15" i="5"/>
  <c r="Y18" i="5" s="1"/>
  <c r="Z25" i="4"/>
  <c r="AA16" i="4"/>
  <c r="AA6" i="5" s="1"/>
  <c r="Z18" i="4"/>
  <c r="Z19" i="4"/>
  <c r="BK31" i="9" l="1"/>
  <c r="BK32" i="9"/>
  <c r="BL29" i="9" s="1"/>
  <c r="Z39" i="5"/>
  <c r="Z12" i="5"/>
  <c r="Z14" i="5" s="1"/>
  <c r="Z16" i="5"/>
  <c r="AA23" i="4"/>
  <c r="AA8" i="5" s="1"/>
  <c r="AA17" i="4"/>
  <c r="AA21" i="4"/>
  <c r="AA20" i="4"/>
  <c r="AA22" i="4"/>
  <c r="BL31" i="9" l="1"/>
  <c r="BL32" i="9"/>
  <c r="BM29" i="9" s="1"/>
  <c r="AA25" i="4"/>
  <c r="AA7" i="5"/>
  <c r="Z15" i="5"/>
  <c r="Z18" i="5"/>
  <c r="AB16" i="4"/>
  <c r="AB6" i="5" s="1"/>
  <c r="AA18" i="4"/>
  <c r="AA19" i="4"/>
  <c r="BM31" i="9" l="1"/>
  <c r="BM32" i="9"/>
  <c r="BN29" i="9" s="1"/>
  <c r="AA13" i="5"/>
  <c r="AA11" i="5"/>
  <c r="AA33" i="5"/>
  <c r="AB23" i="4"/>
  <c r="AB8" i="5" s="1"/>
  <c r="AB17" i="4"/>
  <c r="AB21" i="4"/>
  <c r="AB20" i="4"/>
  <c r="AB7" i="5" s="1"/>
  <c r="AB22" i="4"/>
  <c r="BN31" i="9" l="1"/>
  <c r="BN32" i="9"/>
  <c r="BO29" i="9" s="1"/>
  <c r="AB11" i="5"/>
  <c r="AB13" i="5"/>
  <c r="AB33" i="5"/>
  <c r="AA39" i="5"/>
  <c r="AA16" i="5"/>
  <c r="AA12" i="5"/>
  <c r="AA14" i="5" s="1"/>
  <c r="AB25" i="4"/>
  <c r="AC16" i="4"/>
  <c r="AC6" i="5" s="1"/>
  <c r="AB18" i="4"/>
  <c r="AB19" i="4"/>
  <c r="BO31" i="9" l="1"/>
  <c r="BO32" i="9"/>
  <c r="BP29" i="9" s="1"/>
  <c r="AA15" i="5"/>
  <c r="AA18" i="5"/>
  <c r="AB39" i="5"/>
  <c r="AB16" i="5"/>
  <c r="AB12" i="5"/>
  <c r="AB14" i="5" s="1"/>
  <c r="AC23" i="4"/>
  <c r="AC8" i="5" s="1"/>
  <c r="AC17" i="4"/>
  <c r="AC21" i="4"/>
  <c r="AC20" i="4"/>
  <c r="AC7" i="5" s="1"/>
  <c r="AC22" i="4"/>
  <c r="BP31" i="9" l="1"/>
  <c r="BP32" i="9"/>
  <c r="BQ29" i="9" s="1"/>
  <c r="AC33" i="5"/>
  <c r="AC13" i="5"/>
  <c r="AC11" i="5"/>
  <c r="AB15" i="5"/>
  <c r="AB18" i="5"/>
  <c r="AC25" i="4"/>
  <c r="AD16" i="4"/>
  <c r="AD6" i="5" s="1"/>
  <c r="AC18" i="4"/>
  <c r="AC19" i="4"/>
  <c r="BQ31" i="9" l="1"/>
  <c r="BQ32" i="9"/>
  <c r="BR29" i="9" s="1"/>
  <c r="AC39" i="5"/>
  <c r="AC12" i="5"/>
  <c r="AC14" i="5" s="1"/>
  <c r="AC16" i="5"/>
  <c r="AD23" i="4"/>
  <c r="AD8" i="5" s="1"/>
  <c r="AD17" i="4"/>
  <c r="AD22" i="4"/>
  <c r="AD20" i="4"/>
  <c r="AD7" i="5" s="1"/>
  <c r="AD21" i="4"/>
  <c r="BR31" i="9" l="1"/>
  <c r="BR32" i="9"/>
  <c r="AD11" i="5"/>
  <c r="AD33" i="5"/>
  <c r="AD13" i="5"/>
  <c r="AC15" i="5"/>
  <c r="AC18" i="5"/>
  <c r="AD25" i="4"/>
  <c r="AE16" i="4"/>
  <c r="AE6" i="5" s="1"/>
  <c r="AD18" i="4"/>
  <c r="AD19" i="4"/>
  <c r="BS29" i="9" l="1"/>
  <c r="AD39" i="5"/>
  <c r="AD12" i="5"/>
  <c r="AD14" i="5" s="1"/>
  <c r="AD16" i="5"/>
  <c r="AE23" i="4"/>
  <c r="AE8" i="5" s="1"/>
  <c r="AE17" i="4"/>
  <c r="AE22" i="4"/>
  <c r="AE20" i="4"/>
  <c r="AE7" i="5" s="1"/>
  <c r="AE21" i="4"/>
  <c r="BS31" i="9" l="1"/>
  <c r="BS32" i="9"/>
  <c r="AE13" i="5"/>
  <c r="AE11" i="5"/>
  <c r="AE33" i="5"/>
  <c r="AD15" i="5"/>
  <c r="AD18" i="5" s="1"/>
  <c r="AE25" i="4"/>
  <c r="AF16" i="4"/>
  <c r="AF6" i="5" s="1"/>
  <c r="AE18" i="4"/>
  <c r="AE19" i="4"/>
  <c r="BT29" i="9" l="1"/>
  <c r="AE39" i="5"/>
  <c r="AE16" i="5"/>
  <c r="AE12" i="5"/>
  <c r="AE14" i="5" s="1"/>
  <c r="AE15" i="5" s="1"/>
  <c r="AE18" i="5" s="1"/>
  <c r="AF23" i="4"/>
  <c r="AF8" i="5" s="1"/>
  <c r="AF17" i="4"/>
  <c r="AF22" i="4"/>
  <c r="AF20" i="4"/>
  <c r="AF7" i="5" s="1"/>
  <c r="AF21" i="4"/>
  <c r="BT31" i="9" l="1"/>
  <c r="BT32" i="9"/>
  <c r="AF13" i="5"/>
  <c r="AF11" i="5"/>
  <c r="AF33" i="5"/>
  <c r="AF25" i="4"/>
  <c r="AG16" i="4"/>
  <c r="AG6" i="5" s="1"/>
  <c r="AF18" i="4"/>
  <c r="AF19" i="4"/>
  <c r="BU29" i="9" l="1"/>
  <c r="AF39" i="5"/>
  <c r="AF16" i="5"/>
  <c r="AF12" i="5"/>
  <c r="AF14" i="5" s="1"/>
  <c r="AF15" i="5" s="1"/>
  <c r="AF18" i="5" s="1"/>
  <c r="AG23" i="4"/>
  <c r="AG8" i="5" s="1"/>
  <c r="AG17" i="4"/>
  <c r="AG20" i="4"/>
  <c r="AG7" i="5" s="1"/>
  <c r="AG22" i="4"/>
  <c r="AG21" i="4"/>
  <c r="BU31" i="9" l="1"/>
  <c r="C31" i="9" s="1"/>
  <c r="C35" i="9" s="1"/>
  <c r="BU32" i="9"/>
  <c r="AG11" i="5"/>
  <c r="AG33" i="5"/>
  <c r="AG13" i="5"/>
  <c r="AG25" i="4"/>
  <c r="AH16" i="4"/>
  <c r="AH6" i="5" s="1"/>
  <c r="AG18" i="4"/>
  <c r="AG19" i="4"/>
  <c r="C34" i="9" l="1"/>
  <c r="AG39" i="5"/>
  <c r="AG12" i="5"/>
  <c r="AG14" i="5" s="1"/>
  <c r="AG16" i="5"/>
  <c r="AH23" i="4"/>
  <c r="AH8" i="5" s="1"/>
  <c r="AH17" i="4"/>
  <c r="AH22" i="4"/>
  <c r="AH20" i="4"/>
  <c r="AH7" i="5" s="1"/>
  <c r="AH21" i="4"/>
  <c r="AH33" i="5" l="1"/>
  <c r="AH13" i="5"/>
  <c r="AH11" i="5"/>
  <c r="AG15" i="5"/>
  <c r="AG18" i="5" s="1"/>
  <c r="AH25" i="4"/>
  <c r="AI16" i="4"/>
  <c r="AI6" i="5" s="1"/>
  <c r="AH19" i="4"/>
  <c r="AH18" i="4"/>
  <c r="AH39" i="5" l="1"/>
  <c r="AH16" i="5"/>
  <c r="AH12" i="5"/>
  <c r="AH14" i="5" s="1"/>
  <c r="AI23" i="4"/>
  <c r="AI8" i="5" s="1"/>
  <c r="AI17" i="4"/>
  <c r="AI21" i="4"/>
  <c r="AI22" i="4"/>
  <c r="AI20" i="4"/>
  <c r="AI7" i="5" s="1"/>
  <c r="AI13" i="5" l="1"/>
  <c r="AI11" i="5"/>
  <c r="AI33" i="5"/>
  <c r="AH15" i="5"/>
  <c r="AH18" i="5" s="1"/>
  <c r="AI25" i="4"/>
  <c r="AJ16" i="4"/>
  <c r="AJ6" i="5" s="1"/>
  <c r="AI19" i="4"/>
  <c r="AI18" i="4"/>
  <c r="AI39" i="5" l="1"/>
  <c r="AI16" i="5"/>
  <c r="AI12" i="5"/>
  <c r="AI14" i="5" s="1"/>
  <c r="AI15" i="5" s="1"/>
  <c r="AI18" i="5" s="1"/>
  <c r="AJ23" i="4"/>
  <c r="AJ8" i="5" s="1"/>
  <c r="AJ17" i="4"/>
  <c r="AJ21" i="4"/>
  <c r="AJ20" i="4"/>
  <c r="AJ22" i="4"/>
  <c r="AJ25" i="4" l="1"/>
  <c r="AJ7" i="5"/>
  <c r="AK16" i="4"/>
  <c r="AK6" i="5" s="1"/>
  <c r="AJ19" i="4"/>
  <c r="AJ18" i="4"/>
  <c r="AJ11" i="5" l="1"/>
  <c r="AJ33" i="5"/>
  <c r="AJ13" i="5"/>
  <c r="AK23" i="4"/>
  <c r="AK8" i="5" s="1"/>
  <c r="AK17" i="4"/>
  <c r="AK21" i="4"/>
  <c r="AK22" i="4"/>
  <c r="AK20" i="4"/>
  <c r="AK7" i="5" s="1"/>
  <c r="AK11" i="5" l="1"/>
  <c r="AK13" i="5"/>
  <c r="AK33" i="5"/>
  <c r="AJ39" i="5"/>
  <c r="AJ12" i="5"/>
  <c r="AJ14" i="5" s="1"/>
  <c r="AJ16" i="5"/>
  <c r="AK25" i="4"/>
  <c r="AL16" i="4"/>
  <c r="AL6" i="5" s="1"/>
  <c r="AK19" i="4"/>
  <c r="AK18" i="4"/>
  <c r="AJ15" i="5" l="1"/>
  <c r="AJ18" i="5"/>
  <c r="AK39" i="5"/>
  <c r="AK16" i="5"/>
  <c r="AK12" i="5"/>
  <c r="AK14" i="5" s="1"/>
  <c r="AL23" i="4"/>
  <c r="AL8" i="5" s="1"/>
  <c r="AL17" i="4"/>
  <c r="AL21" i="4"/>
  <c r="AL20" i="4"/>
  <c r="AL7" i="5" s="1"/>
  <c r="AL22" i="4"/>
  <c r="AL11" i="5" l="1"/>
  <c r="AL33" i="5"/>
  <c r="AL13" i="5"/>
  <c r="AK15" i="5"/>
  <c r="AK18" i="5"/>
  <c r="AL25" i="4"/>
  <c r="AM16" i="4"/>
  <c r="AM6" i="5" s="1"/>
  <c r="AL18" i="4"/>
  <c r="AL19" i="4"/>
  <c r="AL39" i="5" l="1"/>
  <c r="AL12" i="5"/>
  <c r="AL14" i="5" s="1"/>
  <c r="AL16" i="5"/>
  <c r="AM23" i="4"/>
  <c r="AM8" i="5" s="1"/>
  <c r="AM17" i="4"/>
  <c r="AM21" i="4"/>
  <c r="AM20" i="4"/>
  <c r="AM7" i="5" s="1"/>
  <c r="AM22" i="4"/>
  <c r="AM13" i="5" l="1"/>
  <c r="AM11" i="5"/>
  <c r="AM33" i="5"/>
  <c r="AL15" i="5"/>
  <c r="AL18" i="5" s="1"/>
  <c r="AM25" i="4"/>
  <c r="AN16" i="4"/>
  <c r="AN6" i="5" s="1"/>
  <c r="AM18" i="4"/>
  <c r="AM19" i="4"/>
  <c r="AM39" i="5" l="1"/>
  <c r="AM12" i="5"/>
  <c r="AM14" i="5" s="1"/>
  <c r="AM16" i="5"/>
  <c r="AN23" i="4"/>
  <c r="AN8" i="5" s="1"/>
  <c r="AN17" i="4"/>
  <c r="AN21" i="4"/>
  <c r="AN20" i="4"/>
  <c r="AN7" i="5" s="1"/>
  <c r="AN22" i="4"/>
  <c r="AN13" i="5" l="1"/>
  <c r="AN33" i="5"/>
  <c r="AN11" i="5"/>
  <c r="AM15" i="5"/>
  <c r="AM18" i="5"/>
  <c r="AN25" i="4"/>
  <c r="AO16" i="4"/>
  <c r="AO6" i="5" s="1"/>
  <c r="AN18" i="4"/>
  <c r="AN19" i="4"/>
  <c r="AN39" i="5" l="1"/>
  <c r="AN16" i="5"/>
  <c r="AN12" i="5"/>
  <c r="AN14" i="5" s="1"/>
  <c r="AO23" i="4"/>
  <c r="AO8" i="5" s="1"/>
  <c r="AO17" i="4"/>
  <c r="AO21" i="4"/>
  <c r="AO22" i="4"/>
  <c r="AO20" i="4"/>
  <c r="AO7" i="5" s="1"/>
  <c r="AO11" i="5" l="1"/>
  <c r="AO33" i="5"/>
  <c r="AO13" i="5"/>
  <c r="AN15" i="5"/>
  <c r="AN18" i="5"/>
  <c r="AO25" i="4"/>
  <c r="AP16" i="4"/>
  <c r="AP6" i="5" s="1"/>
  <c r="AO18" i="4"/>
  <c r="AO19" i="4"/>
  <c r="AO39" i="5" l="1"/>
  <c r="AO16" i="5"/>
  <c r="AO12" i="5"/>
  <c r="AO14" i="5" s="1"/>
  <c r="AP23" i="4"/>
  <c r="AP8" i="5" s="1"/>
  <c r="AP17" i="4"/>
  <c r="AP22" i="4"/>
  <c r="AP20" i="4"/>
  <c r="AP7" i="5" s="1"/>
  <c r="AP21" i="4"/>
  <c r="AP11" i="5" l="1"/>
  <c r="AP13" i="5"/>
  <c r="AP33" i="5"/>
  <c r="AO15" i="5"/>
  <c r="AO18" i="5"/>
  <c r="AP25" i="4"/>
  <c r="AQ16" i="4"/>
  <c r="AQ6" i="5" s="1"/>
  <c r="AP18" i="4"/>
  <c r="AP19" i="4"/>
  <c r="AP39" i="5" l="1"/>
  <c r="AP12" i="5"/>
  <c r="AP14" i="5" s="1"/>
  <c r="AP16" i="5"/>
  <c r="AQ23" i="4"/>
  <c r="AQ8" i="5" s="1"/>
  <c r="AQ17" i="4"/>
  <c r="AQ22" i="4"/>
  <c r="AQ20" i="4"/>
  <c r="AQ7" i="5" s="1"/>
  <c r="AQ21" i="4"/>
  <c r="AQ33" i="5" l="1"/>
  <c r="AQ11" i="5"/>
  <c r="AQ13" i="5"/>
  <c r="AP15" i="5"/>
  <c r="AP18" i="5"/>
  <c r="AQ25" i="4"/>
  <c r="AR16" i="4"/>
  <c r="AR6" i="5" s="1"/>
  <c r="AQ18" i="4"/>
  <c r="AQ19" i="4"/>
  <c r="AQ39" i="5" l="1"/>
  <c r="AQ12" i="5"/>
  <c r="AQ14" i="5" s="1"/>
  <c r="AQ15" i="5" s="1"/>
  <c r="AQ16" i="5"/>
  <c r="AR23" i="4"/>
  <c r="AR8" i="5" s="1"/>
  <c r="AR17" i="4"/>
  <c r="AR22" i="4"/>
  <c r="AR20" i="4"/>
  <c r="AR7" i="5" s="1"/>
  <c r="AR21" i="4"/>
  <c r="AQ18" i="5" l="1"/>
  <c r="AR13" i="5"/>
  <c r="AR33" i="5"/>
  <c r="AR11" i="5"/>
  <c r="AR25" i="4"/>
  <c r="AS16" i="4"/>
  <c r="AS6" i="5" s="1"/>
  <c r="AR18" i="4"/>
  <c r="AR19" i="4"/>
  <c r="AR39" i="5" l="1"/>
  <c r="AR16" i="5"/>
  <c r="AR12" i="5"/>
  <c r="AR14" i="5" s="1"/>
  <c r="AR15" i="5" s="1"/>
  <c r="AR18" i="5" s="1"/>
  <c r="AS23" i="4"/>
  <c r="AS8" i="5" s="1"/>
  <c r="AS17" i="4"/>
  <c r="AS20" i="4"/>
  <c r="AS7" i="5" s="1"/>
  <c r="AS22" i="4"/>
  <c r="AS21" i="4"/>
  <c r="AS33" i="5" l="1"/>
  <c r="AS13" i="5"/>
  <c r="AS11" i="5"/>
  <c r="AS25" i="4"/>
  <c r="AT16" i="4"/>
  <c r="AT6" i="5" s="1"/>
  <c r="AS18" i="4"/>
  <c r="AS19" i="4"/>
  <c r="AS39" i="5" l="1"/>
  <c r="AS16" i="5"/>
  <c r="AS12" i="5"/>
  <c r="AS14" i="5" s="1"/>
  <c r="AT23" i="4"/>
  <c r="AT8" i="5" s="1"/>
  <c r="AT17" i="4"/>
  <c r="AT20" i="4"/>
  <c r="AT7" i="5" s="1"/>
  <c r="AT22" i="4"/>
  <c r="AT21" i="4"/>
  <c r="AT13" i="5" l="1"/>
  <c r="AT33" i="5"/>
  <c r="AT11" i="5"/>
  <c r="AS15" i="5"/>
  <c r="AS18" i="5"/>
  <c r="AT25" i="4"/>
  <c r="AU16" i="4"/>
  <c r="AU6" i="5" s="1"/>
  <c r="AT19" i="4"/>
  <c r="AT18" i="4"/>
  <c r="AT39" i="5" l="1"/>
  <c r="AT12" i="5"/>
  <c r="AT14" i="5" s="1"/>
  <c r="AT16" i="5"/>
  <c r="AU23" i="4"/>
  <c r="AU8" i="5" s="1"/>
  <c r="AU17" i="4"/>
  <c r="AU20" i="4"/>
  <c r="AU7" i="5" s="1"/>
  <c r="AU22" i="4"/>
  <c r="AU21" i="4"/>
  <c r="AT15" i="5" l="1"/>
  <c r="AT18" i="5"/>
  <c r="AU33" i="5"/>
  <c r="AU11" i="5"/>
  <c r="AU13" i="5"/>
  <c r="AU25" i="4"/>
  <c r="AV16" i="4"/>
  <c r="AV6" i="5" s="1"/>
  <c r="AU19" i="4"/>
  <c r="AU18" i="4"/>
  <c r="AU39" i="5" l="1"/>
  <c r="AU16" i="5"/>
  <c r="AU12" i="5"/>
  <c r="AU14" i="5" s="1"/>
  <c r="AV23" i="4"/>
  <c r="AV8" i="5" s="1"/>
  <c r="AV17" i="4"/>
  <c r="AV21" i="4"/>
  <c r="AV22" i="4"/>
  <c r="AV20" i="4"/>
  <c r="AV7" i="5" s="1"/>
  <c r="AV11" i="5" l="1"/>
  <c r="AV33" i="5"/>
  <c r="AV13" i="5"/>
  <c r="AU15" i="5"/>
  <c r="AU18" i="5" s="1"/>
  <c r="AV25" i="4"/>
  <c r="AW16" i="4"/>
  <c r="AW6" i="5" s="1"/>
  <c r="AV19" i="4"/>
  <c r="AV18" i="4"/>
  <c r="AV39" i="5" l="1"/>
  <c r="AV16" i="5"/>
  <c r="AV12" i="5"/>
  <c r="AV14" i="5" s="1"/>
  <c r="AV15" i="5" s="1"/>
  <c r="AV18" i="5" s="1"/>
  <c r="AW23" i="4"/>
  <c r="AW8" i="5" s="1"/>
  <c r="AW17" i="4"/>
  <c r="AW20" i="4"/>
  <c r="AW7" i="5" s="1"/>
  <c r="AW21" i="4"/>
  <c r="AW22" i="4"/>
  <c r="AW13" i="5" l="1"/>
  <c r="AW33" i="5"/>
  <c r="AW11" i="5"/>
  <c r="AW25" i="4"/>
  <c r="AX16" i="4"/>
  <c r="AX6" i="5" s="1"/>
  <c r="AW19" i="4"/>
  <c r="AW18" i="4"/>
  <c r="AW39" i="5" l="1"/>
  <c r="AW16" i="5"/>
  <c r="AW12" i="5"/>
  <c r="AW14" i="5" s="1"/>
  <c r="AX23" i="4"/>
  <c r="AX8" i="5" s="1"/>
  <c r="AX17" i="4"/>
  <c r="AX21" i="4"/>
  <c r="AX22" i="4"/>
  <c r="AX20" i="4"/>
  <c r="AX25" i="4" l="1"/>
  <c r="AX7" i="5"/>
  <c r="AW15" i="5"/>
  <c r="AW18" i="5"/>
  <c r="AY16" i="4"/>
  <c r="AY6" i="5" s="1"/>
  <c r="AX18" i="4"/>
  <c r="AX19" i="4"/>
  <c r="AX13" i="5" l="1"/>
  <c r="AX11" i="5"/>
  <c r="AX33" i="5"/>
  <c r="AY23" i="4"/>
  <c r="AY8" i="5" s="1"/>
  <c r="AY17" i="4"/>
  <c r="AY21" i="4"/>
  <c r="AY20" i="4"/>
  <c r="AY7" i="5" s="1"/>
  <c r="AY22" i="4"/>
  <c r="AY11" i="5" l="1"/>
  <c r="AY33" i="5"/>
  <c r="AY13" i="5"/>
  <c r="AX39" i="5"/>
  <c r="AX12" i="5"/>
  <c r="AX14" i="5" s="1"/>
  <c r="AX15" i="5" s="1"/>
  <c r="AX16" i="5"/>
  <c r="AY25" i="4"/>
  <c r="AZ16" i="4"/>
  <c r="AZ6" i="5" s="1"/>
  <c r="AY18" i="4"/>
  <c r="AY19" i="4"/>
  <c r="AX18" i="5" l="1"/>
  <c r="AY39" i="5"/>
  <c r="AY16" i="5"/>
  <c r="AY12" i="5"/>
  <c r="AY14" i="5" s="1"/>
  <c r="AZ23" i="4"/>
  <c r="AZ8" i="5" s="1"/>
  <c r="AZ17" i="4"/>
  <c r="AZ21" i="4"/>
  <c r="AZ20" i="4"/>
  <c r="AZ7" i="5" s="1"/>
  <c r="AZ22" i="4"/>
  <c r="AZ11" i="5" l="1"/>
  <c r="AZ13" i="5"/>
  <c r="AZ33" i="5"/>
  <c r="AY15" i="5"/>
  <c r="AY18" i="5"/>
  <c r="AZ25" i="4"/>
  <c r="BA16" i="4"/>
  <c r="BA6" i="5" s="1"/>
  <c r="AZ18" i="4"/>
  <c r="AZ19" i="4"/>
  <c r="AZ39" i="5" l="1"/>
  <c r="AZ16" i="5"/>
  <c r="AZ12" i="5"/>
  <c r="AZ14" i="5" s="1"/>
  <c r="AZ15" i="5" s="1"/>
  <c r="AZ18" i="5" s="1"/>
  <c r="BA23" i="4"/>
  <c r="BA8" i="5" s="1"/>
  <c r="BA17" i="4"/>
  <c r="BA21" i="4"/>
  <c r="BA20" i="4"/>
  <c r="BA7" i="5" s="1"/>
  <c r="BA22" i="4"/>
  <c r="BA33" i="5" l="1"/>
  <c r="BA11" i="5"/>
  <c r="BA13" i="5"/>
  <c r="BA25" i="4"/>
  <c r="BB16" i="4"/>
  <c r="BB6" i="5" s="1"/>
  <c r="BA18" i="4"/>
  <c r="BA19" i="4"/>
  <c r="BA39" i="5" l="1"/>
  <c r="BA12" i="5"/>
  <c r="BA14" i="5" s="1"/>
  <c r="BA16" i="5"/>
  <c r="BB23" i="4"/>
  <c r="BB8" i="5" s="1"/>
  <c r="BB17" i="4"/>
  <c r="BB22" i="4"/>
  <c r="BB20" i="4"/>
  <c r="BB7" i="5" s="1"/>
  <c r="BB21" i="4"/>
  <c r="BB13" i="5" l="1"/>
  <c r="BB33" i="5"/>
  <c r="BB11" i="5"/>
  <c r="BA15" i="5"/>
  <c r="BA18" i="5"/>
  <c r="BB25" i="4"/>
  <c r="BC16" i="4"/>
  <c r="BC6" i="5" s="1"/>
  <c r="BB19" i="4"/>
  <c r="BB18" i="4"/>
  <c r="BB39" i="5" l="1"/>
  <c r="BB12" i="5"/>
  <c r="BB14" i="5" s="1"/>
  <c r="BB15" i="5" s="1"/>
  <c r="BB16" i="5"/>
  <c r="BC23" i="4"/>
  <c r="BC8" i="5" s="1"/>
  <c r="BC17" i="4"/>
  <c r="BC22" i="4"/>
  <c r="BC20" i="4"/>
  <c r="BC7" i="5" s="1"/>
  <c r="BC21" i="4"/>
  <c r="BC11" i="5" l="1"/>
  <c r="BC13" i="5"/>
  <c r="BC33" i="5"/>
  <c r="BB18" i="5"/>
  <c r="BC25" i="4"/>
  <c r="BD16" i="4"/>
  <c r="BD6" i="5" s="1"/>
  <c r="BC19" i="4"/>
  <c r="BC18" i="4"/>
  <c r="BC39" i="5" l="1"/>
  <c r="BC12" i="5"/>
  <c r="BC14" i="5" s="1"/>
  <c r="BC16" i="5"/>
  <c r="BD23" i="4"/>
  <c r="BD8" i="5" s="1"/>
  <c r="BD17" i="4"/>
  <c r="BD22" i="4"/>
  <c r="BD20" i="4"/>
  <c r="BD7" i="5" s="1"/>
  <c r="BD21" i="4"/>
  <c r="BD13" i="5" l="1"/>
  <c r="BD33" i="5"/>
  <c r="BD11" i="5"/>
  <c r="BC15" i="5"/>
  <c r="BC18" i="5"/>
  <c r="BD25" i="4"/>
  <c r="BE16" i="4"/>
  <c r="BE6" i="5" s="1"/>
  <c r="BD19" i="4"/>
  <c r="BD18" i="4"/>
  <c r="BD39" i="5" l="1"/>
  <c r="BD16" i="5"/>
  <c r="BD12" i="5"/>
  <c r="BD14" i="5" s="1"/>
  <c r="BE23" i="4"/>
  <c r="BE8" i="5" s="1"/>
  <c r="BE17" i="4"/>
  <c r="BE22" i="4"/>
  <c r="BE20" i="4"/>
  <c r="BE7" i="5" s="1"/>
  <c r="BE21" i="4"/>
  <c r="BE13" i="5" l="1"/>
  <c r="BE33" i="5"/>
  <c r="BE11" i="5"/>
  <c r="BD15" i="5"/>
  <c r="BD18" i="5"/>
  <c r="BE25" i="4"/>
  <c r="BF16" i="4"/>
  <c r="BF6" i="5" s="1"/>
  <c r="BE19" i="4"/>
  <c r="BE18" i="4"/>
  <c r="BE39" i="5" l="1"/>
  <c r="BE16" i="5"/>
  <c r="BE12" i="5"/>
  <c r="BE14" i="5" s="1"/>
  <c r="BF23" i="4"/>
  <c r="BF8" i="5" s="1"/>
  <c r="BF17" i="4"/>
  <c r="BF20" i="4"/>
  <c r="BF7" i="5" s="1"/>
  <c r="BF22" i="4"/>
  <c r="BF21" i="4"/>
  <c r="BF33" i="5" l="1"/>
  <c r="BF13" i="5"/>
  <c r="BF11" i="5"/>
  <c r="BE15" i="5"/>
  <c r="BE18" i="5"/>
  <c r="BF25" i="4"/>
  <c r="BG16" i="4"/>
  <c r="BG6" i="5" s="1"/>
  <c r="BF19" i="4"/>
  <c r="BF18" i="4"/>
  <c r="BF39" i="5" l="1"/>
  <c r="BF16" i="5"/>
  <c r="BF12" i="5"/>
  <c r="BF14" i="5" s="1"/>
  <c r="BG23" i="4"/>
  <c r="BG8" i="5" s="1"/>
  <c r="BG17" i="4"/>
  <c r="BG21" i="4"/>
  <c r="BG20" i="4"/>
  <c r="BG22" i="4"/>
  <c r="BG25" i="4" l="1"/>
  <c r="BG7" i="5"/>
  <c r="BF15" i="5"/>
  <c r="BF18" i="5"/>
  <c r="BH16" i="4"/>
  <c r="BH6" i="5" s="1"/>
  <c r="BG19" i="4"/>
  <c r="BG18" i="4"/>
  <c r="BG11" i="5" l="1"/>
  <c r="BG13" i="5"/>
  <c r="BG33" i="5"/>
  <c r="BH23" i="4"/>
  <c r="BH8" i="5" s="1"/>
  <c r="BH17" i="4"/>
  <c r="BH21" i="4"/>
  <c r="BH20" i="4"/>
  <c r="BH7" i="5" s="1"/>
  <c r="BH22" i="4"/>
  <c r="BH11" i="5" l="1"/>
  <c r="BH13" i="5"/>
  <c r="BH33" i="5"/>
  <c r="BG39" i="5"/>
  <c r="BG16" i="5"/>
  <c r="BG12" i="5"/>
  <c r="BG14" i="5" s="1"/>
  <c r="BH25" i="4"/>
  <c r="BI16" i="4"/>
  <c r="BI6" i="5" s="1"/>
  <c r="BH19" i="4"/>
  <c r="BH18" i="4"/>
  <c r="BG15" i="5" l="1"/>
  <c r="BG18" i="5" s="1"/>
  <c r="BH39" i="5"/>
  <c r="BH12" i="5"/>
  <c r="BH14" i="5" s="1"/>
  <c r="BH16" i="5"/>
  <c r="BI23" i="4"/>
  <c r="BI8" i="5" s="1"/>
  <c r="BI17" i="4"/>
  <c r="BI20" i="4"/>
  <c r="BI7" i="5" s="1"/>
  <c r="BI21" i="4"/>
  <c r="BI22" i="4"/>
  <c r="BI13" i="5" l="1"/>
  <c r="BI33" i="5"/>
  <c r="BI11" i="5"/>
  <c r="BH15" i="5"/>
  <c r="BH18" i="5"/>
  <c r="BI25" i="4"/>
  <c r="BJ16" i="4"/>
  <c r="BJ6" i="5" s="1"/>
  <c r="BI19" i="4"/>
  <c r="BI18" i="4"/>
  <c r="BI39" i="5" l="1"/>
  <c r="BI16" i="5"/>
  <c r="BI12" i="5"/>
  <c r="BI14" i="5" s="1"/>
  <c r="BI15" i="5" s="1"/>
  <c r="BI18" i="5" s="1"/>
  <c r="BJ23" i="4"/>
  <c r="BJ8" i="5" s="1"/>
  <c r="BJ17" i="4"/>
  <c r="BJ21" i="4"/>
  <c r="BJ22" i="4"/>
  <c r="BJ20" i="4"/>
  <c r="BJ7" i="5" s="1"/>
  <c r="BJ13" i="5" l="1"/>
  <c r="BJ33" i="5"/>
  <c r="BJ11" i="5"/>
  <c r="BJ25" i="4"/>
  <c r="BK16" i="4"/>
  <c r="BK6" i="5" s="1"/>
  <c r="BJ18" i="4"/>
  <c r="BJ19" i="4"/>
  <c r="BJ39" i="5" l="1"/>
  <c r="BJ16" i="5"/>
  <c r="BJ12" i="5"/>
  <c r="BJ14" i="5" s="1"/>
  <c r="BK23" i="4"/>
  <c r="BK8" i="5" s="1"/>
  <c r="BK17" i="4"/>
  <c r="BK21" i="4"/>
  <c r="BK22" i="4"/>
  <c r="BK20" i="4"/>
  <c r="BK25" i="4" l="1"/>
  <c r="BK7" i="5"/>
  <c r="BJ15" i="5"/>
  <c r="BJ18" i="5"/>
  <c r="BL16" i="4"/>
  <c r="BL6" i="5" s="1"/>
  <c r="BK18" i="4"/>
  <c r="BK19" i="4"/>
  <c r="BK13" i="5" l="1"/>
  <c r="BK33" i="5"/>
  <c r="BK11" i="5"/>
  <c r="BL23" i="4"/>
  <c r="BL8" i="5" s="1"/>
  <c r="BL17" i="4"/>
  <c r="BL21" i="4"/>
  <c r="BL20" i="4"/>
  <c r="BL7" i="5" s="1"/>
  <c r="BL22" i="4"/>
  <c r="BL13" i="5" l="1"/>
  <c r="BL33" i="5"/>
  <c r="BL11" i="5"/>
  <c r="BK39" i="5"/>
  <c r="BK12" i="5"/>
  <c r="BK14" i="5" s="1"/>
  <c r="BK16" i="5"/>
  <c r="BL25" i="4"/>
  <c r="BM16" i="4"/>
  <c r="BM6" i="5" s="1"/>
  <c r="BL18" i="4"/>
  <c r="BL19" i="4"/>
  <c r="BK15" i="5" l="1"/>
  <c r="BK18" i="5"/>
  <c r="BL39" i="5"/>
  <c r="BL12" i="5"/>
  <c r="BL14" i="5" s="1"/>
  <c r="BL16" i="5"/>
  <c r="BM23" i="4"/>
  <c r="BM8" i="5" s="1"/>
  <c r="BM17" i="4"/>
  <c r="BM21" i="4"/>
  <c r="BM20" i="4"/>
  <c r="BM7" i="5" s="1"/>
  <c r="BM22" i="4"/>
  <c r="BM11" i="5" l="1"/>
  <c r="BM13" i="5"/>
  <c r="BM33" i="5"/>
  <c r="BL15" i="5"/>
  <c r="BL18" i="5" s="1"/>
  <c r="BM25" i="4"/>
  <c r="BN16" i="4"/>
  <c r="BN6" i="5" s="1"/>
  <c r="BM18" i="4"/>
  <c r="BM19" i="4"/>
  <c r="BM39" i="5" l="1"/>
  <c r="BM12" i="5"/>
  <c r="BM14" i="5" s="1"/>
  <c r="BM16" i="5"/>
  <c r="BN23" i="4"/>
  <c r="BN8" i="5" s="1"/>
  <c r="BN17" i="4"/>
  <c r="BN22" i="4"/>
  <c r="BN20" i="4"/>
  <c r="BN7" i="5" s="1"/>
  <c r="BN21" i="4"/>
  <c r="BN33" i="5" l="1"/>
  <c r="BN11" i="5"/>
  <c r="BN13" i="5"/>
  <c r="BM15" i="5"/>
  <c r="BM18" i="5"/>
  <c r="BN25" i="4"/>
  <c r="BO16" i="4"/>
  <c r="BO6" i="5" s="1"/>
  <c r="BN18" i="4"/>
  <c r="BN19" i="4"/>
  <c r="BN39" i="5" l="1"/>
  <c r="BN12" i="5"/>
  <c r="BN14" i="5" s="1"/>
  <c r="BN16" i="5"/>
  <c r="BO23" i="4"/>
  <c r="BO8" i="5" s="1"/>
  <c r="BO17" i="4"/>
  <c r="BO22" i="4"/>
  <c r="BO20" i="4"/>
  <c r="BO7" i="5" s="1"/>
  <c r="BO21" i="4"/>
  <c r="BO13" i="5" l="1"/>
  <c r="BO11" i="5"/>
  <c r="BO33" i="5"/>
  <c r="BN15" i="5"/>
  <c r="BN18" i="5" s="1"/>
  <c r="BO25" i="4"/>
  <c r="BP16" i="4"/>
  <c r="BP6" i="5" s="1"/>
  <c r="BO18" i="4"/>
  <c r="BO19" i="4"/>
  <c r="BO39" i="5" l="1"/>
  <c r="BO12" i="5"/>
  <c r="BO14" i="5" s="1"/>
  <c r="BO15" i="5" s="1"/>
  <c r="BO16" i="5"/>
  <c r="BP23" i="4"/>
  <c r="BP8" i="5" s="1"/>
  <c r="BP17" i="4"/>
  <c r="BP22" i="4"/>
  <c r="BP20" i="4"/>
  <c r="BP7" i="5" s="1"/>
  <c r="BP21" i="4"/>
  <c r="BP11" i="5" l="1"/>
  <c r="BP13" i="5"/>
  <c r="BP33" i="5"/>
  <c r="BO18" i="5"/>
  <c r="BP25" i="4"/>
  <c r="BQ16" i="4"/>
  <c r="BQ6" i="5" s="1"/>
  <c r="BP18" i="4"/>
  <c r="BP19" i="4"/>
  <c r="BP39" i="5" l="1"/>
  <c r="BP16" i="5"/>
  <c r="BP12" i="5"/>
  <c r="BP14" i="5" s="1"/>
  <c r="BQ23" i="4"/>
  <c r="BQ8" i="5" s="1"/>
  <c r="BQ17" i="4"/>
  <c r="BQ20" i="4"/>
  <c r="BQ7" i="5" s="1"/>
  <c r="BQ22" i="4"/>
  <c r="BQ21" i="4"/>
  <c r="BQ33" i="5" l="1"/>
  <c r="BQ11" i="5"/>
  <c r="BQ13" i="5"/>
  <c r="BP15" i="5"/>
  <c r="BP18" i="5"/>
  <c r="BQ25" i="4"/>
  <c r="BR16" i="4"/>
  <c r="BR6" i="5" s="1"/>
  <c r="BQ19" i="4"/>
  <c r="BQ18" i="4"/>
  <c r="BQ39" i="5" l="1"/>
  <c r="BQ16" i="5"/>
  <c r="BQ12" i="5"/>
  <c r="BQ14" i="5" s="1"/>
  <c r="BR23" i="4"/>
  <c r="BR8" i="5" s="1"/>
  <c r="BR17" i="4"/>
  <c r="BR20" i="4"/>
  <c r="BR7" i="5" s="1"/>
  <c r="BR22" i="4"/>
  <c r="BR21" i="4"/>
  <c r="BR13" i="5" l="1"/>
  <c r="BR33" i="5"/>
  <c r="BR11" i="5"/>
  <c r="BQ15" i="5"/>
  <c r="BQ18" i="5"/>
  <c r="BR25" i="4"/>
  <c r="BS16" i="4"/>
  <c r="BS6" i="5" s="1"/>
  <c r="BR19" i="4"/>
  <c r="BR18" i="4"/>
  <c r="BR39" i="5" l="1"/>
  <c r="BR12" i="5"/>
  <c r="BR14" i="5" s="1"/>
  <c r="BR16" i="5"/>
  <c r="BS23" i="4"/>
  <c r="BS8" i="5" s="1"/>
  <c r="BS17" i="4"/>
  <c r="BS20" i="4"/>
  <c r="BS7" i="5" s="1"/>
  <c r="BS21" i="4"/>
  <c r="BS22" i="4"/>
  <c r="BS33" i="5" l="1"/>
  <c r="BS11" i="5"/>
  <c r="BS13" i="5"/>
  <c r="BR15" i="5"/>
  <c r="BR18" i="5" s="1"/>
  <c r="BS25" i="4"/>
  <c r="BT16" i="4"/>
  <c r="BT6" i="5" s="1"/>
  <c r="BS19" i="4"/>
  <c r="BS18" i="4"/>
  <c r="BS39" i="5" l="1"/>
  <c r="BS16" i="5"/>
  <c r="BS12" i="5"/>
  <c r="BS14" i="5" s="1"/>
  <c r="BT23" i="4"/>
  <c r="BT8" i="5" s="1"/>
  <c r="BT17" i="4"/>
  <c r="BT21" i="4"/>
  <c r="BT22" i="4"/>
  <c r="BT20" i="4"/>
  <c r="BT25" i="4" l="1"/>
  <c r="BT7" i="5"/>
  <c r="BS15" i="5"/>
  <c r="BS18" i="5" s="1"/>
  <c r="BU16" i="4"/>
  <c r="BU6" i="5" s="1"/>
  <c r="BT19" i="4"/>
  <c r="BT18" i="4"/>
  <c r="BT11" i="5" l="1"/>
  <c r="BT33" i="5"/>
  <c r="BT13" i="5"/>
  <c r="BU23" i="4"/>
  <c r="BU8" i="5" s="1"/>
  <c r="BU17" i="4"/>
  <c r="BU20" i="4"/>
  <c r="BU21" i="4"/>
  <c r="BU22" i="4"/>
  <c r="C20" i="4" l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18" i="4"/>
  <c r="BT15" i="5" l="1"/>
  <c r="BT18" i="5"/>
  <c r="BU13" i="5"/>
  <c r="BU33" i="5"/>
  <c r="BU11" i="5"/>
  <c r="BU39" i="5" l="1"/>
  <c r="BU16" i="5"/>
  <c r="C16" i="5" s="1"/>
  <c r="C48" i="5" s="1"/>
  <c r="BU12" i="5"/>
  <c r="BU14" i="5" l="1"/>
  <c r="C12" i="5"/>
  <c r="C20" i="5"/>
  <c r="BU15" i="5" l="1"/>
  <c r="C14" i="5"/>
  <c r="C46" i="5" s="1"/>
  <c r="C21" i="5"/>
  <c r="BU18" i="5" l="1"/>
  <c r="C15" i="5"/>
  <c r="C47" i="5" s="1"/>
  <c r="C10" i="7" s="1"/>
  <c r="C11" i="7" l="1"/>
  <c r="C12" i="7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F42" i="5" s="1"/>
  <c r="H30" i="5"/>
  <c r="C36" i="5"/>
  <c r="G38" i="5"/>
  <c r="E42" i="5"/>
  <c r="E19" i="7" s="1"/>
  <c r="F19" i="7" l="1"/>
  <c r="D26" i="7"/>
  <c r="D25" i="7"/>
  <c r="G41" i="5"/>
  <c r="G40" i="5"/>
  <c r="H32" i="5"/>
  <c r="I30" i="5" s="1"/>
  <c r="H38" i="5" l="1"/>
  <c r="D28" i="7"/>
  <c r="D27" i="7"/>
  <c r="D31" i="7"/>
  <c r="D32" i="7" s="1"/>
  <c r="H41" i="5"/>
  <c r="H40" i="5"/>
  <c r="H42" i="5" s="1"/>
  <c r="I32" i="5"/>
  <c r="J30" i="5" s="1"/>
  <c r="G42" i="5"/>
  <c r="G19" i="7" s="1"/>
  <c r="I38" i="5" l="1"/>
  <c r="H19" i="7"/>
  <c r="H21" i="7" s="1"/>
  <c r="H22" i="7" s="1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J42" i="5" s="1"/>
  <c r="K32" i="5"/>
  <c r="L30" i="5" s="1"/>
  <c r="K38" i="5"/>
  <c r="I42" i="5"/>
  <c r="I19" i="7" s="1"/>
  <c r="D10" i="8" l="1"/>
  <c r="D12" i="8" s="1"/>
  <c r="J19" i="7"/>
  <c r="K41" i="5"/>
  <c r="K40" i="5"/>
  <c r="L32" i="5"/>
  <c r="M30" i="5" s="1"/>
  <c r="L38" i="5"/>
  <c r="D25" i="8" l="1"/>
  <c r="L41" i="5"/>
  <c r="L40" i="5"/>
  <c r="L42" i="5" s="1"/>
  <c r="M32" i="5"/>
  <c r="N30" i="5" s="1"/>
  <c r="M38" i="5"/>
  <c r="K42" i="5"/>
  <c r="K19" i="7" s="1"/>
  <c r="D9" i="9" l="1"/>
  <c r="D10" i="9" s="1"/>
  <c r="D17" i="9" s="1"/>
  <c r="D26" i="8"/>
  <c r="L19" i="7"/>
  <c r="M41" i="5"/>
  <c r="M40" i="5"/>
  <c r="M42" i="5" s="1"/>
  <c r="N32" i="5"/>
  <c r="O30" i="5" s="1"/>
  <c r="N38" i="5"/>
  <c r="M19" i="7" l="1"/>
  <c r="N41" i="5"/>
  <c r="N40" i="5"/>
  <c r="N42" i="5" s="1"/>
  <c r="O32" i="5"/>
  <c r="P30" i="5" s="1"/>
  <c r="O38" i="5"/>
  <c r="N19" i="7" l="1"/>
  <c r="O41" i="5"/>
  <c r="O40" i="5"/>
  <c r="O42" i="5" s="1"/>
  <c r="P32" i="5"/>
  <c r="Q30" i="5" s="1"/>
  <c r="P38" i="5"/>
  <c r="O19" i="7" l="1"/>
  <c r="P41" i="5"/>
  <c r="P40" i="5"/>
  <c r="P42" i="5" s="1"/>
  <c r="Q32" i="5"/>
  <c r="R30" i="5" s="1"/>
  <c r="Q38" i="5"/>
  <c r="P19" i="7" l="1"/>
  <c r="Q41" i="5"/>
  <c r="Q40" i="5"/>
  <c r="Q42" i="5" s="1"/>
  <c r="R32" i="5"/>
  <c r="S30" i="5" s="1"/>
  <c r="R38" i="5" l="1"/>
  <c r="Q19" i="7"/>
  <c r="R41" i="5"/>
  <c r="R40" i="5"/>
  <c r="R42" i="5" s="1"/>
  <c r="S32" i="5"/>
  <c r="T30" i="5" s="1"/>
  <c r="S38" i="5"/>
  <c r="R19" i="7" l="1"/>
  <c r="S41" i="5"/>
  <c r="S40" i="5"/>
  <c r="S42" i="5" s="1"/>
  <c r="T32" i="5"/>
  <c r="U30" i="5" s="1"/>
  <c r="T38" i="5"/>
  <c r="S19" i="7" l="1"/>
  <c r="T41" i="5"/>
  <c r="T40" i="5"/>
  <c r="T42" i="5" s="1"/>
  <c r="U32" i="5"/>
  <c r="V30" i="5" s="1"/>
  <c r="U38" i="5"/>
  <c r="T19" i="7" l="1"/>
  <c r="U41" i="5"/>
  <c r="U40" i="5"/>
  <c r="U42" i="5" s="1"/>
  <c r="V32" i="5"/>
  <c r="W30" i="5" s="1"/>
  <c r="V38" i="5"/>
  <c r="U19" i="7" l="1"/>
  <c r="V41" i="5"/>
  <c r="V40" i="5"/>
  <c r="V42" i="5" s="1"/>
  <c r="W32" i="5"/>
  <c r="X30" i="5" s="1"/>
  <c r="W38" i="5"/>
  <c r="V19" i="7" l="1"/>
  <c r="W41" i="5"/>
  <c r="W40" i="5"/>
  <c r="W42" i="5" s="1"/>
  <c r="X32" i="5"/>
  <c r="Y30" i="5" s="1"/>
  <c r="X38" i="5"/>
  <c r="W19" i="7" l="1"/>
  <c r="X41" i="5"/>
  <c r="X40" i="5"/>
  <c r="Y32" i="5"/>
  <c r="Z30" i="5" s="1"/>
  <c r="Y38" i="5"/>
  <c r="X42" i="5" l="1"/>
  <c r="Y41" i="5"/>
  <c r="Y40" i="5"/>
  <c r="Y42" i="5" s="1"/>
  <c r="Z32" i="5"/>
  <c r="AA30" i="5" s="1"/>
  <c r="Z38" i="5"/>
  <c r="X19" i="7" l="1"/>
  <c r="Y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B42" i="5" s="1"/>
  <c r="AC32" i="5"/>
  <c r="AD30" i="5" s="1"/>
  <c r="AC38" i="5" l="1"/>
  <c r="AB19" i="7"/>
  <c r="AA19" i="7"/>
  <c r="AC41" i="5"/>
  <c r="AC40" i="5"/>
  <c r="AC42" i="5" s="1"/>
  <c r="AD32" i="5"/>
  <c r="AE30" i="5" s="1"/>
  <c r="AD38" i="5" l="1"/>
  <c r="AC19" i="7"/>
  <c r="AD41" i="5"/>
  <c r="AD40" i="5"/>
  <c r="AD42" i="5" s="1"/>
  <c r="AE32" i="5"/>
  <c r="AF30" i="5" s="1"/>
  <c r="AE38" i="5"/>
  <c r="AD19" i="7" l="1"/>
  <c r="AE41" i="5"/>
  <c r="AE40" i="5"/>
  <c r="AF32" i="5"/>
  <c r="AG30" i="5" s="1"/>
  <c r="AF38" i="5" l="1"/>
  <c r="AE42" i="5"/>
  <c r="AF41" i="5"/>
  <c r="AF40" i="5"/>
  <c r="AG32" i="5"/>
  <c r="AH30" i="5" s="1"/>
  <c r="AG38" i="5"/>
  <c r="AE19" i="7" l="1"/>
  <c r="AF42" i="5"/>
  <c r="AG41" i="5"/>
  <c r="AG40" i="5"/>
  <c r="AG42" i="5" s="1"/>
  <c r="AH32" i="5"/>
  <c r="AI30" i="5" s="1"/>
  <c r="AH38" i="5"/>
  <c r="AF19" i="7" l="1"/>
  <c r="AG19" i="7"/>
  <c r="AH41" i="5"/>
  <c r="AH40" i="5"/>
  <c r="AH42" i="5" s="1"/>
  <c r="AI32" i="5"/>
  <c r="AJ30" i="5" s="1"/>
  <c r="AI38" i="5"/>
  <c r="AH19" i="7" l="1"/>
  <c r="AI41" i="5"/>
  <c r="AI40" i="5"/>
  <c r="AI42" i="5" s="1"/>
  <c r="AJ32" i="5"/>
  <c r="AK30" i="5" s="1"/>
  <c r="AJ38" i="5"/>
  <c r="AI19" i="7" l="1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K19" i="7"/>
  <c r="AL41" i="5"/>
  <c r="AL40" i="5"/>
  <c r="AM32" i="5"/>
  <c r="AN30" i="5" s="1"/>
  <c r="AM38" i="5"/>
  <c r="AL42" i="5" l="1"/>
  <c r="AM41" i="5"/>
  <c r="AM40" i="5"/>
  <c r="AM42" i="5" s="1"/>
  <c r="AN32" i="5"/>
  <c r="AO30" i="5" s="1"/>
  <c r="AN38" i="5" l="1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/>
  <c r="AP40" i="5"/>
  <c r="AQ32" i="5"/>
  <c r="AR30" i="5" s="1"/>
  <c r="AQ38" i="5"/>
  <c r="AO42" i="5"/>
  <c r="AP42" i="5" l="1"/>
  <c r="AO19" i="7"/>
  <c r="AP19" i="7"/>
  <c r="AR32" i="5"/>
  <c r="AS30" i="5" s="1"/>
  <c r="AR38" i="5"/>
  <c r="AQ41" i="5"/>
  <c r="AQ40" i="5"/>
  <c r="AQ42" i="5" s="1"/>
  <c r="AQ19" i="7" l="1"/>
  <c r="AR41" i="5"/>
  <c r="AR40" i="5"/>
  <c r="AR42" i="5" s="1"/>
  <c r="AS32" i="5"/>
  <c r="AT30" i="5" s="1"/>
  <c r="AS38" i="5"/>
  <c r="AR19" i="7" l="1"/>
  <c r="AT32" i="5"/>
  <c r="AU30" i="5" s="1"/>
  <c r="AS41" i="5"/>
  <c r="AS40" i="5"/>
  <c r="AS42" i="5" s="1"/>
  <c r="AS19" i="7" l="1"/>
  <c r="AT38" i="5"/>
  <c r="AT41" i="5"/>
  <c r="AT40" i="5"/>
  <c r="AT42" i="5" s="1"/>
  <c r="AU32" i="5"/>
  <c r="AV30" i="5" s="1"/>
  <c r="AU38" i="5"/>
  <c r="AT19" i="7" l="1"/>
  <c r="AU41" i="5"/>
  <c r="AU40" i="5"/>
  <c r="AU42" i="5" s="1"/>
  <c r="AV32" i="5"/>
  <c r="AW30" i="5" s="1"/>
  <c r="AV38" i="5"/>
  <c r="AU19" i="7" l="1"/>
  <c r="AV41" i="5"/>
  <c r="AV40" i="5"/>
  <c r="AV42" i="5" s="1"/>
  <c r="AW32" i="5"/>
  <c r="AX30" i="5" s="1"/>
  <c r="AW38" i="5"/>
  <c r="AV19" i="7" l="1"/>
  <c r="AW41" i="5"/>
  <c r="AW40" i="5"/>
  <c r="AX32" i="5"/>
  <c r="AY30" i="5" s="1"/>
  <c r="AX38" i="5"/>
  <c r="AW42" i="5" l="1"/>
  <c r="AX41" i="5"/>
  <c r="AX40" i="5"/>
  <c r="AX42" i="5" s="1"/>
  <c r="AY32" i="5"/>
  <c r="AZ30" i="5" s="1"/>
  <c r="AW19" i="7" l="1"/>
  <c r="AX19" i="7"/>
  <c r="AY38" i="5"/>
  <c r="AY41" i="5"/>
  <c r="AY40" i="5"/>
  <c r="AY42" i="5" s="1"/>
  <c r="AZ32" i="5"/>
  <c r="BA30" i="5" s="1"/>
  <c r="AY19" i="7" l="1"/>
  <c r="AZ38" i="5"/>
  <c r="AZ41" i="5" s="1"/>
  <c r="AZ40" i="5"/>
  <c r="BA32" i="5"/>
  <c r="BB30" i="5" s="1"/>
  <c r="BA38" i="5"/>
  <c r="AZ42" i="5" l="1"/>
  <c r="BA41" i="5"/>
  <c r="BA40" i="5"/>
  <c r="BB32" i="5"/>
  <c r="BC30" i="5" s="1"/>
  <c r="BB38" i="5"/>
  <c r="BA42" i="5" l="1"/>
  <c r="AZ19" i="7"/>
  <c r="BB41" i="5"/>
  <c r="BB40" i="5"/>
  <c r="BB42" i="5" s="1"/>
  <c r="BC32" i="5"/>
  <c r="BD30" i="5" s="1"/>
  <c r="BB19" i="7" l="1"/>
  <c r="BA19" i="7"/>
  <c r="BC38" i="5"/>
  <c r="BC41" i="5"/>
  <c r="BC40" i="5"/>
  <c r="BC42" i="5" s="1"/>
  <c r="BD32" i="5"/>
  <c r="BE30" i="5" s="1"/>
  <c r="BD38" i="5" l="1"/>
  <c r="BC19" i="7"/>
  <c r="BD41" i="5"/>
  <c r="BD40" i="5"/>
  <c r="BD42" i="5" s="1"/>
  <c r="BE32" i="5"/>
  <c r="BF30" i="5" s="1"/>
  <c r="BE38" i="5"/>
  <c r="BD19" i="7" l="1"/>
  <c r="BE41" i="5"/>
  <c r="BE40" i="5"/>
  <c r="BE42" i="5" s="1"/>
  <c r="BF32" i="5"/>
  <c r="BG30" i="5" s="1"/>
  <c r="BF38" i="5" l="1"/>
  <c r="BE19" i="7"/>
  <c r="BF41" i="5"/>
  <c r="BF40" i="5"/>
  <c r="BG32" i="5"/>
  <c r="BH30" i="5" s="1"/>
  <c r="BG38" i="5"/>
  <c r="BF42" i="5" l="1"/>
  <c r="BG41" i="5"/>
  <c r="BG40" i="5"/>
  <c r="BH32" i="5"/>
  <c r="BI30" i="5" s="1"/>
  <c r="BH38" i="5"/>
  <c r="BF19" i="7" l="1"/>
  <c r="BG42" i="5"/>
  <c r="BH41" i="5"/>
  <c r="BH40" i="5"/>
  <c r="BH42" i="5" s="1"/>
  <c r="BI32" i="5"/>
  <c r="BJ30" i="5" s="1"/>
  <c r="BI38" i="5"/>
  <c r="BH19" i="7" l="1"/>
  <c r="BG19" i="7"/>
  <c r="BI41" i="5"/>
  <c r="BI40" i="5"/>
  <c r="BI42" i="5" s="1"/>
  <c r="BJ32" i="5"/>
  <c r="BK30" i="5" s="1"/>
  <c r="BJ38" i="5"/>
  <c r="BI19" i="7" l="1"/>
  <c r="BJ41" i="5"/>
  <c r="BJ40" i="5"/>
  <c r="BJ42" i="5" s="1"/>
  <c r="BK32" i="5"/>
  <c r="BL30" i="5" s="1"/>
  <c r="BK38" i="5"/>
  <c r="BJ19" i="7" l="1"/>
  <c r="BK41" i="5"/>
  <c r="BK40" i="5"/>
  <c r="BK42" i="5" s="1"/>
  <c r="BL32" i="5"/>
  <c r="BM30" i="5" s="1"/>
  <c r="BL38" i="5"/>
  <c r="BK19" i="7" l="1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/>
  <c r="BM19" i="7" l="1"/>
  <c r="BN42" i="5"/>
  <c r="BO41" i="5"/>
  <c r="BO40" i="5"/>
  <c r="BO42" i="5" s="1"/>
  <c r="BP32" i="5"/>
  <c r="BQ30" i="5" s="1"/>
  <c r="BP38" i="5"/>
  <c r="BO19" i="7" l="1"/>
  <c r="BN19" i="7"/>
  <c r="BP41" i="5"/>
  <c r="BP40" i="5"/>
  <c r="BP42" i="5" s="1"/>
  <c r="BQ32" i="5"/>
  <c r="BR30" i="5" s="1"/>
  <c r="BQ38" i="5" l="1"/>
  <c r="BP19" i="7"/>
  <c r="BQ41" i="5"/>
  <c r="BQ40" i="5"/>
  <c r="BQ42" i="5" s="1"/>
  <c r="BR32" i="5"/>
  <c r="BS30" i="5" s="1"/>
  <c r="BR38" i="5"/>
  <c r="BQ19" i="7" l="1"/>
  <c r="BR41" i="5"/>
  <c r="BR40" i="5"/>
  <c r="BR42" i="5" s="1"/>
  <c r="BS32" i="5"/>
  <c r="BT30" i="5" s="1"/>
  <c r="BS38" i="5"/>
  <c r="BR19" i="7" l="1"/>
  <c r="BS41" i="5"/>
  <c r="BS40" i="5"/>
  <c r="BS42" i="5" s="1"/>
  <c r="BT32" i="5"/>
  <c r="BU30" i="5" s="1"/>
  <c r="BT38" i="5"/>
  <c r="BS19" i="7" l="1"/>
  <c r="BT41" i="5"/>
  <c r="BT40" i="5"/>
  <c r="BT42" i="5" s="1"/>
  <c r="BU32" i="5"/>
  <c r="BU38" i="5" s="1"/>
  <c r="BT19" i="7" l="1"/>
  <c r="BU41" i="5"/>
  <c r="C41" i="5" s="1"/>
  <c r="C51" i="5" s="1"/>
  <c r="BU40" i="5"/>
  <c r="BU42" i="5" l="1"/>
  <c r="BU19" i="7" s="1"/>
  <c r="C40" i="5"/>
  <c r="C50" i="5" s="1"/>
  <c r="C19" i="7" l="1"/>
  <c r="C42" i="5"/>
  <c r="D27" i="8" l="1"/>
  <c r="E23" i="8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10" i="8" s="1"/>
  <c r="E8" i="9"/>
  <c r="E28" i="7"/>
  <c r="E27" i="7"/>
  <c r="E25" i="8"/>
  <c r="E12" i="8"/>
  <c r="E26" i="8" l="1"/>
  <c r="E9" i="9"/>
  <c r="E10" i="9"/>
  <c r="E27" i="8"/>
  <c r="F23" i="8" s="1"/>
  <c r="F24" i="8" s="1"/>
  <c r="E29" i="7"/>
  <c r="F24" i="7" s="1"/>
  <c r="F20" i="7" l="1"/>
  <c r="F21" i="7" s="1"/>
  <c r="E30" i="7"/>
  <c r="F22" i="7"/>
  <c r="F25" i="7" l="1"/>
  <c r="F26" i="7"/>
  <c r="F31" i="7"/>
  <c r="F32" i="7" s="1"/>
  <c r="F33" i="7" l="1"/>
  <c r="F8" i="9" s="1"/>
  <c r="F28" i="7"/>
  <c r="F27" i="7"/>
  <c r="F29" i="7" l="1"/>
  <c r="G24" i="7" s="1"/>
  <c r="F30" i="7"/>
  <c r="F8" i="8"/>
  <c r="F10" i="8" s="1"/>
  <c r="F25" i="8" l="1"/>
  <c r="F12" i="8"/>
  <c r="F26" i="8" l="1"/>
  <c r="F27" i="8" s="1"/>
  <c r="G23" i="8" s="1"/>
  <c r="G24" i="8" s="1"/>
  <c r="F9" i="9"/>
  <c r="D12" i="9" l="1"/>
  <c r="D15" i="9" s="1"/>
  <c r="D43" i="5" s="1"/>
  <c r="F10" i="9"/>
  <c r="G20" i="7"/>
  <c r="G21" i="7" s="1"/>
  <c r="G22" i="7" s="1"/>
  <c r="D44" i="5" l="1"/>
  <c r="D18" i="9"/>
  <c r="D19" i="9" s="1"/>
  <c r="G25" i="7"/>
  <c r="G26" i="7"/>
  <c r="G31" i="7" s="1"/>
  <c r="G32" i="7" s="1"/>
  <c r="E14" i="9" l="1"/>
  <c r="E17" i="9"/>
  <c r="G33" i="7"/>
  <c r="G8" i="9" s="1"/>
  <c r="H28" i="7"/>
  <c r="G28" i="7"/>
  <c r="G27" i="7"/>
  <c r="G29" i="7" l="1"/>
  <c r="H24" i="7" s="1"/>
  <c r="G30" i="7"/>
  <c r="G8" i="8"/>
  <c r="G10" i="8" s="1"/>
  <c r="G25" i="8" l="1"/>
  <c r="G12" i="8"/>
  <c r="H26" i="7"/>
  <c r="H27" i="7"/>
  <c r="G26" i="8" l="1"/>
  <c r="G9" i="9"/>
  <c r="G27" i="8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H8" i="8"/>
  <c r="H10" i="8" s="1"/>
  <c r="E19" i="9" l="1"/>
  <c r="H25" i="8"/>
  <c r="H12" i="8"/>
  <c r="F14" i="9" l="1"/>
  <c r="F17" i="9" s="1"/>
  <c r="H26" i="8"/>
  <c r="H9" i="9"/>
  <c r="H27" i="8"/>
  <c r="I23" i="8" s="1"/>
  <c r="I24" i="8" s="1"/>
  <c r="F12" i="9" l="1"/>
  <c r="F15" i="9" s="1"/>
  <c r="F43" i="5" s="1"/>
  <c r="H10" i="9"/>
  <c r="I20" i="7"/>
  <c r="I21" i="7" s="1"/>
  <c r="I22" i="7" s="1"/>
  <c r="F44" i="5" l="1"/>
  <c r="F18" i="9"/>
  <c r="I25" i="7"/>
  <c r="I26" i="7"/>
  <c r="I31" i="7" s="1"/>
  <c r="I32" i="7" s="1"/>
  <c r="F19" i="9" l="1"/>
  <c r="I33" i="7"/>
  <c r="I8" i="9" s="1"/>
  <c r="I28" i="7"/>
  <c r="I27" i="7"/>
  <c r="G14" i="9" l="1"/>
  <c r="G17" i="9" s="1"/>
  <c r="I29" i="7"/>
  <c r="J24" i="7" s="1"/>
  <c r="I8" i="8"/>
  <c r="I10" i="8" s="1"/>
  <c r="I30" i="7" l="1"/>
  <c r="I25" i="8"/>
  <c r="I12" i="8"/>
  <c r="I26" i="8" l="1"/>
  <c r="I9" i="9"/>
  <c r="I27" i="8"/>
  <c r="J23" i="8" s="1"/>
  <c r="J24" i="8" s="1"/>
  <c r="G12" i="9" l="1"/>
  <c r="G15" i="9" s="1"/>
  <c r="G43" i="5" s="1"/>
  <c r="I10" i="9"/>
  <c r="J20" i="7"/>
  <c r="G44" i="5" l="1"/>
  <c r="G18" i="9"/>
  <c r="J21" i="7"/>
  <c r="G19" i="9" l="1"/>
  <c r="J22" i="7"/>
  <c r="H14" i="9" l="1"/>
  <c r="H17" i="9" s="1"/>
  <c r="J25" i="7"/>
  <c r="J26" i="7"/>
  <c r="J31" i="7" s="1"/>
  <c r="J32" i="7" s="1"/>
  <c r="J33" i="7" l="1"/>
  <c r="J8" i="9" s="1"/>
  <c r="J28" i="7"/>
  <c r="J27" i="7"/>
  <c r="J29" i="7" l="1"/>
  <c r="K24" i="7" s="1"/>
  <c r="J8" i="8"/>
  <c r="J10" i="8" s="1"/>
  <c r="J30" i="7" l="1"/>
  <c r="J25" i="8"/>
  <c r="J12" i="8"/>
  <c r="J26" i="8" l="1"/>
  <c r="J27" i="8" s="1"/>
  <c r="K23" i="8" s="1"/>
  <c r="J9" i="9"/>
  <c r="K24" i="8"/>
  <c r="H12" i="9" l="1"/>
  <c r="J10" i="9"/>
  <c r="K20" i="7"/>
  <c r="H15" i="9" l="1"/>
  <c r="H43" i="5" s="1"/>
  <c r="H16" i="9"/>
  <c r="K21" i="7"/>
  <c r="H44" i="5" l="1"/>
  <c r="H18" i="9"/>
  <c r="H19" i="9" s="1"/>
  <c r="K22" i="7"/>
  <c r="I14" i="9" l="1"/>
  <c r="I17" i="9"/>
  <c r="K25" i="7"/>
  <c r="K26" i="7"/>
  <c r="K31" i="7" s="1"/>
  <c r="K32" i="7" s="1"/>
  <c r="K33" i="7" s="1"/>
  <c r="K8" i="8" l="1"/>
  <c r="K10" i="8" s="1"/>
  <c r="K8" i="9"/>
  <c r="K25" i="8"/>
  <c r="K12" i="8"/>
  <c r="K28" i="7"/>
  <c r="K27" i="7"/>
  <c r="K26" i="8" l="1"/>
  <c r="K27" i="8" s="1"/>
  <c r="L23" i="8" s="1"/>
  <c r="K9" i="9"/>
  <c r="K10" i="9"/>
  <c r="K29" i="7"/>
  <c r="L24" i="7" s="1"/>
  <c r="L24" i="8"/>
  <c r="K30" i="7" l="1"/>
  <c r="I12" i="9"/>
  <c r="L20" i="7"/>
  <c r="L21" i="7" s="1"/>
  <c r="L22" i="7" s="1"/>
  <c r="I15" i="9" l="1"/>
  <c r="I43" i="5" s="1"/>
  <c r="I44" i="5" s="1"/>
  <c r="I16" i="9"/>
  <c r="L25" i="7"/>
  <c r="L26" i="7"/>
  <c r="L31" i="7" s="1"/>
  <c r="L32" i="7" s="1"/>
  <c r="L33" i="7" s="1"/>
  <c r="L8" i="8" l="1"/>
  <c r="L10" i="8" s="1"/>
  <c r="L8" i="9"/>
  <c r="I18" i="9"/>
  <c r="I19" i="9" s="1"/>
  <c r="J14" i="9" s="1"/>
  <c r="J17" i="9" s="1"/>
  <c r="L25" i="8"/>
  <c r="L12" i="8"/>
  <c r="L27" i="7"/>
  <c r="L26" i="8" l="1"/>
  <c r="L27" i="8" s="1"/>
  <c r="M23" i="8" s="1"/>
  <c r="L9" i="9"/>
  <c r="L10" i="9"/>
  <c r="M24" i="8"/>
  <c r="J12" i="9" l="1"/>
  <c r="M20" i="7"/>
  <c r="M21" i="7" s="1"/>
  <c r="M22" i="7" s="1"/>
  <c r="J15" i="9" l="1"/>
  <c r="J43" i="5" s="1"/>
  <c r="J44" i="5" s="1"/>
  <c r="J16" i="9"/>
  <c r="M25" i="7"/>
  <c r="L28" i="7"/>
  <c r="L29" i="7" s="1"/>
  <c r="M24" i="7" s="1"/>
  <c r="M28" i="7"/>
  <c r="J18" i="9" l="1"/>
  <c r="J19" i="9" s="1"/>
  <c r="K14" i="9" s="1"/>
  <c r="K17" i="9"/>
  <c r="L30" i="7"/>
  <c r="M26" i="7"/>
  <c r="M27" i="7" s="1"/>
  <c r="M29" i="7" l="1"/>
  <c r="N24" i="7" s="1"/>
  <c r="M31" i="7"/>
  <c r="M32" i="7" s="1"/>
  <c r="M30" i="7" l="1"/>
  <c r="M33" i="7"/>
  <c r="M8" i="9" s="1"/>
  <c r="M8" i="8" l="1"/>
  <c r="M10" i="8" s="1"/>
  <c r="M25" i="8" l="1"/>
  <c r="M9" i="9" s="1"/>
  <c r="M12" i="8"/>
  <c r="K12" i="9" l="1"/>
  <c r="M10" i="9"/>
  <c r="M26" i="8"/>
  <c r="M27" i="8" s="1"/>
  <c r="N23" i="8" s="1"/>
  <c r="K15" i="9" l="1"/>
  <c r="K43" i="5" s="1"/>
  <c r="K44" i="5" s="1"/>
  <c r="K16" i="9"/>
  <c r="N24" i="8"/>
  <c r="N20" i="7" s="1"/>
  <c r="K18" i="9" l="1"/>
  <c r="K19" i="9"/>
  <c r="L14" i="9" s="1"/>
  <c r="N21" i="7"/>
  <c r="L17" i="9" l="1"/>
  <c r="N22" i="7"/>
  <c r="N25" i="7" l="1"/>
  <c r="N26" i="7"/>
  <c r="N31" i="7" l="1"/>
  <c r="N32" i="7" s="1"/>
  <c r="N28" i="7"/>
  <c r="N27" i="7"/>
  <c r="N29" i="7" l="1"/>
  <c r="O24" i="7" s="1"/>
  <c r="N33" i="7"/>
  <c r="N8" i="9" s="1"/>
  <c r="N30" i="7" l="1"/>
  <c r="N8" i="8"/>
  <c r="N10" i="8" s="1"/>
  <c r="N25" i="8" l="1"/>
  <c r="N9" i="9" s="1"/>
  <c r="N12" i="8"/>
  <c r="L12" i="9" l="1"/>
  <c r="N10" i="9"/>
  <c r="N26" i="8"/>
  <c r="N27" i="8" s="1"/>
  <c r="O23" i="8" s="1"/>
  <c r="L15" i="9" l="1"/>
  <c r="L43" i="5" s="1"/>
  <c r="L44" i="5" s="1"/>
  <c r="L16" i="9"/>
  <c r="L18" i="9" s="1"/>
  <c r="O24" i="8"/>
  <c r="O20" i="7" s="1"/>
  <c r="L19" i="9" l="1"/>
  <c r="M14" i="9" s="1"/>
  <c r="O21" i="7"/>
  <c r="M17" i="9" l="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10" i="8" s="1"/>
  <c r="O30" i="7"/>
  <c r="O25" i="8" l="1"/>
  <c r="O9" i="9" s="1"/>
  <c r="O12" i="8"/>
  <c r="M12" i="9" l="1"/>
  <c r="O10" i="9"/>
  <c r="O26" i="8"/>
  <c r="O27" i="8" s="1"/>
  <c r="P23" i="8" s="1"/>
  <c r="M15" i="9" l="1"/>
  <c r="M43" i="5" s="1"/>
  <c r="M44" i="5" s="1"/>
  <c r="M16" i="9"/>
  <c r="P24" i="8"/>
  <c r="P20" i="7" s="1"/>
  <c r="M18" i="9" l="1"/>
  <c r="M19" i="9"/>
  <c r="N14" i="9" s="1"/>
  <c r="N17" i="9" s="1"/>
  <c r="P21" i="7"/>
  <c r="P22" i="7" l="1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s="1"/>
  <c r="P25" i="8" l="1"/>
  <c r="P9" i="9" s="1"/>
  <c r="P12" i="8"/>
  <c r="N12" i="9" l="1"/>
  <c r="P10" i="9"/>
  <c r="P26" i="8"/>
  <c r="P27" i="8" s="1"/>
  <c r="Q23" i="8" s="1"/>
  <c r="N15" i="9" l="1"/>
  <c r="N43" i="5" s="1"/>
  <c r="N44" i="5" s="1"/>
  <c r="N16" i="9"/>
  <c r="N18" i="9" s="1"/>
  <c r="N19" i="9" s="1"/>
  <c r="O14" i="9" s="1"/>
  <c r="Q24" i="8"/>
  <c r="Q20" i="7" s="1"/>
  <c r="O17" i="9" l="1"/>
  <c r="Q21" i="7"/>
  <c r="Q22" i="7" l="1"/>
  <c r="Q26" i="7" l="1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s="1"/>
  <c r="Q25" i="8" l="1"/>
  <c r="Q9" i="9" s="1"/>
  <c r="Q12" i="8"/>
  <c r="O12" i="9" l="1"/>
  <c r="Q10" i="9"/>
  <c r="Q26" i="8"/>
  <c r="Q27" i="8" s="1"/>
  <c r="R23" i="8" s="1"/>
  <c r="O15" i="9" l="1"/>
  <c r="O43" i="5" s="1"/>
  <c r="O44" i="5" s="1"/>
  <c r="O16" i="9"/>
  <c r="R24" i="8"/>
  <c r="R20" i="7" s="1"/>
  <c r="O18" i="9" l="1"/>
  <c r="O19" i="9" s="1"/>
  <c r="P14" i="9" s="1"/>
  <c r="P17" i="9" s="1"/>
  <c r="R21" i="7"/>
  <c r="R22" i="7" l="1"/>
  <c r="R26" i="7" l="1"/>
  <c r="R31" i="7" s="1"/>
  <c r="R32" i="7" s="1"/>
  <c r="R33" i="7" s="1"/>
  <c r="R25" i="7"/>
  <c r="R8" i="8" l="1"/>
  <c r="R10" i="8" s="1"/>
  <c r="R8" i="9"/>
  <c r="R25" i="8"/>
  <c r="R12" i="8"/>
  <c r="R28" i="7"/>
  <c r="R27" i="7"/>
  <c r="R26" i="8" l="1"/>
  <c r="R27" i="8" s="1"/>
  <c r="S23" i="8" s="1"/>
  <c r="R9" i="9"/>
  <c r="R10" i="9" s="1"/>
  <c r="R29" i="7"/>
  <c r="S24" i="7" s="1"/>
  <c r="S24" i="8"/>
  <c r="S20" i="7" s="1"/>
  <c r="S21" i="7" s="1"/>
  <c r="S22" i="7" s="1"/>
  <c r="P12" i="9" l="1"/>
  <c r="R30" i="7"/>
  <c r="S26" i="7"/>
  <c r="S31" i="7" s="1"/>
  <c r="S32" i="7" s="1"/>
  <c r="S33" i="7" s="1"/>
  <c r="S25" i="7"/>
  <c r="S8" i="8" l="1"/>
  <c r="S10" i="8" s="1"/>
  <c r="S8" i="9"/>
  <c r="P15" i="9"/>
  <c r="P43" i="5" s="1"/>
  <c r="P44" i="5" s="1"/>
  <c r="P16" i="9"/>
  <c r="P18" i="9" s="1"/>
  <c r="P19" i="9" s="1"/>
  <c r="Q14" i="9" s="1"/>
  <c r="S27" i="7"/>
  <c r="S25" i="8"/>
  <c r="S12" i="8"/>
  <c r="S26" i="8" l="1"/>
  <c r="S27" i="8" s="1"/>
  <c r="T23" i="8" s="1"/>
  <c r="S9" i="9"/>
  <c r="Q17" i="9"/>
  <c r="S10" i="9"/>
  <c r="T24" i="8"/>
  <c r="T20" i="7" s="1"/>
  <c r="T21" i="7" s="1"/>
  <c r="T22" i="7" s="1"/>
  <c r="Q12" i="9" l="1"/>
  <c r="T25" i="7"/>
  <c r="S28" i="7"/>
  <c r="S29" i="7" s="1"/>
  <c r="T28" i="7"/>
  <c r="Q15" i="9" l="1"/>
  <c r="Q43" i="5" s="1"/>
  <c r="Q44" i="5" s="1"/>
  <c r="Q16" i="9"/>
  <c r="S30" i="7"/>
  <c r="T24" i="7"/>
  <c r="Q18" i="9" l="1"/>
  <c r="Q19" i="9" s="1"/>
  <c r="R14" i="9" s="1"/>
  <c r="T26" i="7"/>
  <c r="T27" i="7" s="1"/>
  <c r="R17" i="9" l="1"/>
  <c r="T29" i="7"/>
  <c r="U24" i="7" s="1"/>
  <c r="T31" i="7"/>
  <c r="T32" i="7" s="1"/>
  <c r="T33" i="7" l="1"/>
  <c r="T8" i="9" s="1"/>
  <c r="T30" i="7"/>
  <c r="T8" i="8" l="1"/>
  <c r="T10" i="8" s="1"/>
  <c r="T12" i="8" l="1"/>
  <c r="T25" i="8"/>
  <c r="T9" i="9" s="1"/>
  <c r="R12" i="9" l="1"/>
  <c r="T10" i="9"/>
  <c r="T26" i="8"/>
  <c r="T27" i="8" s="1"/>
  <c r="U23" i="8" s="1"/>
  <c r="R15" i="9" l="1"/>
  <c r="R43" i="5" s="1"/>
  <c r="R44" i="5" s="1"/>
  <c r="R16" i="9"/>
  <c r="U24" i="8"/>
  <c r="U20" i="7" s="1"/>
  <c r="R18" i="9" l="1"/>
  <c r="R19" i="9" s="1"/>
  <c r="S14" i="9" s="1"/>
  <c r="U21" i="7"/>
  <c r="S17" i="9" l="1"/>
  <c r="U22" i="7"/>
  <c r="U25" i="7" l="1"/>
  <c r="U26" i="7"/>
  <c r="U28" i="7" l="1"/>
  <c r="U27" i="7"/>
  <c r="U31" i="7"/>
  <c r="U32" i="7" s="1"/>
  <c r="U33" i="7" l="1"/>
  <c r="U8" i="9" s="1"/>
  <c r="U29" i="7"/>
  <c r="V24" i="7" s="1"/>
  <c r="U30" i="7" l="1"/>
  <c r="U8" i="8"/>
  <c r="U10" i="8" s="1"/>
  <c r="U25" i="8" l="1"/>
  <c r="U9" i="9" s="1"/>
  <c r="U12" i="8"/>
  <c r="S12" i="9" l="1"/>
  <c r="U10" i="9"/>
  <c r="U26" i="8"/>
  <c r="U27" i="8" s="1"/>
  <c r="V23" i="8" s="1"/>
  <c r="S15" i="9" l="1"/>
  <c r="S43" i="5" s="1"/>
  <c r="S44" i="5" s="1"/>
  <c r="S16" i="9"/>
  <c r="V24" i="8"/>
  <c r="V20" i="7" s="1"/>
  <c r="S18" i="9" l="1"/>
  <c r="S19" i="9" s="1"/>
  <c r="T14" i="9" s="1"/>
  <c r="V21" i="7"/>
  <c r="T17" i="9" l="1"/>
  <c r="V22" i="7"/>
  <c r="V25" i="7" l="1"/>
  <c r="V26" i="7"/>
  <c r="V31" i="7"/>
  <c r="V32" i="7" s="1"/>
  <c r="V33" i="7" l="1"/>
  <c r="V8" i="9" s="1"/>
  <c r="V28" i="7"/>
  <c r="V27" i="7"/>
  <c r="V29" i="7" l="1"/>
  <c r="W24" i="7" s="1"/>
  <c r="V8" i="8"/>
  <c r="V10" i="8" s="1"/>
  <c r="V25" i="8" l="1"/>
  <c r="V9" i="9" s="1"/>
  <c r="V12" i="8"/>
  <c r="V30" i="7"/>
  <c r="T12" i="9" l="1"/>
  <c r="V10" i="9"/>
  <c r="V26" i="8"/>
  <c r="V27" i="8" s="1"/>
  <c r="W23" i="8" s="1"/>
  <c r="T15" i="9" l="1"/>
  <c r="T43" i="5" s="1"/>
  <c r="T44" i="5" s="1"/>
  <c r="T16" i="9"/>
  <c r="W24" i="8"/>
  <c r="W20" i="7" s="1"/>
  <c r="T18" i="9" l="1"/>
  <c r="T19" i="9"/>
  <c r="U14" i="9" s="1"/>
  <c r="W21" i="7"/>
  <c r="U17" i="9" l="1"/>
  <c r="W22" i="7"/>
  <c r="W26" i="7" l="1"/>
  <c r="W31" i="7" s="1"/>
  <c r="W32" i="7" s="1"/>
  <c r="W25" i="7"/>
  <c r="W28" i="7" l="1"/>
  <c r="W27" i="7"/>
  <c r="W33" i="7"/>
  <c r="W8" i="9" s="1"/>
  <c r="W29" i="7" l="1"/>
  <c r="X24" i="7" s="1"/>
  <c r="W8" i="8"/>
  <c r="W10" i="8" s="1"/>
  <c r="W25" i="8" l="1"/>
  <c r="W9" i="9" s="1"/>
  <c r="W12" i="8"/>
  <c r="W30" i="7"/>
  <c r="U12" i="9" l="1"/>
  <c r="W10" i="9"/>
  <c r="W26" i="8"/>
  <c r="W27" i="8" s="1"/>
  <c r="X23" i="8" s="1"/>
  <c r="U15" i="9" l="1"/>
  <c r="U43" i="5" s="1"/>
  <c r="U44" i="5" s="1"/>
  <c r="U16" i="9"/>
  <c r="X24" i="8"/>
  <c r="X20" i="7" s="1"/>
  <c r="U18" i="9" l="1"/>
  <c r="U19" i="9" s="1"/>
  <c r="V14" i="9" s="1"/>
  <c r="V17" i="9" s="1"/>
  <c r="X21" i="7"/>
  <c r="X22" i="7" l="1"/>
  <c r="X25" i="7" l="1"/>
  <c r="X26" i="7"/>
  <c r="X31" i="7"/>
  <c r="X32" i="7" s="1"/>
  <c r="X33" i="7" l="1"/>
  <c r="X8" i="9" s="1"/>
  <c r="X28" i="7"/>
  <c r="X27" i="7"/>
  <c r="X29" i="7" l="1"/>
  <c r="Y24" i="7" s="1"/>
  <c r="X30" i="7"/>
  <c r="X8" i="8"/>
  <c r="X10" i="8" s="1"/>
  <c r="X25" i="8" l="1"/>
  <c r="X9" i="9" s="1"/>
  <c r="X12" i="8"/>
  <c r="V12" i="9" l="1"/>
  <c r="X10" i="9"/>
  <c r="X26" i="8"/>
  <c r="X27" i="8" s="1"/>
  <c r="Y23" i="8" s="1"/>
  <c r="V15" i="9" l="1"/>
  <c r="V43" i="5" s="1"/>
  <c r="V44" i="5" s="1"/>
  <c r="V16" i="9"/>
  <c r="Y24" i="8"/>
  <c r="Y20" i="7" s="1"/>
  <c r="V18" i="9" l="1"/>
  <c r="V19" i="9"/>
  <c r="W14" i="9" s="1"/>
  <c r="Y21" i="7"/>
  <c r="W17" i="9" l="1"/>
  <c r="Y22" i="7"/>
  <c r="Y26" i="7" l="1"/>
  <c r="Y31" i="7" s="1"/>
  <c r="Y32" i="7" s="1"/>
  <c r="Y33" i="7" s="1"/>
  <c r="Y25" i="7"/>
  <c r="Y8" i="8" l="1"/>
  <c r="Y10" i="8" s="1"/>
  <c r="Y8" i="9"/>
  <c r="Y28" i="7"/>
  <c r="Y27" i="7"/>
  <c r="Y12" i="8"/>
  <c r="Y25" i="8"/>
  <c r="Y26" i="8" l="1"/>
  <c r="Y27" i="8" s="1"/>
  <c r="Z23" i="8" s="1"/>
  <c r="Y9" i="9"/>
  <c r="Y10" i="9"/>
  <c r="Z24" i="8"/>
  <c r="Z20" i="7" s="1"/>
  <c r="Z21" i="7" s="1"/>
  <c r="Z22" i="7" s="1"/>
  <c r="Y29" i="7"/>
  <c r="Z24" i="7" s="1"/>
  <c r="Y30" i="7" l="1"/>
  <c r="W12" i="9"/>
  <c r="Z25" i="7"/>
  <c r="Z26" i="7"/>
  <c r="Z31" i="7" s="1"/>
  <c r="Z32" i="7" s="1"/>
  <c r="Z33" i="7" s="1"/>
  <c r="Z8" i="8" l="1"/>
  <c r="Z10" i="8" s="1"/>
  <c r="Z8" i="9"/>
  <c r="W15" i="9"/>
  <c r="W43" i="5" s="1"/>
  <c r="W44" i="5" s="1"/>
  <c r="W16" i="9"/>
  <c r="Z25" i="8"/>
  <c r="Z12" i="8"/>
  <c r="Z27" i="7"/>
  <c r="Z26" i="8" l="1"/>
  <c r="Z27" i="8" s="1"/>
  <c r="AA23" i="8" s="1"/>
  <c r="Z9" i="9"/>
  <c r="W18" i="9"/>
  <c r="W19" i="9" s="1"/>
  <c r="X14" i="9" s="1"/>
  <c r="Z10" i="9"/>
  <c r="AA24" i="8"/>
  <c r="AA20" i="7" s="1"/>
  <c r="AA21" i="7" s="1"/>
  <c r="AA22" i="7" s="1"/>
  <c r="X17" i="9" l="1"/>
  <c r="X12" i="9"/>
  <c r="AA25" i="7"/>
  <c r="Z28" i="7"/>
  <c r="Z29" i="7" s="1"/>
  <c r="AA28" i="7"/>
  <c r="X15" i="9" l="1"/>
  <c r="X43" i="5" s="1"/>
  <c r="X44" i="5" s="1"/>
  <c r="X16" i="9"/>
  <c r="Z30" i="7"/>
  <c r="AA24" i="7"/>
  <c r="X18" i="9" l="1"/>
  <c r="X19" i="9"/>
  <c r="Y14" i="9" s="1"/>
  <c r="AA26" i="7"/>
  <c r="AA27" i="7" s="1"/>
  <c r="Y17" i="9" l="1"/>
  <c r="AA29" i="7"/>
  <c r="AB24" i="7" s="1"/>
  <c r="AA31" i="7"/>
  <c r="AA32" i="7" s="1"/>
  <c r="AA33" i="7" l="1"/>
  <c r="AA8" i="9" s="1"/>
  <c r="AA30" i="7"/>
  <c r="AA8" i="8" l="1"/>
  <c r="AA10" i="8" s="1"/>
  <c r="AA12" i="8" l="1"/>
  <c r="AA25" i="8"/>
  <c r="AA9" i="9" s="1"/>
  <c r="Y12" i="9" l="1"/>
  <c r="AA10" i="9"/>
  <c r="AA26" i="8"/>
  <c r="AA27" i="8" s="1"/>
  <c r="AB23" i="8" s="1"/>
  <c r="Y15" i="9" l="1"/>
  <c r="Y43" i="5" s="1"/>
  <c r="Y44" i="5" s="1"/>
  <c r="Y16" i="9"/>
  <c r="Y18" i="9" s="1"/>
  <c r="AB24" i="8"/>
  <c r="AB20" i="7" s="1"/>
  <c r="Y19" i="9" l="1"/>
  <c r="Z14" i="9" s="1"/>
  <c r="AB21" i="7"/>
  <c r="Z17" i="9" l="1"/>
  <c r="AB22" i="7"/>
  <c r="AB25" i="7" l="1"/>
  <c r="AB26" i="7"/>
  <c r="AB28" i="7" l="1"/>
  <c r="AB27" i="7"/>
  <c r="AB31" i="7"/>
  <c r="AB32" i="7" s="1"/>
  <c r="AB33" i="7" l="1"/>
  <c r="AB8" i="9" s="1"/>
  <c r="AB29" i="7"/>
  <c r="AC24" i="7" s="1"/>
  <c r="AB30" i="7" l="1"/>
  <c r="AB8" i="8"/>
  <c r="AB10" i="8" s="1"/>
  <c r="AB25" i="8" l="1"/>
  <c r="AB9" i="9" s="1"/>
  <c r="AB12" i="8"/>
  <c r="Z12" i="9" l="1"/>
  <c r="AB10" i="9"/>
  <c r="AB26" i="8"/>
  <c r="AB27" i="8" s="1"/>
  <c r="AC23" i="8" s="1"/>
  <c r="Z15" i="9" l="1"/>
  <c r="Z43" i="5" s="1"/>
  <c r="Z44" i="5" s="1"/>
  <c r="Z16" i="9"/>
  <c r="AC24" i="8"/>
  <c r="AC20" i="7" s="1"/>
  <c r="Z18" i="9" l="1"/>
  <c r="Z19" i="9" s="1"/>
  <c r="AA14" i="9" s="1"/>
  <c r="AC21" i="7"/>
  <c r="AA17" i="9" l="1"/>
  <c r="AC22" i="7"/>
  <c r="AC25" i="7" l="1"/>
  <c r="AC26" i="7"/>
  <c r="AC31" i="7"/>
  <c r="AC32" i="7" s="1"/>
  <c r="AC28" i="7" l="1"/>
  <c r="AC27" i="7"/>
  <c r="AC33" i="7"/>
  <c r="AC8" i="9" s="1"/>
  <c r="AC29" i="7" l="1"/>
  <c r="AD24" i="7" s="1"/>
  <c r="AC8" i="8"/>
  <c r="AC10" i="8" s="1"/>
  <c r="AC30" i="7" l="1"/>
  <c r="AC25" i="8"/>
  <c r="AC9" i="9" s="1"/>
  <c r="AC12" i="8"/>
  <c r="AA12" i="9" l="1"/>
  <c r="AC10" i="9"/>
  <c r="AC26" i="8"/>
  <c r="AC27" i="8" s="1"/>
  <c r="AD23" i="8" s="1"/>
  <c r="AA15" i="9" l="1"/>
  <c r="AA43" i="5" s="1"/>
  <c r="AA44" i="5" s="1"/>
  <c r="AA16" i="9"/>
  <c r="AA18" i="9" s="1"/>
  <c r="AD24" i="8"/>
  <c r="AD20" i="7" s="1"/>
  <c r="AA19" i="9" l="1"/>
  <c r="AB14" i="9" s="1"/>
  <c r="AD21" i="7"/>
  <c r="AB17" i="9" l="1"/>
  <c r="AD22" i="7"/>
  <c r="AD26" i="7" l="1"/>
  <c r="AD31" i="7" s="1"/>
  <c r="AD32" i="7" s="1"/>
  <c r="AD25" i="7"/>
  <c r="AD28" i="7" l="1"/>
  <c r="AD27" i="7"/>
  <c r="AD33" i="7"/>
  <c r="AD8" i="9" s="1"/>
  <c r="AD29" i="7" l="1"/>
  <c r="AE24" i="7" s="1"/>
  <c r="AD8" i="8"/>
  <c r="AD10" i="8" s="1"/>
  <c r="AD25" i="8" l="1"/>
  <c r="AD9" i="9" s="1"/>
  <c r="AD12" i="8"/>
  <c r="AD30" i="7"/>
  <c r="AB12" i="9" l="1"/>
  <c r="AD10" i="9"/>
  <c r="AD26" i="8"/>
  <c r="AD27" i="8" s="1"/>
  <c r="AE23" i="8" s="1"/>
  <c r="AB15" i="9" l="1"/>
  <c r="AB43" i="5" s="1"/>
  <c r="AB44" i="5" s="1"/>
  <c r="AB16" i="9"/>
  <c r="AB18" i="9" s="1"/>
  <c r="AE24" i="8"/>
  <c r="AE20" i="7" s="1"/>
  <c r="AB19" i="9" l="1"/>
  <c r="AC14" i="9" s="1"/>
  <c r="AE21" i="7"/>
  <c r="AC17" i="9" l="1"/>
  <c r="AE22" i="7"/>
  <c r="AE25" i="7" l="1"/>
  <c r="AE26" i="7"/>
  <c r="AE31" i="7" s="1"/>
  <c r="AE32" i="7" s="1"/>
  <c r="AE33" i="7" l="1"/>
  <c r="AE8" i="9" s="1"/>
  <c r="AE28" i="7"/>
  <c r="AE27" i="7"/>
  <c r="AE29" i="7" l="1"/>
  <c r="AF24" i="7" s="1"/>
  <c r="AE8" i="8"/>
  <c r="AE10" i="8" s="1"/>
  <c r="AE30" i="7" l="1"/>
  <c r="AE25" i="8"/>
  <c r="AE9" i="9" s="1"/>
  <c r="AE12" i="8"/>
  <c r="AC12" i="9" l="1"/>
  <c r="AE10" i="9"/>
  <c r="AE26" i="8"/>
  <c r="AE27" i="8" s="1"/>
  <c r="AF23" i="8" s="1"/>
  <c r="AC15" i="9" l="1"/>
  <c r="AC43" i="5" s="1"/>
  <c r="AC44" i="5" s="1"/>
  <c r="AC16" i="9"/>
  <c r="AF24" i="8"/>
  <c r="AF20" i="7" s="1"/>
  <c r="AC18" i="9" l="1"/>
  <c r="AC19" i="9" s="1"/>
  <c r="AD14" i="9" s="1"/>
  <c r="AF21" i="7"/>
  <c r="AD17" i="9" l="1"/>
  <c r="AF22" i="7"/>
  <c r="AF26" i="7" l="1"/>
  <c r="AF31" i="7" s="1"/>
  <c r="AF32" i="7" s="1"/>
  <c r="AF33" i="7" s="1"/>
  <c r="AF25" i="7"/>
  <c r="AF8" i="8" l="1"/>
  <c r="AF10" i="8" s="1"/>
  <c r="AF8" i="9"/>
  <c r="AF28" i="7"/>
  <c r="AF27" i="7"/>
  <c r="AF12" i="8"/>
  <c r="AF25" i="8"/>
  <c r="AF26" i="8" l="1"/>
  <c r="AF27" i="8" s="1"/>
  <c r="AG23" i="8" s="1"/>
  <c r="AF9" i="9"/>
  <c r="AF10" i="9" s="1"/>
  <c r="AF29" i="7"/>
  <c r="AG24" i="7" s="1"/>
  <c r="AG24" i="8"/>
  <c r="AG20" i="7" s="1"/>
  <c r="AG21" i="7" s="1"/>
  <c r="AG22" i="7" s="1"/>
  <c r="AD12" i="9" l="1"/>
  <c r="AF30" i="7"/>
  <c r="AG25" i="7"/>
  <c r="AG26" i="7"/>
  <c r="AG31" i="7" s="1"/>
  <c r="AG32" i="7" s="1"/>
  <c r="AG33" i="7" s="1"/>
  <c r="AG8" i="8" l="1"/>
  <c r="AG10" i="8" s="1"/>
  <c r="AG8" i="9"/>
  <c r="AD15" i="9"/>
  <c r="AD43" i="5" s="1"/>
  <c r="AD44" i="5" s="1"/>
  <c r="AD16" i="9"/>
  <c r="AG27" i="7"/>
  <c r="AG12" i="8"/>
  <c r="AG25" i="8"/>
  <c r="AG26" i="8" l="1"/>
  <c r="AG27" i="8" s="1"/>
  <c r="AH23" i="8" s="1"/>
  <c r="AH24" i="8" s="1"/>
  <c r="AH20" i="7" s="1"/>
  <c r="AH21" i="7" s="1"/>
  <c r="AH22" i="7" s="1"/>
  <c r="AG9" i="9"/>
  <c r="AD18" i="9"/>
  <c r="AD19" i="9" s="1"/>
  <c r="AE14" i="9" s="1"/>
  <c r="AG10" i="9"/>
  <c r="AE17" i="9" l="1"/>
  <c r="AE12" i="9"/>
  <c r="AH25" i="7"/>
  <c r="AG28" i="7"/>
  <c r="AG29" i="7" s="1"/>
  <c r="AH28" i="7"/>
  <c r="AE15" i="9" l="1"/>
  <c r="AE43" i="5" s="1"/>
  <c r="AE44" i="5" s="1"/>
  <c r="AE16" i="9"/>
  <c r="C16" i="9" s="1"/>
  <c r="AG30" i="7"/>
  <c r="AH24" i="7"/>
  <c r="AE18" i="9" l="1"/>
  <c r="AE19" i="9"/>
  <c r="AF14" i="9" s="1"/>
  <c r="AH26" i="7"/>
  <c r="AH27" i="7" s="1"/>
  <c r="AF17" i="9" l="1"/>
  <c r="AH29" i="7"/>
  <c r="AI24" i="7" s="1"/>
  <c r="AH31" i="7"/>
  <c r="AH32" i="7" s="1"/>
  <c r="AH33" i="7" l="1"/>
  <c r="AH8" i="9" s="1"/>
  <c r="AH30" i="7"/>
  <c r="AH8" i="8" l="1"/>
  <c r="AH10" i="8" s="1"/>
  <c r="AH12" i="8" l="1"/>
  <c r="AH25" i="8"/>
  <c r="AH9" i="9" s="1"/>
  <c r="AF12" i="9" l="1"/>
  <c r="AF15" i="9" s="1"/>
  <c r="AF43" i="5" s="1"/>
  <c r="AF44" i="5" s="1"/>
  <c r="AH10" i="9"/>
  <c r="AH26" i="8"/>
  <c r="AH27" i="8" s="1"/>
  <c r="AI23" i="8" s="1"/>
  <c r="AF18" i="9" l="1"/>
  <c r="AF19" i="9" s="1"/>
  <c r="AG14" i="9" s="1"/>
  <c r="AI24" i="8"/>
  <c r="AI20" i="7" s="1"/>
  <c r="AG17" i="9" l="1"/>
  <c r="AI21" i="7"/>
  <c r="AI22" i="7" l="1"/>
  <c r="AI25" i="7" l="1"/>
  <c r="AI26" i="7"/>
  <c r="AI28" i="7" l="1"/>
  <c r="AI27" i="7"/>
  <c r="AI31" i="7"/>
  <c r="AI32" i="7" s="1"/>
  <c r="AI33" i="7" l="1"/>
  <c r="AI8" i="9" s="1"/>
  <c r="AI29" i="7"/>
  <c r="AJ24" i="7" s="1"/>
  <c r="AI30" i="7" l="1"/>
  <c r="AI8" i="8"/>
  <c r="AI10" i="8" s="1"/>
  <c r="AI25" i="8" l="1"/>
  <c r="AI9" i="9" s="1"/>
  <c r="AI12" i="8"/>
  <c r="AG12" i="9" l="1"/>
  <c r="AG15" i="9" s="1"/>
  <c r="AG43" i="5" s="1"/>
  <c r="AG44" i="5" s="1"/>
  <c r="AI10" i="9"/>
  <c r="AI26" i="8"/>
  <c r="AI27" i="8" s="1"/>
  <c r="AJ23" i="8" s="1"/>
  <c r="AG18" i="9" l="1"/>
  <c r="AG19" i="9"/>
  <c r="AH14" i="9" s="1"/>
  <c r="AJ24" i="8"/>
  <c r="AJ20" i="7" s="1"/>
  <c r="AH17" i="9" l="1"/>
  <c r="AJ21" i="7"/>
  <c r="AJ22" i="7" l="1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s="1"/>
  <c r="AJ25" i="8" l="1"/>
  <c r="AJ9" i="9" s="1"/>
  <c r="AJ12" i="8"/>
  <c r="AJ30" i="7"/>
  <c r="AH12" i="9" l="1"/>
  <c r="AH15" i="9" s="1"/>
  <c r="AJ10" i="9"/>
  <c r="AJ26" i="8"/>
  <c r="AJ27" i="8" s="1"/>
  <c r="AK23" i="8" s="1"/>
  <c r="AH18" i="9" l="1"/>
  <c r="AH19" i="9" s="1"/>
  <c r="AI14" i="9" s="1"/>
  <c r="AH43" i="5"/>
  <c r="AH44" i="5" s="1"/>
  <c r="AI17" i="9"/>
  <c r="AK24" i="8"/>
  <c r="AK20" i="7" s="1"/>
  <c r="AK21" i="7" l="1"/>
  <c r="AK22" i="7" l="1"/>
  <c r="AK26" i="7" l="1"/>
  <c r="AK31" i="7"/>
  <c r="AK32" i="7" s="1"/>
  <c r="AK25" i="7"/>
  <c r="AK28" i="7" l="1"/>
  <c r="AK27" i="7"/>
  <c r="AK33" i="7"/>
  <c r="AK8" i="9" s="1"/>
  <c r="AK29" i="7" l="1"/>
  <c r="AL24" i="7" s="1"/>
  <c r="AK8" i="8"/>
  <c r="AK10" i="8" s="1"/>
  <c r="AK25" i="8" l="1"/>
  <c r="AK9" i="9" s="1"/>
  <c r="AK12" i="8"/>
  <c r="AK30" i="7"/>
  <c r="AI12" i="9" l="1"/>
  <c r="AI15" i="9" s="1"/>
  <c r="AI43" i="5" s="1"/>
  <c r="AI44" i="5" s="1"/>
  <c r="AK10" i="9"/>
  <c r="AK26" i="8"/>
  <c r="AK27" i="8" s="1"/>
  <c r="AL23" i="8" s="1"/>
  <c r="AI18" i="9" l="1"/>
  <c r="AI19" i="9"/>
  <c r="AJ14" i="9" s="1"/>
  <c r="AL24" i="8"/>
  <c r="AL20" i="7" s="1"/>
  <c r="AJ17" i="9" l="1"/>
  <c r="AL21" i="7"/>
  <c r="AL22" i="7" l="1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s="1"/>
  <c r="AL30" i="7" l="1"/>
  <c r="AL25" i="8"/>
  <c r="AL9" i="9" s="1"/>
  <c r="AL12" i="8"/>
  <c r="AJ12" i="9" l="1"/>
  <c r="AJ15" i="9" s="1"/>
  <c r="AJ43" i="5" s="1"/>
  <c r="AJ44" i="5" s="1"/>
  <c r="AL10" i="9"/>
  <c r="AL26" i="8"/>
  <c r="AL27" i="8" s="1"/>
  <c r="AM23" i="8" s="1"/>
  <c r="AJ18" i="9" l="1"/>
  <c r="AJ19" i="9" s="1"/>
  <c r="AK14" i="9" s="1"/>
  <c r="AM24" i="8"/>
  <c r="AM20" i="7" s="1"/>
  <c r="AK17" i="9" l="1"/>
  <c r="AM21" i="7"/>
  <c r="AM22" i="7" l="1"/>
  <c r="AM26" i="7" l="1"/>
  <c r="AM31" i="7"/>
  <c r="AM32" i="7" s="1"/>
  <c r="AM33" i="7" s="1"/>
  <c r="AM25" i="7"/>
  <c r="AM8" i="8" l="1"/>
  <c r="AM10" i="8" s="1"/>
  <c r="AM8" i="9"/>
  <c r="AM28" i="7"/>
  <c r="AM27" i="7"/>
  <c r="AM12" i="8"/>
  <c r="AM25" i="8"/>
  <c r="AM26" i="8" l="1"/>
  <c r="AM27" i="8" s="1"/>
  <c r="AN23" i="8" s="1"/>
  <c r="AN24" i="8" s="1"/>
  <c r="AN20" i="7" s="1"/>
  <c r="AN21" i="7" s="1"/>
  <c r="AN22" i="7" s="1"/>
  <c r="AM9" i="9"/>
  <c r="AM10" i="9"/>
  <c r="AM29" i="7"/>
  <c r="AN24" i="7" s="1"/>
  <c r="AK12" i="9" l="1"/>
  <c r="AK15" i="9" s="1"/>
  <c r="AK43" i="5" s="1"/>
  <c r="AK44" i="5" s="1"/>
  <c r="AM30" i="7"/>
  <c r="AN25" i="7"/>
  <c r="AN26" i="7"/>
  <c r="AN31" i="7" s="1"/>
  <c r="AN32" i="7" s="1"/>
  <c r="AN33" i="7" s="1"/>
  <c r="AN8" i="8" l="1"/>
  <c r="AN10" i="8" s="1"/>
  <c r="AN8" i="9"/>
  <c r="AK18" i="9"/>
  <c r="AK19" i="9" s="1"/>
  <c r="AL14" i="9" s="1"/>
  <c r="AL17" i="9" s="1"/>
  <c r="AN12" i="8"/>
  <c r="AN25" i="8"/>
  <c r="AN27" i="7"/>
  <c r="AN26" i="8" l="1"/>
  <c r="AN27" i="8" s="1"/>
  <c r="AO23" i="8" s="1"/>
  <c r="AO24" i="8" s="1"/>
  <c r="AO20" i="7" s="1"/>
  <c r="AO21" i="7" s="1"/>
  <c r="AO22" i="7" s="1"/>
  <c r="AN9" i="9"/>
  <c r="AN10" i="9" s="1"/>
  <c r="AL12" i="9" l="1"/>
  <c r="AL15" i="9" s="1"/>
  <c r="AO25" i="7"/>
  <c r="AN28" i="7"/>
  <c r="AN29" i="7" s="1"/>
  <c r="AO28" i="7"/>
  <c r="AL18" i="9" l="1"/>
  <c r="AL19" i="9" s="1"/>
  <c r="AM14" i="9" s="1"/>
  <c r="AL43" i="5"/>
  <c r="AL44" i="5" s="1"/>
  <c r="AM17" i="9"/>
  <c r="AN30" i="7"/>
  <c r="AO24" i="7"/>
  <c r="AO26" i="7" l="1"/>
  <c r="AO27" i="7" s="1"/>
  <c r="AO29" i="7" l="1"/>
  <c r="AP24" i="7" s="1"/>
  <c r="AO31" i="7"/>
  <c r="AO32" i="7" s="1"/>
  <c r="AO33" i="7" l="1"/>
  <c r="AO8" i="9" s="1"/>
  <c r="AO30" i="7"/>
  <c r="AO8" i="8" l="1"/>
  <c r="AO10" i="8" s="1"/>
  <c r="AO12" i="8" l="1"/>
  <c r="AO25" i="8"/>
  <c r="AO9" i="9" s="1"/>
  <c r="AM12" i="9" l="1"/>
  <c r="AM15" i="9" s="1"/>
  <c r="AM43" i="5" s="1"/>
  <c r="AM44" i="5" s="1"/>
  <c r="AO10" i="9"/>
  <c r="AO26" i="8"/>
  <c r="AO27" i="8" s="1"/>
  <c r="AP23" i="8" s="1"/>
  <c r="AM18" i="9" l="1"/>
  <c r="AM19" i="9" s="1"/>
  <c r="AN14" i="9" s="1"/>
  <c r="AP24" i="8"/>
  <c r="AP20" i="7" s="1"/>
  <c r="AN17" i="9" l="1"/>
  <c r="AP21" i="7"/>
  <c r="AP22" i="7" l="1"/>
  <c r="AP25" i="7" l="1"/>
  <c r="AP26" i="7"/>
  <c r="AP28" i="7" l="1"/>
  <c r="AP27" i="7"/>
  <c r="AP31" i="7"/>
  <c r="AP32" i="7" s="1"/>
  <c r="AP33" i="7" l="1"/>
  <c r="AP8" i="9" s="1"/>
  <c r="AP29" i="7"/>
  <c r="AQ24" i="7" s="1"/>
  <c r="AP30" i="7" l="1"/>
  <c r="AP8" i="8"/>
  <c r="AP10" i="8" s="1"/>
  <c r="AP25" i="8" l="1"/>
  <c r="AP9" i="9" s="1"/>
  <c r="AP12" i="8"/>
  <c r="AN12" i="9" l="1"/>
  <c r="AN15" i="9" s="1"/>
  <c r="AN43" i="5" s="1"/>
  <c r="AN44" i="5" s="1"/>
  <c r="AP10" i="9"/>
  <c r="AP26" i="8"/>
  <c r="AP27" i="8" s="1"/>
  <c r="AQ23" i="8" s="1"/>
  <c r="AN18" i="9" l="1"/>
  <c r="AN19" i="9" s="1"/>
  <c r="AO14" i="9" s="1"/>
  <c r="AQ24" i="8"/>
  <c r="AQ20" i="7" s="1"/>
  <c r="AO17" i="9" l="1"/>
  <c r="AQ21" i="7"/>
  <c r="AQ22" i="7" l="1"/>
  <c r="AQ25" i="7" l="1"/>
  <c r="AQ26" i="7"/>
  <c r="AQ31" i="7"/>
  <c r="AQ32" i="7" s="1"/>
  <c r="AQ33" i="7" l="1"/>
  <c r="AQ8" i="9" s="1"/>
  <c r="AQ28" i="7"/>
  <c r="AQ27" i="7"/>
  <c r="AQ29" i="7" l="1"/>
  <c r="AR24" i="7" s="1"/>
  <c r="AQ8" i="8"/>
  <c r="AQ10" i="8" s="1"/>
  <c r="AQ25" i="8" l="1"/>
  <c r="AQ9" i="9" s="1"/>
  <c r="AQ12" i="8"/>
  <c r="AQ30" i="7"/>
  <c r="AO12" i="9" l="1"/>
  <c r="AO15" i="9" s="1"/>
  <c r="AQ10" i="9"/>
  <c r="AQ26" i="8"/>
  <c r="AQ27" i="8" s="1"/>
  <c r="AR23" i="8" s="1"/>
  <c r="AO18" i="9" l="1"/>
  <c r="AO19" i="9" s="1"/>
  <c r="AP14" i="9" s="1"/>
  <c r="AO43" i="5"/>
  <c r="AO44" i="5" s="1"/>
  <c r="AP17" i="9"/>
  <c r="AR24" i="8"/>
  <c r="AR20" i="7" s="1"/>
  <c r="AR21" i="7" l="1"/>
  <c r="AR22" i="7" l="1"/>
  <c r="AR26" i="7" l="1"/>
  <c r="AR31" i="7"/>
  <c r="AR32" i="7" s="1"/>
  <c r="AR25" i="7"/>
  <c r="AR28" i="7" l="1"/>
  <c r="AR27" i="7"/>
  <c r="AR33" i="7"/>
  <c r="AR8" i="9" s="1"/>
  <c r="AR8" i="8" l="1"/>
  <c r="AR10" i="8" s="1"/>
  <c r="AR29" i="7"/>
  <c r="AS24" i="7" s="1"/>
  <c r="AR30" i="7" l="1"/>
  <c r="AR25" i="8"/>
  <c r="AR9" i="9" s="1"/>
  <c r="AR12" i="8"/>
  <c r="AP12" i="9" l="1"/>
  <c r="AP15" i="9" s="1"/>
  <c r="AR10" i="9"/>
  <c r="AR26" i="8"/>
  <c r="AR27" i="8" s="1"/>
  <c r="AS23" i="8" s="1"/>
  <c r="AP18" i="9" l="1"/>
  <c r="AP19" i="9" s="1"/>
  <c r="AQ14" i="9" s="1"/>
  <c r="AP43" i="5"/>
  <c r="AP44" i="5" s="1"/>
  <c r="AQ17" i="9"/>
  <c r="AS24" i="8"/>
  <c r="AS20" i="7" s="1"/>
  <c r="AS21" i="7" l="1"/>
  <c r="AS22" i="7" l="1"/>
  <c r="AS25" i="7" l="1"/>
  <c r="AS26" i="7"/>
  <c r="AS31" i="7" s="1"/>
  <c r="AS32" i="7" s="1"/>
  <c r="AS33" i="7" l="1"/>
  <c r="AS8" i="9" s="1"/>
  <c r="AS28" i="7"/>
  <c r="AS27" i="7"/>
  <c r="AS29" i="7" l="1"/>
  <c r="AT24" i="7" s="1"/>
  <c r="AS30" i="7"/>
  <c r="AS8" i="8"/>
  <c r="AS10" i="8" s="1"/>
  <c r="AS25" i="8" l="1"/>
  <c r="AS9" i="9" s="1"/>
  <c r="AS12" i="8"/>
  <c r="AQ12" i="9" l="1"/>
  <c r="AQ15" i="9" s="1"/>
  <c r="AS10" i="9"/>
  <c r="AS26" i="8"/>
  <c r="AS27" i="8" s="1"/>
  <c r="AT23" i="8" s="1"/>
  <c r="AQ18" i="9" l="1"/>
  <c r="AQ19" i="9" s="1"/>
  <c r="AR14" i="9" s="1"/>
  <c r="AQ43" i="5"/>
  <c r="AQ44" i="5" s="1"/>
  <c r="AR17" i="9"/>
  <c r="AT24" i="8"/>
  <c r="AT20" i="7" s="1"/>
  <c r="AT21" i="7" l="1"/>
  <c r="AT22" i="7" l="1"/>
  <c r="AT26" i="7" l="1"/>
  <c r="AT31" i="7" s="1"/>
  <c r="AT32" i="7" s="1"/>
  <c r="AT33" i="7" s="1"/>
  <c r="AT25" i="7"/>
  <c r="AT8" i="8" l="1"/>
  <c r="AT10" i="8" s="1"/>
  <c r="AT12" i="8" s="1"/>
  <c r="AT8" i="9"/>
  <c r="AT28" i="7"/>
  <c r="AT27" i="7"/>
  <c r="AT25" i="8" l="1"/>
  <c r="AT29" i="7"/>
  <c r="AU24" i="7" s="1"/>
  <c r="AT26" i="8" l="1"/>
  <c r="AT27" i="8" s="1"/>
  <c r="AU23" i="8" s="1"/>
  <c r="AU24" i="8" s="1"/>
  <c r="AU20" i="7" s="1"/>
  <c r="AU21" i="7" s="1"/>
  <c r="AU22" i="7" s="1"/>
  <c r="AT9" i="9"/>
  <c r="AU25" i="7"/>
  <c r="AU26" i="7"/>
  <c r="AU31" i="7" s="1"/>
  <c r="AU32" i="7" s="1"/>
  <c r="AU33" i="7" s="1"/>
  <c r="AT30" i="7"/>
  <c r="AU8" i="8" l="1"/>
  <c r="AU10" i="8" s="1"/>
  <c r="AU8" i="9"/>
  <c r="AR12" i="9"/>
  <c r="AR15" i="9" s="1"/>
  <c r="AT10" i="9"/>
  <c r="AU27" i="7"/>
  <c r="AU12" i="8"/>
  <c r="AU25" i="8"/>
  <c r="AR18" i="9" l="1"/>
  <c r="AR19" i="9" s="1"/>
  <c r="AS14" i="9" s="1"/>
  <c r="AR43" i="5"/>
  <c r="AR44" i="5" s="1"/>
  <c r="AU26" i="8"/>
  <c r="AU27" i="8" s="1"/>
  <c r="AV23" i="8" s="1"/>
  <c r="AU9" i="9"/>
  <c r="AS17" i="9"/>
  <c r="AU10" i="9"/>
  <c r="AV24" i="8"/>
  <c r="AV20" i="7" s="1"/>
  <c r="AV21" i="7" s="1"/>
  <c r="AV22" i="7" s="1"/>
  <c r="AS12" i="9" l="1"/>
  <c r="AS15" i="9" s="1"/>
  <c r="AV25" i="7"/>
  <c r="AU28" i="7"/>
  <c r="AU29" i="7" s="1"/>
  <c r="AV28" i="7"/>
  <c r="AS18" i="9" l="1"/>
  <c r="AS19" i="9" s="1"/>
  <c r="AT14" i="9" s="1"/>
  <c r="AS43" i="5"/>
  <c r="AS44" i="5" s="1"/>
  <c r="AT17" i="9"/>
  <c r="AU30" i="7"/>
  <c r="AV24" i="7"/>
  <c r="AV26" i="7" l="1"/>
  <c r="AV27" i="7"/>
  <c r="AV29" i="7" l="1"/>
  <c r="AW24" i="7" s="1"/>
  <c r="AV31" i="7"/>
  <c r="AV32" i="7" s="1"/>
  <c r="AV33" i="7" l="1"/>
  <c r="AV8" i="9" s="1"/>
  <c r="AV30" i="7"/>
  <c r="AV8" i="8" l="1"/>
  <c r="AV10" i="8" s="1"/>
  <c r="AV12" i="8" l="1"/>
  <c r="AV25" i="8"/>
  <c r="AV9" i="9" s="1"/>
  <c r="AT12" i="9" l="1"/>
  <c r="AT15" i="9" s="1"/>
  <c r="AT43" i="5" s="1"/>
  <c r="AT44" i="5" s="1"/>
  <c r="AV10" i="9"/>
  <c r="AV26" i="8"/>
  <c r="AV27" i="8" s="1"/>
  <c r="AW23" i="8" s="1"/>
  <c r="AT18" i="9" l="1"/>
  <c r="AT19" i="9" s="1"/>
  <c r="AU14" i="9" s="1"/>
  <c r="AW24" i="8"/>
  <c r="AW20" i="7" s="1"/>
  <c r="AU17" i="9" l="1"/>
  <c r="AW21" i="7"/>
  <c r="AW22" i="7" l="1"/>
  <c r="AW25" i="7" l="1"/>
  <c r="AW26" i="7"/>
  <c r="AW28" i="7" l="1"/>
  <c r="AW27" i="7"/>
  <c r="AW31" i="7"/>
  <c r="AW32" i="7" s="1"/>
  <c r="AW33" i="7" l="1"/>
  <c r="AW8" i="9" s="1"/>
  <c r="AW29" i="7"/>
  <c r="AX24" i="7" s="1"/>
  <c r="AW30" i="7" l="1"/>
  <c r="AW8" i="8"/>
  <c r="AW10" i="8" s="1"/>
  <c r="AW25" i="8" l="1"/>
  <c r="AW9" i="9" s="1"/>
  <c r="AW12" i="8"/>
  <c r="AU12" i="9" l="1"/>
  <c r="AU15" i="9" s="1"/>
  <c r="AW10" i="9"/>
  <c r="AW26" i="8"/>
  <c r="AW27" i="8" s="1"/>
  <c r="AX23" i="8" s="1"/>
  <c r="AU18" i="9" l="1"/>
  <c r="AU19" i="9" s="1"/>
  <c r="AV14" i="9" s="1"/>
  <c r="AU43" i="5"/>
  <c r="AU44" i="5" s="1"/>
  <c r="AV17" i="9"/>
  <c r="AX24" i="8"/>
  <c r="AX20" i="7" s="1"/>
  <c r="AX21" i="7" l="1"/>
  <c r="AX22" i="7" l="1"/>
  <c r="AX25" i="7" l="1"/>
  <c r="AX26" i="7"/>
  <c r="AX31" i="7"/>
  <c r="AX32" i="7" s="1"/>
  <c r="AX33" i="7" l="1"/>
  <c r="AX8" i="9" s="1"/>
  <c r="AX28" i="7"/>
  <c r="AX27" i="7"/>
  <c r="AX29" i="7" l="1"/>
  <c r="AY24" i="7" s="1"/>
  <c r="AX8" i="8"/>
  <c r="AX10" i="8" s="1"/>
  <c r="AX25" i="8" l="1"/>
  <c r="AX9" i="9" s="1"/>
  <c r="AX12" i="8"/>
  <c r="AX30" i="7"/>
  <c r="AV12" i="9" l="1"/>
  <c r="AV15" i="9" s="1"/>
  <c r="AV43" i="5" s="1"/>
  <c r="AV44" i="5" s="1"/>
  <c r="AX10" i="9"/>
  <c r="AX26" i="8"/>
  <c r="AX27" i="8" s="1"/>
  <c r="AY23" i="8" s="1"/>
  <c r="AV18" i="9" l="1"/>
  <c r="AV19" i="9" s="1"/>
  <c r="AW14" i="9" s="1"/>
  <c r="AY24" i="8"/>
  <c r="AY20" i="7" s="1"/>
  <c r="AW17" i="9" l="1"/>
  <c r="AY21" i="7"/>
  <c r="AY22" i="7" l="1"/>
  <c r="AY26" i="7" l="1"/>
  <c r="AY31" i="7"/>
  <c r="AY32" i="7" s="1"/>
  <c r="AY25" i="7"/>
  <c r="AY28" i="7" l="1"/>
  <c r="AY27" i="7"/>
  <c r="AY33" i="7"/>
  <c r="AY8" i="9" s="1"/>
  <c r="AY29" i="7" l="1"/>
  <c r="AZ24" i="7" s="1"/>
  <c r="AY8" i="8"/>
  <c r="AY10" i="8" s="1"/>
  <c r="AY25" i="8" l="1"/>
  <c r="AY9" i="9" s="1"/>
  <c r="AY12" i="8"/>
  <c r="AY30" i="7"/>
  <c r="AW12" i="9" l="1"/>
  <c r="AW15" i="9" s="1"/>
  <c r="AY10" i="9"/>
  <c r="AY26" i="8"/>
  <c r="AY27" i="8" s="1"/>
  <c r="AZ23" i="8" s="1"/>
  <c r="AW18" i="9" l="1"/>
  <c r="AW19" i="9" s="1"/>
  <c r="AX14" i="9" s="1"/>
  <c r="AX17" i="9" s="1"/>
  <c r="AW43" i="5"/>
  <c r="AW44" i="5" s="1"/>
  <c r="AZ24" i="8"/>
  <c r="AZ20" i="7" s="1"/>
  <c r="AZ21" i="7" l="1"/>
  <c r="AZ22" i="7" l="1"/>
  <c r="AZ25" i="7" l="1"/>
  <c r="AZ26" i="7"/>
  <c r="AZ31" i="7"/>
  <c r="AZ32" i="7" s="1"/>
  <c r="AZ33" i="7" l="1"/>
  <c r="AZ8" i="9" s="1"/>
  <c r="AZ28" i="7"/>
  <c r="AZ27" i="7"/>
  <c r="AZ29" i="7" l="1"/>
  <c r="BA24" i="7" s="1"/>
  <c r="AZ8" i="8"/>
  <c r="AZ10" i="8" s="1"/>
  <c r="AZ30" i="7" l="1"/>
  <c r="AZ25" i="8"/>
  <c r="AZ9" i="9" s="1"/>
  <c r="AZ12" i="8"/>
  <c r="AX12" i="9" l="1"/>
  <c r="AX15" i="9" s="1"/>
  <c r="AZ10" i="9"/>
  <c r="AZ26" i="8"/>
  <c r="AZ27" i="8" s="1"/>
  <c r="BA23" i="8" s="1"/>
  <c r="AX18" i="9" l="1"/>
  <c r="AX19" i="9" s="1"/>
  <c r="AY14" i="9" s="1"/>
  <c r="AX43" i="5"/>
  <c r="AX44" i="5" s="1"/>
  <c r="AY17" i="9"/>
  <c r="BA24" i="8"/>
  <c r="BA20" i="7" s="1"/>
  <c r="BA21" i="7" l="1"/>
  <c r="BA22" i="7" l="1"/>
  <c r="BA26" i="7" l="1"/>
  <c r="BA31" i="7"/>
  <c r="BA32" i="7" s="1"/>
  <c r="BA33" i="7" s="1"/>
  <c r="BA25" i="7"/>
  <c r="BA8" i="8" l="1"/>
  <c r="BA10" i="8" s="1"/>
  <c r="BA8" i="9"/>
  <c r="BA28" i="7"/>
  <c r="BA27" i="7"/>
  <c r="BA12" i="8"/>
  <c r="BA25" i="8"/>
  <c r="BA26" i="8" l="1"/>
  <c r="BA27" i="8" s="1"/>
  <c r="BB23" i="8" s="1"/>
  <c r="BA9" i="9"/>
  <c r="BA10" i="9"/>
  <c r="BA29" i="7"/>
  <c r="BB24" i="7" s="1"/>
  <c r="BB24" i="8"/>
  <c r="BB20" i="7" s="1"/>
  <c r="BB21" i="7" s="1"/>
  <c r="BB22" i="7" s="1"/>
  <c r="AY12" i="9" l="1"/>
  <c r="AY15" i="9" s="1"/>
  <c r="AY43" i="5" s="1"/>
  <c r="AY44" i="5" s="1"/>
  <c r="BB25" i="7"/>
  <c r="BB26" i="7"/>
  <c r="BB31" i="7" s="1"/>
  <c r="BB32" i="7" s="1"/>
  <c r="BB33" i="7" s="1"/>
  <c r="BB27" i="7"/>
  <c r="BA30" i="7"/>
  <c r="BB8" i="8" l="1"/>
  <c r="BB10" i="8" s="1"/>
  <c r="BB8" i="9"/>
  <c r="AY18" i="9"/>
  <c r="AY19" i="9" s="1"/>
  <c r="AZ14" i="9" s="1"/>
  <c r="AZ17" i="9" s="1"/>
  <c r="BB12" i="8"/>
  <c r="BB25" i="8"/>
  <c r="BB26" i="8" l="1"/>
  <c r="BB27" i="8" s="1"/>
  <c r="BC23" i="8" s="1"/>
  <c r="BB9" i="9"/>
  <c r="BB10" i="9"/>
  <c r="BC24" i="8"/>
  <c r="BC20" i="7" s="1"/>
  <c r="BC21" i="7" s="1"/>
  <c r="BC22" i="7" s="1"/>
  <c r="AZ12" i="9" l="1"/>
  <c r="AZ15" i="9" s="1"/>
  <c r="BC25" i="7"/>
  <c r="BB28" i="7"/>
  <c r="BB29" i="7" s="1"/>
  <c r="BC28" i="7"/>
  <c r="AZ18" i="9" l="1"/>
  <c r="AZ19" i="9" s="1"/>
  <c r="BA14" i="9" s="1"/>
  <c r="AZ43" i="5"/>
  <c r="AZ44" i="5" s="1"/>
  <c r="BA17" i="9"/>
  <c r="BB30" i="7"/>
  <c r="BC24" i="7"/>
  <c r="BC26" i="7" l="1"/>
  <c r="BC27" i="7" s="1"/>
  <c r="BC29" i="7" l="1"/>
  <c r="BD24" i="7" s="1"/>
  <c r="BC31" i="7"/>
  <c r="BC32" i="7" s="1"/>
  <c r="BC33" i="7" l="1"/>
  <c r="BC8" i="9" s="1"/>
  <c r="BC30" i="7"/>
  <c r="BC8" i="8" l="1"/>
  <c r="BC10" i="8" s="1"/>
  <c r="BC12" i="8" l="1"/>
  <c r="BC25" i="8"/>
  <c r="BC9" i="9" s="1"/>
  <c r="BA12" i="9" l="1"/>
  <c r="BA15" i="9" s="1"/>
  <c r="BA43" i="5" s="1"/>
  <c r="BA44" i="5" s="1"/>
  <c r="BC10" i="9"/>
  <c r="BC26" i="8"/>
  <c r="BC27" i="8" s="1"/>
  <c r="BD23" i="8" s="1"/>
  <c r="BA18" i="9" l="1"/>
  <c r="BA19" i="9" s="1"/>
  <c r="BB14" i="9" s="1"/>
  <c r="BD24" i="8"/>
  <c r="BD20" i="7" s="1"/>
  <c r="BB17" i="9" l="1"/>
  <c r="BD21" i="7"/>
  <c r="BD22" i="7" l="1"/>
  <c r="BD25" i="7" l="1"/>
  <c r="BD26" i="7"/>
  <c r="BD28" i="7" l="1"/>
  <c r="BD27" i="7"/>
  <c r="BD31" i="7"/>
  <c r="BD32" i="7" s="1"/>
  <c r="BD33" i="7" l="1"/>
  <c r="BD8" i="9" s="1"/>
  <c r="BD29" i="7"/>
  <c r="BE24" i="7" s="1"/>
  <c r="BD30" i="7" l="1"/>
  <c r="BD8" i="8"/>
  <c r="BD10" i="8" s="1"/>
  <c r="BD25" i="8" l="1"/>
  <c r="BD9" i="9" s="1"/>
  <c r="BD12" i="8"/>
  <c r="BB12" i="9" l="1"/>
  <c r="BB15" i="9" s="1"/>
  <c r="BD10" i="9"/>
  <c r="BD26" i="8"/>
  <c r="BD27" i="8" s="1"/>
  <c r="BE23" i="8" s="1"/>
  <c r="BB18" i="9" l="1"/>
  <c r="BB19" i="9" s="1"/>
  <c r="BC14" i="9" s="1"/>
  <c r="BB43" i="5"/>
  <c r="BB44" i="5" s="1"/>
  <c r="BC17" i="9"/>
  <c r="BE24" i="8"/>
  <c r="BE20" i="7" s="1"/>
  <c r="BE21" i="7" l="1"/>
  <c r="BE22" i="7" l="1"/>
  <c r="BE25" i="7" l="1"/>
  <c r="BE26" i="7"/>
  <c r="BE31" i="7"/>
  <c r="BE32" i="7" s="1"/>
  <c r="BE33" i="7" l="1"/>
  <c r="BE8" i="9" s="1"/>
  <c r="BE28" i="7"/>
  <c r="BE27" i="7"/>
  <c r="BE29" i="7" l="1"/>
  <c r="BF24" i="7" s="1"/>
  <c r="BE8" i="8"/>
  <c r="BE10" i="8" s="1"/>
  <c r="BE25" i="8" l="1"/>
  <c r="BE9" i="9" s="1"/>
  <c r="BE12" i="8"/>
  <c r="BE30" i="7"/>
  <c r="BC12" i="9" l="1"/>
  <c r="BC15" i="9" s="1"/>
  <c r="BE10" i="9"/>
  <c r="BE26" i="8"/>
  <c r="BE27" i="8" s="1"/>
  <c r="BF23" i="8" s="1"/>
  <c r="BC18" i="9" l="1"/>
  <c r="BC19" i="9" s="1"/>
  <c r="BD14" i="9" s="1"/>
  <c r="BD17" i="9" s="1"/>
  <c r="BC43" i="5"/>
  <c r="BC44" i="5" s="1"/>
  <c r="BF24" i="8"/>
  <c r="BF20" i="7" s="1"/>
  <c r="BF21" i="7" l="1"/>
  <c r="BF22" i="7" l="1"/>
  <c r="BF26" i="7" l="1"/>
  <c r="BF31" i="7"/>
  <c r="BF32" i="7" s="1"/>
  <c r="BF25" i="7"/>
  <c r="BF28" i="7" l="1"/>
  <c r="BF27" i="7"/>
  <c r="BF33" i="7"/>
  <c r="BF8" i="9" s="1"/>
  <c r="BF29" i="7" l="1"/>
  <c r="BG24" i="7" s="1"/>
  <c r="BF8" i="8"/>
  <c r="BF10" i="8" s="1"/>
  <c r="BF25" i="8" l="1"/>
  <c r="BF9" i="9" s="1"/>
  <c r="BF12" i="8"/>
  <c r="BF30" i="7"/>
  <c r="BD12" i="9" l="1"/>
  <c r="BD15" i="9" s="1"/>
  <c r="BF10" i="9"/>
  <c r="BF26" i="8"/>
  <c r="BF27" i="8" s="1"/>
  <c r="BG23" i="8" s="1"/>
  <c r="BD18" i="9" l="1"/>
  <c r="BD19" i="9" s="1"/>
  <c r="BE14" i="9" s="1"/>
  <c r="BE17" i="9" s="1"/>
  <c r="BD43" i="5"/>
  <c r="BD44" i="5" s="1"/>
  <c r="BG24" i="8"/>
  <c r="BG20" i="7" s="1"/>
  <c r="BG21" i="7" l="1"/>
  <c r="BG22" i="7" l="1"/>
  <c r="BG26" i="7" l="1"/>
  <c r="BG31" i="7" s="1"/>
  <c r="BG32" i="7" s="1"/>
  <c r="BG25" i="7"/>
  <c r="BG33" i="7" l="1"/>
  <c r="BG8" i="9" s="1"/>
  <c r="BG28" i="7"/>
  <c r="BG27" i="7"/>
  <c r="BG29" i="7" l="1"/>
  <c r="BH24" i="7" s="1"/>
  <c r="BG30" i="7"/>
  <c r="BG8" i="8"/>
  <c r="BG10" i="8" s="1"/>
  <c r="BG25" i="8" l="1"/>
  <c r="BG9" i="9" s="1"/>
  <c r="BG12" i="8"/>
  <c r="BE12" i="9" l="1"/>
  <c r="BE15" i="9" s="1"/>
  <c r="BG10" i="9"/>
  <c r="BG26" i="8"/>
  <c r="BG27" i="8" s="1"/>
  <c r="BH23" i="8" s="1"/>
  <c r="BE18" i="9" l="1"/>
  <c r="BE19" i="9" s="1"/>
  <c r="BF14" i="9" s="1"/>
  <c r="BF17" i="9" s="1"/>
  <c r="BE43" i="5"/>
  <c r="BE44" i="5" s="1"/>
  <c r="BH24" i="8"/>
  <c r="BH20" i="7" s="1"/>
  <c r="BH21" i="7" l="1"/>
  <c r="BH22" i="7" l="1"/>
  <c r="BH26" i="7" l="1"/>
  <c r="BH31" i="7"/>
  <c r="BH32" i="7" s="1"/>
  <c r="BH33" i="7" s="1"/>
  <c r="BH25" i="7"/>
  <c r="BH8" i="8" l="1"/>
  <c r="BH10" i="8" s="1"/>
  <c r="BH8" i="9"/>
  <c r="BH28" i="7"/>
  <c r="BH27" i="7"/>
  <c r="BH12" i="8"/>
  <c r="BH25" i="8"/>
  <c r="BH26" i="8" l="1"/>
  <c r="BH27" i="8" s="1"/>
  <c r="BI23" i="8" s="1"/>
  <c r="BH9" i="9"/>
  <c r="BH10" i="9"/>
  <c r="BH29" i="7"/>
  <c r="BI24" i="7" s="1"/>
  <c r="BH30" i="7"/>
  <c r="BI24" i="8"/>
  <c r="BI20" i="7" s="1"/>
  <c r="BI21" i="7" s="1"/>
  <c r="BI22" i="7" s="1"/>
  <c r="BF12" i="9" l="1"/>
  <c r="BF15" i="9" s="1"/>
  <c r="BI25" i="7"/>
  <c r="BI26" i="7"/>
  <c r="BI31" i="7" s="1"/>
  <c r="BI32" i="7" s="1"/>
  <c r="BI33" i="7" s="1"/>
  <c r="BF18" i="9" l="1"/>
  <c r="BF19" i="9" s="1"/>
  <c r="BG14" i="9" s="1"/>
  <c r="BF43" i="5"/>
  <c r="BF44" i="5" s="1"/>
  <c r="BI8" i="8"/>
  <c r="BI10" i="8" s="1"/>
  <c r="BI8" i="9"/>
  <c r="BG17" i="9"/>
  <c r="BI27" i="7"/>
  <c r="BI12" i="8"/>
  <c r="BI25" i="8"/>
  <c r="BI26" i="8" l="1"/>
  <c r="BI27" i="8" s="1"/>
  <c r="BJ23" i="8" s="1"/>
  <c r="BI9" i="9"/>
  <c r="BI10" i="9"/>
  <c r="BJ24" i="8"/>
  <c r="BJ20" i="7" s="1"/>
  <c r="BJ21" i="7" s="1"/>
  <c r="BJ22" i="7" s="1"/>
  <c r="BG12" i="9" l="1"/>
  <c r="BG15" i="9" s="1"/>
  <c r="BG43" i="5" s="1"/>
  <c r="BG44" i="5" s="1"/>
  <c r="BJ25" i="7"/>
  <c r="BI28" i="7"/>
  <c r="BI29" i="7" s="1"/>
  <c r="BJ28" i="7"/>
  <c r="BG18" i="9" l="1"/>
  <c r="BG19" i="9"/>
  <c r="BH14" i="9" s="1"/>
  <c r="BI30" i="7"/>
  <c r="BJ24" i="7"/>
  <c r="BH17" i="9" l="1"/>
  <c r="BJ26" i="7"/>
  <c r="BJ27" i="7" s="1"/>
  <c r="BJ29" i="7" l="1"/>
  <c r="BK24" i="7" s="1"/>
  <c r="BJ31" i="7"/>
  <c r="BJ32" i="7" s="1"/>
  <c r="BJ33" i="7" l="1"/>
  <c r="BJ8" i="9" s="1"/>
  <c r="BJ30" i="7"/>
  <c r="BJ8" i="8" l="1"/>
  <c r="BJ10" i="8" s="1"/>
  <c r="BJ12" i="8" l="1"/>
  <c r="BJ25" i="8"/>
  <c r="BJ9" i="9" s="1"/>
  <c r="BH12" i="9" l="1"/>
  <c r="BH15" i="9" s="1"/>
  <c r="BH43" i="5" s="1"/>
  <c r="BH44" i="5" s="1"/>
  <c r="BJ10" i="9"/>
  <c r="BJ26" i="8"/>
  <c r="BJ27" i="8" s="1"/>
  <c r="BK23" i="8" s="1"/>
  <c r="BH18" i="9" l="1"/>
  <c r="BH19" i="9" s="1"/>
  <c r="BI14" i="9" s="1"/>
  <c r="BK24" i="8"/>
  <c r="BK20" i="7" s="1"/>
  <c r="BI17" i="9" l="1"/>
  <c r="BK21" i="7"/>
  <c r="BK22" i="7" l="1"/>
  <c r="BK25" i="7" l="1"/>
  <c r="BK26" i="7"/>
  <c r="BK28" i="7" l="1"/>
  <c r="BK27" i="7"/>
  <c r="BK31" i="7"/>
  <c r="BK32" i="7" s="1"/>
  <c r="BK33" i="7" l="1"/>
  <c r="BK8" i="9" s="1"/>
  <c r="BK29" i="7"/>
  <c r="BL24" i="7" s="1"/>
  <c r="BK30" i="7" l="1"/>
  <c r="BK8" i="8"/>
  <c r="BK10" i="8" s="1"/>
  <c r="BK12" i="8" l="1"/>
  <c r="BK25" i="8"/>
  <c r="BK9" i="9" s="1"/>
  <c r="BI12" i="9" l="1"/>
  <c r="BI15" i="9" s="1"/>
  <c r="BK10" i="9"/>
  <c r="BK26" i="8"/>
  <c r="BK27" i="8" s="1"/>
  <c r="BL23" i="8" s="1"/>
  <c r="BI18" i="9" l="1"/>
  <c r="BI19" i="9" s="1"/>
  <c r="BJ14" i="9" s="1"/>
  <c r="BI43" i="5"/>
  <c r="BI44" i="5" s="1"/>
  <c r="BJ17" i="9"/>
  <c r="BL24" i="8"/>
  <c r="BL20" i="7" s="1"/>
  <c r="BL21" i="7" l="1"/>
  <c r="BL22" i="7" l="1"/>
  <c r="BL25" i="7" l="1"/>
  <c r="BL26" i="7"/>
  <c r="BL31" i="7"/>
  <c r="BL32" i="7" s="1"/>
  <c r="BL33" i="7" l="1"/>
  <c r="BL8" i="9" s="1"/>
  <c r="BL28" i="7"/>
  <c r="BL27" i="7"/>
  <c r="BL29" i="7" l="1"/>
  <c r="BM24" i="7" s="1"/>
  <c r="BL8" i="8"/>
  <c r="BL10" i="8" s="1"/>
  <c r="BL25" i="8" l="1"/>
  <c r="BL9" i="9" s="1"/>
  <c r="BL12" i="8"/>
  <c r="BL30" i="7"/>
  <c r="BJ12" i="9" l="1"/>
  <c r="BJ15" i="9" s="1"/>
  <c r="BJ43" i="5" s="1"/>
  <c r="BJ44" i="5" s="1"/>
  <c r="BL10" i="9"/>
  <c r="BL26" i="8"/>
  <c r="BL27" i="8" s="1"/>
  <c r="BM23" i="8" s="1"/>
  <c r="BJ18" i="9" l="1"/>
  <c r="BJ19" i="9" s="1"/>
  <c r="BK14" i="9" s="1"/>
  <c r="BK17" i="9" s="1"/>
  <c r="BM24" i="8"/>
  <c r="BM20" i="7" s="1"/>
  <c r="BM21" i="7" l="1"/>
  <c r="BM22" i="7" l="1"/>
  <c r="BM26" i="7" l="1"/>
  <c r="BM31" i="7" s="1"/>
  <c r="BM32" i="7" s="1"/>
  <c r="BM25" i="7"/>
  <c r="BM28" i="7" l="1"/>
  <c r="BM27" i="7"/>
  <c r="BM33" i="7"/>
  <c r="BM8" i="9" s="1"/>
  <c r="BM8" i="8" l="1"/>
  <c r="BM10" i="8" s="1"/>
  <c r="BM29" i="7"/>
  <c r="BN24" i="7" s="1"/>
  <c r="BM30" i="7" l="1"/>
  <c r="BM12" i="8"/>
  <c r="BM25" i="8"/>
  <c r="BM9" i="9" s="1"/>
  <c r="BK12" i="9" l="1"/>
  <c r="BK15" i="9" s="1"/>
  <c r="BM10" i="9"/>
  <c r="BM26" i="8"/>
  <c r="BM27" i="8" s="1"/>
  <c r="BN23" i="8" s="1"/>
  <c r="BK18" i="9" l="1"/>
  <c r="BK19" i="9" s="1"/>
  <c r="BL14" i="9" s="1"/>
  <c r="BL17" i="9" s="1"/>
  <c r="BK43" i="5"/>
  <c r="BK44" i="5" s="1"/>
  <c r="BN24" i="8"/>
  <c r="BN20" i="7" s="1"/>
  <c r="BN21" i="7" l="1"/>
  <c r="BN22" i="7" l="1"/>
  <c r="BN25" i="7" l="1"/>
  <c r="BN26" i="7"/>
  <c r="BN31" i="7" s="1"/>
  <c r="BN32" i="7" s="1"/>
  <c r="BN33" i="7" l="1"/>
  <c r="BN8" i="9" s="1"/>
  <c r="BN28" i="7"/>
  <c r="BN27" i="7"/>
  <c r="BN29" i="7" l="1"/>
  <c r="BO24" i="7" s="1"/>
  <c r="BN30" i="7"/>
  <c r="BN8" i="8"/>
  <c r="BN10" i="8" s="1"/>
  <c r="BN25" i="8" l="1"/>
  <c r="BN9" i="9" s="1"/>
  <c r="BN12" i="8"/>
  <c r="BL12" i="9" l="1"/>
  <c r="BL15" i="9" s="1"/>
  <c r="BN10" i="9"/>
  <c r="BN26" i="8"/>
  <c r="BN27" i="8" s="1"/>
  <c r="BO23" i="8" s="1"/>
  <c r="BL18" i="9" l="1"/>
  <c r="BL19" i="9" s="1"/>
  <c r="BM14" i="9" s="1"/>
  <c r="BM17" i="9" s="1"/>
  <c r="BL43" i="5"/>
  <c r="BL44" i="5" s="1"/>
  <c r="BO24" i="8"/>
  <c r="BO20" i="7" s="1"/>
  <c r="BO21" i="7" l="1"/>
  <c r="BO22" i="7" l="1"/>
  <c r="BO26" i="7" l="1"/>
  <c r="BO31" i="7"/>
  <c r="BO32" i="7" s="1"/>
  <c r="BO33" i="7" s="1"/>
  <c r="BO25" i="7"/>
  <c r="BO8" i="8" l="1"/>
  <c r="BO10" i="8" s="1"/>
  <c r="BO12" i="8" s="1"/>
  <c r="BO8" i="9"/>
  <c r="BO28" i="7"/>
  <c r="BO27" i="7"/>
  <c r="BO25" i="8" l="1"/>
  <c r="BO26" i="8" s="1"/>
  <c r="BO27" i="8" s="1"/>
  <c r="BP23" i="8" s="1"/>
  <c r="BP24" i="8" s="1"/>
  <c r="BP20" i="7" s="1"/>
  <c r="BP21" i="7" s="1"/>
  <c r="BP22" i="7" s="1"/>
  <c r="BO29" i="7"/>
  <c r="BP24" i="7" s="1"/>
  <c r="BO9" i="9" l="1"/>
  <c r="BO10" i="9" s="1"/>
  <c r="BM12" i="9"/>
  <c r="BM15" i="9" s="1"/>
  <c r="BM43" i="5" s="1"/>
  <c r="BM44" i="5" s="1"/>
  <c r="BO30" i="7"/>
  <c r="BP25" i="7"/>
  <c r="BP26" i="7"/>
  <c r="BP31" i="7" s="1"/>
  <c r="BP32" i="7" s="1"/>
  <c r="BP33" i="7" s="1"/>
  <c r="BP8" i="8" l="1"/>
  <c r="BP10" i="8" s="1"/>
  <c r="BP8" i="9"/>
  <c r="BM18" i="9"/>
  <c r="BM19" i="9"/>
  <c r="BN14" i="9" s="1"/>
  <c r="BP12" i="8"/>
  <c r="BP25" i="8"/>
  <c r="BP27" i="7"/>
  <c r="BP26" i="8" l="1"/>
  <c r="BP27" i="8" s="1"/>
  <c r="BQ23" i="8" s="1"/>
  <c r="BP9" i="9"/>
  <c r="BN17" i="9"/>
  <c r="BP10" i="9"/>
  <c r="BQ24" i="8"/>
  <c r="BQ20" i="7" s="1"/>
  <c r="BQ21" i="7" s="1"/>
  <c r="BQ22" i="7" s="1"/>
  <c r="BN12" i="9" l="1"/>
  <c r="BN15" i="9" s="1"/>
  <c r="BQ25" i="7"/>
  <c r="BP28" i="7"/>
  <c r="BP29" i="7" s="1"/>
  <c r="BQ28" i="7"/>
  <c r="BN18" i="9" l="1"/>
  <c r="BN19" i="9" s="1"/>
  <c r="BO14" i="9" s="1"/>
  <c r="BN43" i="5"/>
  <c r="BN44" i="5" s="1"/>
  <c r="BO17" i="9"/>
  <c r="BP30" i="7"/>
  <c r="BQ24" i="7"/>
  <c r="BQ26" i="7" l="1"/>
  <c r="BQ27" i="7" s="1"/>
  <c r="BQ29" i="7" l="1"/>
  <c r="BR24" i="7" s="1"/>
  <c r="BQ31" i="7"/>
  <c r="BQ32" i="7" s="1"/>
  <c r="BQ33" i="7" l="1"/>
  <c r="BQ8" i="9" s="1"/>
  <c r="BQ30" i="7"/>
  <c r="BQ8" i="8" l="1"/>
  <c r="BQ10" i="8" s="1"/>
  <c r="BQ12" i="8" l="1"/>
  <c r="BQ25" i="8"/>
  <c r="BQ9" i="9" s="1"/>
  <c r="BO12" i="9" l="1"/>
  <c r="BO15" i="9" s="1"/>
  <c r="BO43" i="5" s="1"/>
  <c r="BO44" i="5" s="1"/>
  <c r="BQ10" i="9"/>
  <c r="BQ26" i="8"/>
  <c r="BQ27" i="8" s="1"/>
  <c r="BR23" i="8" s="1"/>
  <c r="BO18" i="9" l="1"/>
  <c r="BO19" i="9" s="1"/>
  <c r="BP14" i="9" s="1"/>
  <c r="BR24" i="8"/>
  <c r="BR20" i="7" s="1"/>
  <c r="BP17" i="9" l="1"/>
  <c r="BR21" i="7"/>
  <c r="BR22" i="7" l="1"/>
  <c r="BR26" i="7" l="1"/>
  <c r="BR25" i="7"/>
  <c r="BR28" i="7" l="1"/>
  <c r="BR27" i="7"/>
  <c r="BR31" i="7"/>
  <c r="BR32" i="7" s="1"/>
  <c r="BR33" i="7" l="1"/>
  <c r="BR8" i="9" s="1"/>
  <c r="BR29" i="7"/>
  <c r="BS24" i="7" s="1"/>
  <c r="BR30" i="7" l="1"/>
  <c r="BR8" i="8"/>
  <c r="BR10" i="8" s="1"/>
  <c r="BR12" i="8" l="1"/>
  <c r="BR25" i="8"/>
  <c r="BR9" i="9" s="1"/>
  <c r="BP12" i="9" l="1"/>
  <c r="BP15" i="9" s="1"/>
  <c r="BP43" i="5" s="1"/>
  <c r="BP44" i="5" s="1"/>
  <c r="BR10" i="9"/>
  <c r="BR26" i="8"/>
  <c r="BR27" i="8" s="1"/>
  <c r="BS23" i="8" s="1"/>
  <c r="BP18" i="9" l="1"/>
  <c r="BP19" i="9"/>
  <c r="BQ14" i="9" s="1"/>
  <c r="BS24" i="8"/>
  <c r="BS20" i="7" s="1"/>
  <c r="BQ17" i="9" l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s="1"/>
  <c r="BS25" i="8" l="1"/>
  <c r="BS9" i="9" s="1"/>
  <c r="BS12" i="8"/>
  <c r="BS30" i="7"/>
  <c r="BQ12" i="9" l="1"/>
  <c r="BQ15" i="9" s="1"/>
  <c r="BS10" i="9"/>
  <c r="BS26" i="8"/>
  <c r="BS27" i="8" s="1"/>
  <c r="BT23" i="8" s="1"/>
  <c r="BQ18" i="9" l="1"/>
  <c r="BQ19" i="9" s="1"/>
  <c r="BR14" i="9" s="1"/>
  <c r="BQ43" i="5"/>
  <c r="BQ44" i="5" s="1"/>
  <c r="BR17" i="9"/>
  <c r="BT24" i="8"/>
  <c r="BT20" i="7" s="1"/>
  <c r="BT21" i="7" l="1"/>
  <c r="BT22" i="7" l="1"/>
  <c r="BT26" i="7" l="1"/>
  <c r="BT31" i="7"/>
  <c r="BT32" i="7" s="1"/>
  <c r="BT25" i="7"/>
  <c r="BT28" i="7" l="1"/>
  <c r="BT27" i="7"/>
  <c r="BT33" i="7"/>
  <c r="BT8" i="9" s="1"/>
  <c r="BT8" i="8" l="1"/>
  <c r="BT10" i="8" s="1"/>
  <c r="BT29" i="7"/>
  <c r="BU24" i="7" s="1"/>
  <c r="BT30" i="7" l="1"/>
  <c r="BT12" i="8"/>
  <c r="BT25" i="8"/>
  <c r="BT9" i="9" s="1"/>
  <c r="BR12" i="9" l="1"/>
  <c r="BR15" i="9" s="1"/>
  <c r="BT10" i="9"/>
  <c r="BT26" i="8"/>
  <c r="BT27" i="8" s="1"/>
  <c r="BU23" i="8" s="1"/>
  <c r="BR18" i="9" l="1"/>
  <c r="BR19" i="9" s="1"/>
  <c r="BS14" i="9" s="1"/>
  <c r="BR43" i="5"/>
  <c r="BR44" i="5" s="1"/>
  <c r="BS17" i="9"/>
  <c r="BU24" i="8"/>
  <c r="BU20" i="7" l="1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BU8" i="9" s="1"/>
  <c r="C35" i="7"/>
  <c r="C32" i="7"/>
  <c r="BU29" i="7"/>
  <c r="BU30" i="7" s="1"/>
  <c r="C30" i="7" s="1"/>
  <c r="C36" i="7" s="1"/>
  <c r="BU8" i="8" l="1"/>
  <c r="BU10" i="8" s="1"/>
  <c r="C33" i="7"/>
  <c r="C8" i="8" l="1"/>
  <c r="C8" i="9"/>
  <c r="BU12" i="8"/>
  <c r="BU25" i="8"/>
  <c r="BU9" i="9" s="1"/>
  <c r="C10" i="8"/>
  <c r="BT12" i="9" l="1"/>
  <c r="BT15" i="9" s="1"/>
  <c r="BT43" i="5" s="1"/>
  <c r="BS12" i="9"/>
  <c r="BS15" i="9" s="1"/>
  <c r="BS43" i="5" s="1"/>
  <c r="BS44" i="5" s="1"/>
  <c r="BU10" i="9"/>
  <c r="BU26" i="8"/>
  <c r="C25" i="8"/>
  <c r="C9" i="9" s="1"/>
  <c r="C12" i="8"/>
  <c r="C13" i="8"/>
  <c r="BT44" i="5" l="1"/>
  <c r="C44" i="5" s="1"/>
  <c r="C56" i="5" s="1"/>
  <c r="C43" i="5"/>
  <c r="BS18" i="9"/>
  <c r="BS19" i="9" s="1"/>
  <c r="BT14" i="9" s="1"/>
  <c r="C15" i="9"/>
  <c r="C52" i="5" s="1"/>
  <c r="C53" i="5" s="1"/>
  <c r="BU27" i="8"/>
  <c r="C31" i="8" s="1"/>
  <c r="C26" i="8"/>
  <c r="C57" i="5" l="1"/>
  <c r="C59" i="5" s="1"/>
  <c r="C60" i="5"/>
  <c r="BT17" i="9"/>
  <c r="BT18" i="9" s="1"/>
  <c r="BT19" i="9" s="1"/>
  <c r="BU14" i="9" s="1"/>
  <c r="C14" i="8"/>
  <c r="C15" i="8" s="1"/>
  <c r="C62" i="5"/>
  <c r="BU17" i="9" l="1"/>
  <c r="C29" i="8"/>
  <c r="C16" i="8"/>
  <c r="C17" i="8"/>
  <c r="BU18" i="9" l="1"/>
  <c r="C17" i="9"/>
  <c r="C30" i="8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BU19" i="9" l="1"/>
  <c r="C18" i="9"/>
  <c r="C18" i="8"/>
  <c r="C22" i="9" l="1"/>
  <c r="C21" i="9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<sst xmlns="http://schemas.openxmlformats.org/spreadsheetml/2006/main" count="868" uniqueCount="327">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</sst>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6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23" activePane="bottomLeft" state="frozen"/>
      <selection pane="bottomLeft" activeCell="B7" sqref="B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3">
        <v>2</v>
      </c>
      <c r="C6" t="s">
        <v>128</v>
      </c>
      <c r="D6" t="s">
        <v>131</v>
      </c>
    </row>
    <row r="7" spans="1:6">
      <c r="A7" t="s">
        <v>18</v>
      </c>
      <c r="B7" s="23" t="s">
        <v>129</v>
      </c>
      <c r="C7" t="s">
        <v>130</v>
      </c>
      <c r="D7" t="s">
        <v>131</v>
      </c>
    </row>
    <row r="8" spans="1:6" ht="30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>
      <c r="A12" s="28" t="s">
        <v>135</v>
      </c>
      <c r="B12" s="33"/>
      <c r="C12" s="29"/>
      <c r="D12" s="31"/>
      <c r="E12" s="32"/>
      <c r="F12" s="29"/>
    </row>
    <row r="13" spans="1:6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>
      <c r="A14" t="s">
        <v>21</v>
      </c>
      <c r="B14" s="3">
        <v>65</v>
      </c>
      <c r="C14" t="s">
        <v>22</v>
      </c>
      <c r="D14">
        <f>D12 / (Inputs!B38 * 2)</f>
        <v>0</v>
      </c>
      <c r="E14" s="15" t="s">
        <v>91</v>
      </c>
      <c r="F14" t="s">
        <v>98</v>
      </c>
    </row>
    <row r="15" spans="1:6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>
      <c r="A16" s="28" t="s">
        <v>136</v>
      </c>
      <c r="B16" s="33"/>
      <c r="C16" s="29"/>
      <c r="D16" s="29"/>
      <c r="E16" s="29"/>
      <c r="F16" s="29"/>
    </row>
    <row r="17" spans="1:6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>
      <c r="A22" s="45" t="s">
        <v>27</v>
      </c>
      <c r="B22" s="21"/>
    </row>
    <row r="23" spans="1:6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110</v>
      </c>
      <c r="B27" s="22">
        <f>SUM(B23:B26)</f>
        <v>1</v>
      </c>
    </row>
    <row r="28" spans="1:6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>
      <c r="A29" s="28" t="s">
        <v>137</v>
      </c>
      <c r="B29" s="33"/>
      <c r="C29" s="29"/>
      <c r="D29" s="29"/>
      <c r="E29" s="29"/>
      <c r="F29" s="29"/>
    </row>
    <row r="30" spans="1:6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>
      <c r="A33" s="28" t="s">
        <v>138</v>
      </c>
      <c r="B33" s="33"/>
      <c r="C33" s="29"/>
      <c r="D33" s="29"/>
      <c r="E33" s="30"/>
      <c r="F33" s="29"/>
    </row>
    <row r="34" spans="1:20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>
      <c r="A35" t="s">
        <v>35</v>
      </c>
      <c r="B35" s="3"/>
    </row>
    <row r="36" spans="1:20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>
      <c r="A40" s="28" t="s">
        <v>139</v>
      </c>
      <c r="B40" s="33"/>
      <c r="C40" s="29"/>
      <c r="D40" s="29"/>
      <c r="E40" s="30"/>
      <c r="F40" s="29"/>
    </row>
    <row r="41" spans="1:20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>
      <c r="E53" s="11"/>
    </row>
    <row r="56" spans="1:6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F1" zoomScale="70" zoomScaleNormal="70" workbookViewId="0">
      <selection activeCell="L17" sqref="L17"/>
    </sheetView>
  </sheetViews>
  <sheetFormatPr baseColWidth="10" defaultColWidth="9.140625" defaultRowHeight="15"/>
  <cols>
    <col min="1" max="1" width="78.5703125" bestFit="1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D39" sqref="D39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57" t="s">
        <v>169</v>
      </c>
      <c r="B5" s="57"/>
      <c r="C5" s="57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Inputs!B11</f>
        <v>46661</v>
      </c>
    </row>
    <row r="8" spans="1:75">
      <c r="A8" t="s">
        <v>147</v>
      </c>
      <c r="B8" t="s">
        <v>146</v>
      </c>
      <c r="C8" s="6">
        <f>EDATE(C7, Inputs!B9)</f>
        <v>47392</v>
      </c>
    </row>
    <row r="9" spans="1:75">
      <c r="A9" t="s">
        <v>148</v>
      </c>
      <c r="B9" t="s">
        <v>146</v>
      </c>
      <c r="C9" s="6">
        <f>EDATE(C8, Inputs!B44*6)</f>
        <v>47392</v>
      </c>
    </row>
    <row r="10" spans="1:75">
      <c r="A10" t="s">
        <v>149</v>
      </c>
      <c r="B10" t="s">
        <v>146</v>
      </c>
      <c r="C10" s="6">
        <f>EDATE(C8,Inputs!B41*12)</f>
        <v>51775</v>
      </c>
    </row>
    <row r="11" spans="1:75">
      <c r="A11" t="s">
        <v>150</v>
      </c>
      <c r="B11" t="s">
        <v>146</v>
      </c>
      <c r="C11" s="6">
        <f>EDATE(C8,Inputs!B10*12)</f>
        <v>58349</v>
      </c>
    </row>
    <row r="14" spans="1:75" ht="15.75">
      <c r="A14" s="57" t="s">
        <v>170</v>
      </c>
      <c r="B14" s="57"/>
      <c r="C14" s="57"/>
      <c r="D14" s="57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57" t="s">
        <v>171</v>
      </c>
      <c r="B27" s="57"/>
      <c r="C27" s="57"/>
      <c r="D27" s="57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12" t="s">
        <v>160</v>
      </c>
      <c r="B29" t="s">
        <v>165</v>
      </c>
      <c r="C29">
        <f>SUM(D20:BU20)-Inputs!B9/6</f>
        <v>0</v>
      </c>
      <c r="D29" s="37" t="s">
        <v>167</v>
      </c>
      <c r="E29" s="12"/>
    </row>
    <row r="30" spans="1:73">
      <c r="A30" s="12" t="s">
        <v>161</v>
      </c>
      <c r="B30" t="s">
        <v>165</v>
      </c>
      <c r="C30">
        <f>SUM(D21:BU21)-Inputs!B10*2</f>
        <v>0</v>
      </c>
      <c r="D30" s="37" t="s">
        <v>167</v>
      </c>
      <c r="E30" s="12"/>
    </row>
    <row r="31" spans="1:73">
      <c r="A31" s="12" t="s">
        <v>162</v>
      </c>
      <c r="B31" t="s">
        <v>165</v>
      </c>
      <c r="C31">
        <f>SUM(D22:BU22)-Inputs!B41*2</f>
        <v>0</v>
      </c>
      <c r="D31" s="37" t="s">
        <v>167</v>
      </c>
      <c r="E31" s="12"/>
    </row>
    <row r="32" spans="1:73">
      <c r="A32" s="12" t="s">
        <v>163</v>
      </c>
      <c r="B32" t="s">
        <v>165</v>
      </c>
      <c r="C32">
        <f>SUM(D25:BU25)</f>
        <v>0</v>
      </c>
      <c r="D32" s="37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27" zoomScale="85" zoomScaleNormal="85" workbookViewId="0">
      <pane xSplit="3" topLeftCell="D1" activePane="topRight" state="frozen"/>
      <selection pane="topRight" activeCell="D52" sqref="D52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57" t="s">
        <v>192</v>
      </c>
      <c r="B4" s="57"/>
      <c r="C4" s="57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57" t="s">
        <v>193</v>
      </c>
      <c r="B9" s="57"/>
      <c r="C9" s="57"/>
    </row>
    <row r="10" spans="1:74">
      <c r="A10" t="s">
        <v>186</v>
      </c>
      <c r="B10" t="s">
        <v>184</v>
      </c>
      <c r="C10">
        <f>Inputs!$B$17*1000*Inputs!$B$18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57" t="s">
        <v>194</v>
      </c>
      <c r="B19" s="57"/>
      <c r="C19" s="57"/>
      <c r="D19" s="57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57" t="s">
        <v>205</v>
      </c>
      <c r="B24" s="57"/>
      <c r="C24" s="57"/>
    </row>
    <row r="25" spans="1:73">
      <c r="A25" t="s">
        <v>293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57" t="s">
        <v>206</v>
      </c>
      <c r="B34" s="57"/>
      <c r="C34" s="57"/>
    </row>
    <row r="35" spans="1:73">
      <c r="A35" t="s">
        <v>200</v>
      </c>
      <c r="B35" t="s">
        <v>165</v>
      </c>
      <c r="C35">
        <f>SUM(D27:BU27)+SUM(D28:BU28)-C18</f>
        <v>0</v>
      </c>
      <c r="D35" s="37" t="s">
        <v>167</v>
      </c>
    </row>
    <row r="36" spans="1:73">
      <c r="A36" t="s">
        <v>199</v>
      </c>
      <c r="B36" t="s">
        <v>165</v>
      </c>
      <c r="C36">
        <f>INDEX(D32:BU32,MAX(D11:BU11))-$C$25</f>
        <v>0</v>
      </c>
      <c r="D36" s="37" t="s">
        <v>167</v>
      </c>
    </row>
    <row r="37" spans="1:73" ht="15.75">
      <c r="A37" s="57" t="s">
        <v>207</v>
      </c>
      <c r="B37" s="57"/>
      <c r="C37" s="57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IF(D11=1,Inputs!$B$50*$C$25,0)</f>
        <v>120974.43800063475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Inputs!$B$51/2 *D7</f>
        <v>18672.614229549636</v>
      </c>
      <c r="E40">
        <f>($C$25-E38)* Inputs!$B$51/2 *E7</f>
        <v>13671.979447517237</v>
      </c>
      <c r="F40">
        <f>($C$25-F38)* Inputs!$B$51/2 *F7</f>
        <v>6615.2873820223012</v>
      </c>
      <c r="G40">
        <f>($C$25-G38)* Inputs!$B$51/2 *G7</f>
        <v>1534.718997335136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D38*Inputs!$B$43*D7</f>
        <v>26816.257870010824</v>
      </c>
      <c r="E41">
        <f>E38*Inputs!$B$43*E7</f>
        <v>116827.68394659401</v>
      </c>
      <c r="F41">
        <f>F38*Inputs!$B$43*F7</f>
        <v>243848.14112550285</v>
      </c>
      <c r="G41">
        <f>G38*Inputs!$B$43*G7</f>
        <v>335298.37204987183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307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57" t="s">
        <v>215</v>
      </c>
      <c r="B45" s="57"/>
      <c r="C45" s="57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57" t="s">
        <v>216</v>
      </c>
      <c r="B54" s="57"/>
      <c r="C54" s="57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57" t="s">
        <v>222</v>
      </c>
      <c r="B61" s="57"/>
      <c r="C61" s="57"/>
    </row>
    <row r="62" spans="1:4">
      <c r="A62" t="s">
        <v>223</v>
      </c>
      <c r="B62" t="s">
        <v>165</v>
      </c>
      <c r="C62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topLeftCell="A10" zoomScale="85" zoomScaleNormal="85" workbookViewId="0">
      <pane xSplit="3" topLeftCell="D1" activePane="topRight" state="frozen"/>
      <selection pane="topRight" activeCell="A55" sqref="A55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57" t="s">
        <v>240</v>
      </c>
      <c r="B4" s="57"/>
      <c r="C4" s="57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INDEX(Data_Energy!$L$16:$L$18,$C$10)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INDEX(Data_Energy!$M$16:$M$18,$C$10)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D13*Inputs!$B$13*1000</f>
        <v>0</v>
      </c>
      <c r="E14" s="8">
        <f>E13*Inputs!$B$13*1000</f>
        <v>0</v>
      </c>
      <c r="F14" s="8">
        <f>F13*Inputs!$B$13*1000</f>
        <v>0</v>
      </c>
      <c r="G14" s="8">
        <f>G13*Inputs!$B$13*1000</f>
        <v>0</v>
      </c>
      <c r="H14" s="8">
        <f>H13*Inputs!$B$13*1000</f>
        <v>27224.919626067385</v>
      </c>
      <c r="I14" s="8">
        <f>I13*Inputs!$B$13*1000</f>
        <v>14194.355322225747</v>
      </c>
      <c r="J14" s="8">
        <f>J13*Inputs!$B$13*1000</f>
        <v>27224.919626067385</v>
      </c>
      <c r="K14" s="8">
        <f>K13*Inputs!$B$13*1000</f>
        <v>14194.355322225747</v>
      </c>
      <c r="L14" s="8">
        <f>L13*Inputs!$B$13*1000</f>
        <v>27224.919626067385</v>
      </c>
      <c r="M14" s="8">
        <f>M13*Inputs!$B$13*1000</f>
        <v>14194.355322225747</v>
      </c>
      <c r="N14" s="8">
        <f>N13*Inputs!$B$13*1000</f>
        <v>27224.919626067385</v>
      </c>
      <c r="O14" s="8">
        <f>O13*Inputs!$B$13*1000</f>
        <v>14194.355322225747</v>
      </c>
      <c r="P14" s="8">
        <f>P13*Inputs!$B$13*1000</f>
        <v>27224.919626067385</v>
      </c>
      <c r="Q14" s="8">
        <f>Q13*Inputs!$B$13*1000</f>
        <v>14194.355322225747</v>
      </c>
      <c r="R14" s="8">
        <f>R13*Inputs!$B$13*1000</f>
        <v>27224.919626067385</v>
      </c>
      <c r="S14" s="8">
        <f>S13*Inputs!$B$13*1000</f>
        <v>14194.355322225747</v>
      </c>
      <c r="T14" s="8">
        <f>T13*Inputs!$B$13*1000</f>
        <v>27224.919626067385</v>
      </c>
      <c r="U14" s="8">
        <f>U13*Inputs!$B$13*1000</f>
        <v>14194.355322225747</v>
      </c>
      <c r="V14" s="8">
        <f>V13*Inputs!$B$13*1000</f>
        <v>27224.919626067385</v>
      </c>
      <c r="W14" s="8">
        <f>W13*Inputs!$B$13*1000</f>
        <v>14194.355322225747</v>
      </c>
      <c r="X14" s="8">
        <f>X13*Inputs!$B$13*1000</f>
        <v>27224.919626067385</v>
      </c>
      <c r="Y14" s="8">
        <f>Y13*Inputs!$B$13*1000</f>
        <v>14194.355322225747</v>
      </c>
      <c r="Z14" s="8">
        <f>Z13*Inputs!$B$13*1000</f>
        <v>27224.919626067385</v>
      </c>
      <c r="AA14" s="8">
        <f>AA13*Inputs!$B$13*1000</f>
        <v>14194.355322225747</v>
      </c>
      <c r="AB14" s="8">
        <f>AB13*Inputs!$B$13*1000</f>
        <v>27224.919626067385</v>
      </c>
      <c r="AC14" s="8">
        <f>AC13*Inputs!$B$13*1000</f>
        <v>14194.355322225747</v>
      </c>
      <c r="AD14" s="8">
        <f>AD13*Inputs!$B$13*1000</f>
        <v>27224.919626067385</v>
      </c>
      <c r="AE14" s="8">
        <f>AE13*Inputs!$B$13*1000</f>
        <v>14194.355322225747</v>
      </c>
      <c r="AF14" s="8">
        <f>AF13*Inputs!$B$13*1000</f>
        <v>27224.919626067385</v>
      </c>
      <c r="AG14" s="8">
        <f>AG13*Inputs!$B$13*1000</f>
        <v>14194.355322225747</v>
      </c>
      <c r="AH14" s="8">
        <f>AH13*Inputs!$B$13*1000</f>
        <v>27224.919626067385</v>
      </c>
      <c r="AI14" s="8">
        <f>AI13*Inputs!$B$13*1000</f>
        <v>14194.355322225747</v>
      </c>
      <c r="AJ14" s="8">
        <f>AJ13*Inputs!$B$13*1000</f>
        <v>27224.919626067385</v>
      </c>
      <c r="AK14" s="8">
        <f>AK13*Inputs!$B$13*1000</f>
        <v>14194.355322225747</v>
      </c>
      <c r="AL14" s="8">
        <f>AL13*Inputs!$B$13*1000</f>
        <v>27224.919626067385</v>
      </c>
      <c r="AM14" s="8">
        <f>AM13*Inputs!$B$13*1000</f>
        <v>14194.355322225747</v>
      </c>
      <c r="AN14" s="8">
        <f>AN13*Inputs!$B$13*1000</f>
        <v>27224.919626067385</v>
      </c>
      <c r="AO14" s="8">
        <f>AO13*Inputs!$B$13*1000</f>
        <v>14194.355322225747</v>
      </c>
      <c r="AP14" s="8">
        <f>AP13*Inputs!$B$13*1000</f>
        <v>27224.919626067385</v>
      </c>
      <c r="AQ14" s="8">
        <f>AQ13*Inputs!$B$13*1000</f>
        <v>14194.355322225747</v>
      </c>
      <c r="AR14" s="8">
        <f>AR13*Inputs!$B$13*1000</f>
        <v>27224.919626067385</v>
      </c>
      <c r="AS14" s="8">
        <f>AS13*Inputs!$B$13*1000</f>
        <v>14194.355322225747</v>
      </c>
      <c r="AT14" s="8">
        <f>AT13*Inputs!$B$13*1000</f>
        <v>27224.919626067385</v>
      </c>
      <c r="AU14" s="8">
        <f>AU13*Inputs!$B$13*1000</f>
        <v>14194.355322225747</v>
      </c>
      <c r="AV14" s="8">
        <f>AV13*Inputs!$B$13*1000</f>
        <v>27224.919626067385</v>
      </c>
      <c r="AW14" s="8">
        <f>AW13*Inputs!$B$13*1000</f>
        <v>14194.355322225747</v>
      </c>
      <c r="AX14" s="8">
        <f>AX13*Inputs!$B$13*1000</f>
        <v>27224.919626067385</v>
      </c>
      <c r="AY14" s="8">
        <f>AY13*Inputs!$B$13*1000</f>
        <v>14194.355322225747</v>
      </c>
      <c r="AZ14" s="8">
        <f>AZ13*Inputs!$B$13*1000</f>
        <v>27224.919626067385</v>
      </c>
      <c r="BA14" s="8">
        <f>BA13*Inputs!$B$13*1000</f>
        <v>14194.355322225747</v>
      </c>
      <c r="BB14" s="8">
        <f>BB13*Inputs!$B$13*1000</f>
        <v>27224.919626067385</v>
      </c>
      <c r="BC14" s="8">
        <f>BC13*Inputs!$B$13*1000</f>
        <v>14194.355322225747</v>
      </c>
      <c r="BD14" s="8">
        <f>BD13*Inputs!$B$13*1000</f>
        <v>27224.919626067385</v>
      </c>
      <c r="BE14" s="8">
        <f>BE13*Inputs!$B$13*1000</f>
        <v>14194.355322225747</v>
      </c>
      <c r="BF14" s="8">
        <f>BF13*Inputs!$B$13*1000</f>
        <v>27224.919626067385</v>
      </c>
      <c r="BG14" s="8">
        <f>BG13*Inputs!$B$13*1000</f>
        <v>14194.355322225747</v>
      </c>
      <c r="BH14" s="8">
        <f>BH13*Inputs!$B$13*1000</f>
        <v>27224.919626067385</v>
      </c>
      <c r="BI14" s="8">
        <f>BI13*Inputs!$B$13*1000</f>
        <v>14194.355322225747</v>
      </c>
      <c r="BJ14" s="8">
        <f>BJ13*Inputs!$B$13*1000</f>
        <v>27224.919626067385</v>
      </c>
      <c r="BK14" s="8">
        <f>BK13*Inputs!$B$13*1000</f>
        <v>14194.355322225747</v>
      </c>
      <c r="BL14" s="8">
        <f>BL13*Inputs!$B$13*1000</f>
        <v>27224.919626067385</v>
      </c>
      <c r="BM14" s="8">
        <f>BM13*Inputs!$B$13*1000</f>
        <v>14194.355322225747</v>
      </c>
      <c r="BN14" s="8">
        <f>BN13*Inputs!$B$13*1000</f>
        <v>27224.919626067385</v>
      </c>
      <c r="BO14" s="8">
        <f>BO13*Inputs!$B$13*1000</f>
        <v>14194.355322225747</v>
      </c>
      <c r="BP14" s="8">
        <f>BP13*Inputs!$B$13*1000</f>
        <v>0</v>
      </c>
      <c r="BQ14" s="8">
        <f>BQ13*Inputs!$B$13*1000</f>
        <v>0</v>
      </c>
      <c r="BR14" s="8">
        <f>BR13*Inputs!$B$13*1000</f>
        <v>0</v>
      </c>
      <c r="BS14" s="8">
        <f>BS13*Inputs!$B$13*1000</f>
        <v>0</v>
      </c>
      <c r="BT14" s="8">
        <f>BT13*Inputs!$B$13*1000</f>
        <v>0</v>
      </c>
      <c r="BU14" s="8">
        <f>BU13*Inputs!$B$13*1000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(1+Inputs!$B$15)^D9</f>
        <v>1</v>
      </c>
      <c r="E15" s="8">
        <f>(1+Inputs!$B$15)^E9</f>
        <v>1</v>
      </c>
      <c r="F15" s="8">
        <f>(1+Inputs!$B$15)^F9</f>
        <v>1</v>
      </c>
      <c r="G15" s="8">
        <f>(1+Inputs!$B$15)^G9</f>
        <v>1</v>
      </c>
      <c r="H15" s="8">
        <f>(1+Inputs!$B$15)^H9</f>
        <v>1</v>
      </c>
      <c r="I15" s="8">
        <f>(1+Inputs!$B$15)^I9</f>
        <v>1</v>
      </c>
      <c r="J15" s="8">
        <f>(1+Inputs!$B$15)^J9</f>
        <v>1</v>
      </c>
      <c r="K15" s="8">
        <f>(1+Inputs!$B$15)^K9</f>
        <v>1</v>
      </c>
      <c r="L15" s="8">
        <f>(1+Inputs!$B$15)^L9</f>
        <v>1</v>
      </c>
      <c r="M15" s="8">
        <f>(1+Inputs!$B$15)^M9</f>
        <v>1</v>
      </c>
      <c r="N15" s="8">
        <f>(1+Inputs!$B$15)^N9</f>
        <v>1</v>
      </c>
      <c r="O15" s="8">
        <f>(1+Inputs!$B$15)^O9</f>
        <v>1</v>
      </c>
      <c r="P15" s="8">
        <f>(1+Inputs!$B$15)^P9</f>
        <v>1</v>
      </c>
      <c r="Q15" s="8">
        <f>(1+Inputs!$B$15)^Q9</f>
        <v>1</v>
      </c>
      <c r="R15" s="8">
        <f>(1+Inputs!$B$15)^R9</f>
        <v>1</v>
      </c>
      <c r="S15" s="8">
        <f>(1+Inputs!$B$15)^S9</f>
        <v>1</v>
      </c>
      <c r="T15" s="8">
        <f>(1+Inputs!$B$15)^T9</f>
        <v>1</v>
      </c>
      <c r="U15" s="8">
        <f>(1+Inputs!$B$15)^U9</f>
        <v>1</v>
      </c>
      <c r="V15" s="8">
        <f>(1+Inputs!$B$15)^V9</f>
        <v>1</v>
      </c>
      <c r="W15" s="8">
        <f>(1+Inputs!$B$15)^W9</f>
        <v>1</v>
      </c>
      <c r="X15" s="8">
        <f>(1+Inputs!$B$15)^X9</f>
        <v>1</v>
      </c>
      <c r="Y15" s="8">
        <f>(1+Inputs!$B$15)^Y9</f>
        <v>1</v>
      </c>
      <c r="Z15" s="8">
        <f>(1+Inputs!$B$15)^Z9</f>
        <v>1</v>
      </c>
      <c r="AA15" s="8">
        <f>(1+Inputs!$B$15)^AA9</f>
        <v>1</v>
      </c>
      <c r="AB15" s="8">
        <f>(1+Inputs!$B$15)^AB9</f>
        <v>1</v>
      </c>
      <c r="AC15" s="8">
        <f>(1+Inputs!$B$15)^AC9</f>
        <v>1</v>
      </c>
      <c r="AD15" s="8">
        <f>(1+Inputs!$B$15)^AD9</f>
        <v>1</v>
      </c>
      <c r="AE15" s="8">
        <f>(1+Inputs!$B$15)^AE9</f>
        <v>1</v>
      </c>
      <c r="AF15" s="8">
        <f>(1+Inputs!$B$15)^AF9</f>
        <v>1</v>
      </c>
      <c r="AG15" s="8">
        <f>(1+Inputs!$B$15)^AG9</f>
        <v>1</v>
      </c>
      <c r="AH15" s="8">
        <f>(1+Inputs!$B$15)^AH9</f>
        <v>1</v>
      </c>
      <c r="AI15" s="8">
        <f>(1+Inputs!$B$15)^AI9</f>
        <v>1</v>
      </c>
      <c r="AJ15" s="8">
        <f>(1+Inputs!$B$15)^AJ9</f>
        <v>1</v>
      </c>
      <c r="AK15" s="8">
        <f>(1+Inputs!$B$15)^AK9</f>
        <v>1</v>
      </c>
      <c r="AL15" s="8">
        <f>(1+Inputs!$B$15)^AL9</f>
        <v>1</v>
      </c>
      <c r="AM15" s="8">
        <f>(1+Inputs!$B$15)^AM9</f>
        <v>1</v>
      </c>
      <c r="AN15" s="8">
        <f>(1+Inputs!$B$15)^AN9</f>
        <v>1</v>
      </c>
      <c r="AO15" s="8">
        <f>(1+Inputs!$B$15)^AO9</f>
        <v>1</v>
      </c>
      <c r="AP15" s="8">
        <f>(1+Inputs!$B$15)^AP9</f>
        <v>1</v>
      </c>
      <c r="AQ15" s="8">
        <f>(1+Inputs!$B$15)^AQ9</f>
        <v>1</v>
      </c>
      <c r="AR15" s="8">
        <f>(1+Inputs!$B$15)^AR9</f>
        <v>1</v>
      </c>
      <c r="AS15" s="8">
        <f>(1+Inputs!$B$15)^AS9</f>
        <v>1</v>
      </c>
      <c r="AT15" s="8">
        <f>(1+Inputs!$B$15)^AT9</f>
        <v>1</v>
      </c>
      <c r="AU15" s="8">
        <f>(1+Inputs!$B$15)^AU9</f>
        <v>1</v>
      </c>
      <c r="AV15" s="8">
        <f>(1+Inputs!$B$15)^AV9</f>
        <v>1</v>
      </c>
      <c r="AW15" s="8">
        <f>(1+Inputs!$B$15)^AW9</f>
        <v>1</v>
      </c>
      <c r="AX15" s="8">
        <f>(1+Inputs!$B$15)^AX9</f>
        <v>1</v>
      </c>
      <c r="AY15" s="8">
        <f>(1+Inputs!$B$15)^AY9</f>
        <v>1</v>
      </c>
      <c r="AZ15" s="8">
        <f>(1+Inputs!$B$15)^AZ9</f>
        <v>1</v>
      </c>
      <c r="BA15" s="8">
        <f>(1+Inputs!$B$15)^BA9</f>
        <v>1</v>
      </c>
      <c r="BB15" s="8">
        <f>(1+Inputs!$B$15)^BB9</f>
        <v>1</v>
      </c>
      <c r="BC15" s="8">
        <f>(1+Inputs!$B$15)^BC9</f>
        <v>1</v>
      </c>
      <c r="BD15" s="8">
        <f>(1+Inputs!$B$15)^BD9</f>
        <v>1</v>
      </c>
      <c r="BE15" s="8">
        <f>(1+Inputs!$B$15)^BE9</f>
        <v>1</v>
      </c>
      <c r="BF15" s="8">
        <f>(1+Inputs!$B$15)^BF9</f>
        <v>1</v>
      </c>
      <c r="BG15" s="8">
        <f>(1+Inputs!$B$15)^BG9</f>
        <v>1</v>
      </c>
      <c r="BH15" s="8">
        <f>(1+Inputs!$B$15)^BH9</f>
        <v>1</v>
      </c>
      <c r="BI15" s="8">
        <f>(1+Inputs!$B$15)^BI9</f>
        <v>1</v>
      </c>
      <c r="BJ15" s="8">
        <f>(1+Inputs!$B$15)^BJ9</f>
        <v>1</v>
      </c>
      <c r="BK15" s="8">
        <f>(1+Inputs!$B$15)^BK9</f>
        <v>1</v>
      </c>
      <c r="BL15" s="8">
        <f>(1+Inputs!$B$15)^BL9</f>
        <v>1</v>
      </c>
      <c r="BM15" s="8">
        <f>(1+Inputs!$B$15)^BM9</f>
        <v>1</v>
      </c>
      <c r="BN15" s="8">
        <f>(1+Inputs!$B$15)^BN9</f>
        <v>1</v>
      </c>
      <c r="BO15" s="8">
        <f>(1+Inputs!$B$15)^BO9</f>
        <v>1</v>
      </c>
      <c r="BP15" s="8">
        <f>(1+Inputs!$B$15)^BP9</f>
        <v>1</v>
      </c>
      <c r="BQ15" s="8">
        <f>(1+Inputs!$B$15)^BQ9</f>
        <v>1</v>
      </c>
      <c r="BR15" s="8">
        <f>(1+Inputs!$B$15)^BR9</f>
        <v>1</v>
      </c>
      <c r="BS15" s="8">
        <f>(1+Inputs!$B$15)^BS9</f>
        <v>1</v>
      </c>
      <c r="BT15" s="8">
        <f>(1+Inputs!$B$15)^BT9</f>
        <v>1</v>
      </c>
      <c r="BU15" s="8">
        <f>(1+Inputs!$B$15)^BU9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Inputs!$B$14 * D15</f>
        <v>65</v>
      </c>
      <c r="E16" s="8">
        <f>Inputs!$B$14 * E15</f>
        <v>65</v>
      </c>
      <c r="F16" s="8">
        <f>Inputs!$B$14 * F15</f>
        <v>65</v>
      </c>
      <c r="G16" s="8">
        <f>Inputs!$B$14 * G15</f>
        <v>65</v>
      </c>
      <c r="H16" s="8">
        <f>Inputs!$B$14 * H15</f>
        <v>65</v>
      </c>
      <c r="I16" s="8">
        <f>Inputs!$B$14 * I15</f>
        <v>65</v>
      </c>
      <c r="J16" s="8">
        <f>Inputs!$B$14 * J15</f>
        <v>65</v>
      </c>
      <c r="K16" s="8">
        <f>Inputs!$B$14 * K15</f>
        <v>65</v>
      </c>
      <c r="L16" s="8">
        <f>Inputs!$B$14 * L15</f>
        <v>65</v>
      </c>
      <c r="M16" s="8">
        <f>Inputs!$B$14 * M15</f>
        <v>65</v>
      </c>
      <c r="N16" s="8">
        <f>Inputs!$B$14 * N15</f>
        <v>65</v>
      </c>
      <c r="O16" s="8">
        <f>Inputs!$B$14 * O15</f>
        <v>65</v>
      </c>
      <c r="P16" s="8">
        <f>Inputs!$B$14 * P15</f>
        <v>65</v>
      </c>
      <c r="Q16" s="8">
        <f>Inputs!$B$14 * Q15</f>
        <v>65</v>
      </c>
      <c r="R16" s="8">
        <f>Inputs!$B$14 * R15</f>
        <v>65</v>
      </c>
      <c r="S16" s="8">
        <f>Inputs!$B$14 * S15</f>
        <v>65</v>
      </c>
      <c r="T16" s="8">
        <f>Inputs!$B$14 * T15</f>
        <v>65</v>
      </c>
      <c r="U16" s="8">
        <f>Inputs!$B$14 * U15</f>
        <v>65</v>
      </c>
      <c r="V16" s="8">
        <f>Inputs!$B$14 * V15</f>
        <v>65</v>
      </c>
      <c r="W16" s="8">
        <f>Inputs!$B$14 * W15</f>
        <v>65</v>
      </c>
      <c r="X16" s="8">
        <f>Inputs!$B$14 * X15</f>
        <v>65</v>
      </c>
      <c r="Y16" s="8">
        <f>Inputs!$B$14 * Y15</f>
        <v>65</v>
      </c>
      <c r="Z16" s="8">
        <f>Inputs!$B$14 * Z15</f>
        <v>65</v>
      </c>
      <c r="AA16" s="8">
        <f>Inputs!$B$14 * AA15</f>
        <v>65</v>
      </c>
      <c r="AB16" s="8">
        <f>Inputs!$B$14 * AB15</f>
        <v>65</v>
      </c>
      <c r="AC16" s="8">
        <f>Inputs!$B$14 * AC15</f>
        <v>65</v>
      </c>
      <c r="AD16" s="8">
        <f>Inputs!$B$14 * AD15</f>
        <v>65</v>
      </c>
      <c r="AE16" s="8">
        <f>Inputs!$B$14 * AE15</f>
        <v>65</v>
      </c>
      <c r="AF16" s="8">
        <f>Inputs!$B$14 * AF15</f>
        <v>65</v>
      </c>
      <c r="AG16" s="8">
        <f>Inputs!$B$14 * AG15</f>
        <v>65</v>
      </c>
      <c r="AH16" s="8">
        <f>Inputs!$B$14 * AH15</f>
        <v>65</v>
      </c>
      <c r="AI16" s="8">
        <f>Inputs!$B$14 * AI15</f>
        <v>65</v>
      </c>
      <c r="AJ16" s="8">
        <f>Inputs!$B$14 * AJ15</f>
        <v>65</v>
      </c>
      <c r="AK16" s="8">
        <f>Inputs!$B$14 * AK15</f>
        <v>65</v>
      </c>
      <c r="AL16" s="8">
        <f>Inputs!$B$14 * AL15</f>
        <v>65</v>
      </c>
      <c r="AM16" s="8">
        <f>Inputs!$B$14 * AM15</f>
        <v>65</v>
      </c>
      <c r="AN16" s="8">
        <f>Inputs!$B$14 * AN15</f>
        <v>65</v>
      </c>
      <c r="AO16" s="8">
        <f>Inputs!$B$14 * AO15</f>
        <v>65</v>
      </c>
      <c r="AP16" s="8">
        <f>Inputs!$B$14 * AP15</f>
        <v>65</v>
      </c>
      <c r="AQ16" s="8">
        <f>Inputs!$B$14 * AQ15</f>
        <v>65</v>
      </c>
      <c r="AR16" s="8">
        <f>Inputs!$B$14 * AR15</f>
        <v>65</v>
      </c>
      <c r="AS16" s="8">
        <f>Inputs!$B$14 * AS15</f>
        <v>65</v>
      </c>
      <c r="AT16" s="8">
        <f>Inputs!$B$14 * AT15</f>
        <v>65</v>
      </c>
      <c r="AU16" s="8">
        <f>Inputs!$B$14 * AU15</f>
        <v>65</v>
      </c>
      <c r="AV16" s="8">
        <f>Inputs!$B$14 * AV15</f>
        <v>65</v>
      </c>
      <c r="AW16" s="8">
        <f>Inputs!$B$14 * AW15</f>
        <v>65</v>
      </c>
      <c r="AX16" s="8">
        <f>Inputs!$B$14 * AX15</f>
        <v>65</v>
      </c>
      <c r="AY16" s="8">
        <f>Inputs!$B$14 * AY15</f>
        <v>65</v>
      </c>
      <c r="AZ16" s="8">
        <f>Inputs!$B$14 * AZ15</f>
        <v>65</v>
      </c>
      <c r="BA16" s="8">
        <f>Inputs!$B$14 * BA15</f>
        <v>65</v>
      </c>
      <c r="BB16" s="8">
        <f>Inputs!$B$14 * BB15</f>
        <v>65</v>
      </c>
      <c r="BC16" s="8">
        <f>Inputs!$B$14 * BC15</f>
        <v>65</v>
      </c>
      <c r="BD16" s="8">
        <f>Inputs!$B$14 * BD15</f>
        <v>65</v>
      </c>
      <c r="BE16" s="8">
        <f>Inputs!$B$14 * BE15</f>
        <v>65</v>
      </c>
      <c r="BF16" s="8">
        <f>Inputs!$B$14 * BF15</f>
        <v>65</v>
      </c>
      <c r="BG16" s="8">
        <f>Inputs!$B$14 * BG15</f>
        <v>65</v>
      </c>
      <c r="BH16" s="8">
        <f>Inputs!$B$14 * BH15</f>
        <v>65</v>
      </c>
      <c r="BI16" s="8">
        <f>Inputs!$B$14 * BI15</f>
        <v>65</v>
      </c>
      <c r="BJ16" s="8">
        <f>Inputs!$B$14 * BJ15</f>
        <v>65</v>
      </c>
      <c r="BK16" s="8">
        <f>Inputs!$B$14 * BK15</f>
        <v>65</v>
      </c>
      <c r="BL16" s="8">
        <f>Inputs!$B$14 * BL15</f>
        <v>65</v>
      </c>
      <c r="BM16" s="8">
        <f>Inputs!$B$14 * BM15</f>
        <v>65</v>
      </c>
      <c r="BN16" s="8">
        <f>Inputs!$B$14 * BN15</f>
        <v>65</v>
      </c>
      <c r="BO16" s="8">
        <f>Inputs!$B$14 * BO15</f>
        <v>65</v>
      </c>
      <c r="BP16" s="8">
        <f>Inputs!$B$14 * BP15</f>
        <v>65</v>
      </c>
      <c r="BQ16" s="8">
        <f>Inputs!$B$14 * BQ15</f>
        <v>65</v>
      </c>
      <c r="BR16" s="8">
        <f>Inputs!$B$14 * BR15</f>
        <v>65</v>
      </c>
      <c r="BS16" s="8">
        <f>Inputs!$B$14 * BS15</f>
        <v>65</v>
      </c>
      <c r="BT16" s="8">
        <f>Inputs!$B$14 * BT15</f>
        <v>65</v>
      </c>
      <c r="BU16" s="8">
        <f>Inputs!$B$14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57" t="s">
        <v>239</v>
      </c>
      <c r="B18" s="57"/>
      <c r="C18" s="57"/>
    </row>
    <row r="19" spans="1:73">
      <c r="A19" t="s">
        <v>238</v>
      </c>
      <c r="B19" t="s">
        <v>165</v>
      </c>
      <c r="C19">
        <f>C13 - INDEX(Data_Energy!N16:N18,C10)*Inputs!$B$10</f>
        <v>0</v>
      </c>
      <c r="D19" s="37" t="s">
        <v>167</v>
      </c>
    </row>
    <row r="20" spans="1:73">
      <c r="A20" t="s">
        <v>235</v>
      </c>
      <c r="B20" t="s">
        <v>165</v>
      </c>
      <c r="C20">
        <f>IF(MIN(D17:BU17)&gt;=0,0,1)</f>
        <v>0</v>
      </c>
      <c r="D20" s="37" t="s">
        <v>167</v>
      </c>
    </row>
    <row r="21" spans="1:73" ht="15.75">
      <c r="A21" s="57" t="s">
        <v>245</v>
      </c>
      <c r="B21" s="57"/>
      <c r="C21" s="57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(1+Inputs!$B$32)^D22</f>
        <v>1.0664710889029547</v>
      </c>
      <c r="E23" s="8">
        <f>(1+Inputs!$B$32)^E22</f>
        <v>1.0771049015547092</v>
      </c>
      <c r="F23" s="8">
        <f>(1+Inputs!$B$32)^F22</f>
        <v>1.0878447442458046</v>
      </c>
      <c r="G23" s="8">
        <f>(1+Inputs!$B$32)^G22</f>
        <v>1.0986321084498547</v>
      </c>
      <c r="H23" s="8">
        <f>(1+Inputs!$B$32)^H22</f>
        <v>1.1095865995148448</v>
      </c>
      <c r="I23" s="8">
        <f>(1+Inputs!$B$32)^I22</f>
        <v>1.1205895618660566</v>
      </c>
      <c r="J23" s="8">
        <f>(1+Inputs!$B$32)^J22</f>
        <v>1.1317629913048732</v>
      </c>
      <c r="K23" s="8">
        <f>(1+Inputs!$B$32)^K22</f>
        <v>1.1429858607855135</v>
      </c>
      <c r="L23" s="8">
        <f>(1+Inputs!$B$32)^L22</f>
        <v>1.1543826043387775</v>
      </c>
      <c r="M23" s="8">
        <f>(1+Inputs!$B$32)^M22</f>
        <v>1.1658929851364512</v>
      </c>
      <c r="N23" s="8">
        <f>(1+Inputs!$B$32)^N22</f>
        <v>1.1775181362586338</v>
      </c>
      <c r="O23" s="8">
        <f>(1+Inputs!$B$32)^O22</f>
        <v>1.1891947261947307</v>
      </c>
      <c r="P23" s="8">
        <f>(1+Inputs!$B$32)^P22</f>
        <v>1.2010522196199085</v>
      </c>
      <c r="Q23" s="8">
        <f>(1+Inputs!$B$32)^Q22</f>
        <v>1.2129621799241295</v>
      </c>
      <c r="R23" s="8">
        <f>(1+Inputs!$B$32)^R22</f>
        <v>1.2250566592861951</v>
      </c>
      <c r="S23" s="8">
        <f>(1+Inputs!$B$32)^S22</f>
        <v>1.2372046541395227</v>
      </c>
      <c r="T23" s="8">
        <f>(1+Inputs!$B$32)^T22</f>
        <v>1.2495408558808483</v>
      </c>
      <c r="U23" s="8">
        <f>(1+Inputs!$B$32)^U22</f>
        <v>1.2620000622300969</v>
      </c>
      <c r="V23" s="8">
        <f>(1+Inputs!$B$32)^V22</f>
        <v>1.2745834996696075</v>
      </c>
      <c r="W23" s="8">
        <f>(1+Inputs!$B$32)^W22</f>
        <v>1.2872226161355711</v>
      </c>
      <c r="X23" s="8">
        <f>(1+Inputs!$B$32)^X22</f>
        <v>1.300057548355972</v>
      </c>
      <c r="Y23" s="8">
        <f>(1+Inputs!$B$32)^Y22</f>
        <v>1.3129492724135841</v>
      </c>
      <c r="Z23" s="8">
        <f>(1+Inputs!$B$32)^Z22</f>
        <v>1.3260407258335405</v>
      </c>
      <c r="AA23" s="8">
        <f>(1+Inputs!$B$32)^AA22</f>
        <v>1.3391901061422966</v>
      </c>
      <c r="AB23" s="8">
        <f>(1+Inputs!$B$32)^AB22</f>
        <v>1.3525432076393555</v>
      </c>
      <c r="AC23" s="8">
        <f>(1+Inputs!$B$32)^AC22</f>
        <v>1.3660294532798583</v>
      </c>
      <c r="AD23" s="8">
        <f>(1+Inputs!$B$32)^AD22</f>
        <v>1.3796501706477327</v>
      </c>
      <c r="AE23" s="8">
        <f>(1+Inputs!$B$32)^AE22</f>
        <v>1.3933311567844771</v>
      </c>
      <c r="AF23" s="8">
        <f>(1+Inputs!$B$32)^AF22</f>
        <v>1.4072241001912593</v>
      </c>
      <c r="AG23" s="8">
        <f>(1+Inputs!$B$32)^AG22</f>
        <v>1.4211785169090643</v>
      </c>
      <c r="AH23" s="8">
        <f>(1+Inputs!$B$32)^AH22</f>
        <v>1.4353491271119672</v>
      </c>
      <c r="AI23" s="8">
        <f>(1+Inputs!$B$32)^AI22</f>
        <v>1.4495824392422354</v>
      </c>
      <c r="AJ23" s="8">
        <f>(1+Inputs!$B$32)^AJ22</f>
        <v>1.4640362657383961</v>
      </c>
      <c r="AK23" s="8">
        <f>(1+Inputs!$B$32)^AK22</f>
        <v>1.4786342117373361</v>
      </c>
      <c r="AL23" s="8">
        <f>(1+Inputs!$B$32)^AL22</f>
        <v>1.493377714258594</v>
      </c>
      <c r="AM23" s="8">
        <f>(1+Inputs!$B$32)^AM22</f>
        <v>1.5081864536335203</v>
      </c>
      <c r="AN23" s="8">
        <f>(1+Inputs!$B$32)^AN22</f>
        <v>1.5232246223740813</v>
      </c>
      <c r="AO23" s="8">
        <f>(1+Inputs!$B$32)^AO22</f>
        <v>1.5383293318034752</v>
      </c>
      <c r="AP23" s="8">
        <f>(1+Inputs!$B$32)^AP22</f>
        <v>1.5536680560139213</v>
      </c>
      <c r="AQ23" s="8">
        <f>(1+Inputs!$B$32)^AQ22</f>
        <v>1.5690746508070417</v>
      </c>
      <c r="AR23" s="8">
        <f>(1+Inputs!$B$32)^AR22</f>
        <v>1.5847199374415462</v>
      </c>
      <c r="AS23" s="8">
        <f>(1+Inputs!$B$32)^AS22</f>
        <v>1.6005212236607422</v>
      </c>
      <c r="AT23" s="8">
        <f>(1+Inputs!$B$32)^AT22</f>
        <v>1.6164800649407927</v>
      </c>
      <c r="AU23" s="8">
        <f>(1+Inputs!$B$32)^AU22</f>
        <v>1.6325095206892712</v>
      </c>
      <c r="AV23" s="8">
        <f>(1+Inputs!$B$32)^AV22</f>
        <v>1.6487873181615613</v>
      </c>
      <c r="AW23" s="8">
        <f>(1+Inputs!$B$32)^AW22</f>
        <v>1.6651371414153926</v>
      </c>
      <c r="AX23" s="8">
        <f>(1+Inputs!$B$32)^AX22</f>
        <v>1.6817402697941497</v>
      </c>
      <c r="AY23" s="8">
        <f>(1+Inputs!$B$32)^AY22</f>
        <v>1.698416863474312</v>
      </c>
      <c r="AZ23" s="8">
        <f>(1+Inputs!$B$32)^AZ22</f>
        <v>1.715351824879918</v>
      </c>
      <c r="BA23" s="8">
        <f>(1+Inputs!$B$32)^BA22</f>
        <v>1.7324556452529403</v>
      </c>
      <c r="BB23" s="8">
        <f>(1+Inputs!$B$32)^BB22</f>
        <v>1.7497300082908027</v>
      </c>
      <c r="BC23" s="8">
        <f>(1+Inputs!$B$32)^BC22</f>
        <v>1.7670808067002528</v>
      </c>
      <c r="BD23" s="8">
        <f>(1+Inputs!$B$32)^BD22</f>
        <v>1.7847004181782262</v>
      </c>
      <c r="BE23" s="8">
        <f>(1+Inputs!$B$32)^BE22</f>
        <v>1.8023979926784888</v>
      </c>
      <c r="BF23" s="8">
        <f>(1+Inputs!$B$32)^BF22</f>
        <v>1.8203697527922644</v>
      </c>
      <c r="BG23" s="8">
        <f>(1+Inputs!$B$32)^BG22</f>
        <v>1.8384210341109248</v>
      </c>
      <c r="BH23" s="8">
        <f>(1+Inputs!$B$32)^BH22</f>
        <v>1.8567519809647113</v>
      </c>
      <c r="BI23" s="8">
        <f>(1+Inputs!$B$32)^BI22</f>
        <v>1.8752657061953342</v>
      </c>
      <c r="BJ23" s="8">
        <f>(1+Inputs!$B$32)^BJ22</f>
        <v>1.8939640322910316</v>
      </c>
      <c r="BK23" s="8">
        <f>(1+Inputs!$B$32)^BK22</f>
        <v>1.9127450944910973</v>
      </c>
      <c r="BL23" s="8">
        <f>(1+Inputs!$B$32)^BL22</f>
        <v>1.9318171286015606</v>
      </c>
      <c r="BM23" s="8">
        <f>(1+Inputs!$B$32)^BM22</f>
        <v>1.950973552394641</v>
      </c>
      <c r="BN23" s="8">
        <f>(1+Inputs!$B$32)^BN22</f>
        <v>1.970426763513597</v>
      </c>
      <c r="BO23" s="8">
        <f>(1+Inputs!$B$32)^BO22</f>
        <v>1.989966050942122</v>
      </c>
      <c r="BP23" s="8">
        <f>(1+Inputs!$B$32)^BP22</f>
        <v>2.0098080573399115</v>
      </c>
      <c r="BQ23" s="8">
        <f>(1+Inputs!$B$32)^BQ22</f>
        <v>2.0298479089309409</v>
      </c>
      <c r="BR23" s="8">
        <f>(1+Inputs!$B$32)^BR22</f>
        <v>2.0500875784350909</v>
      </c>
      <c r="BS23" s="8">
        <f>(1+Inputs!$B$32)^BS22</f>
        <v>2.0704168041594029</v>
      </c>
      <c r="BT23" s="8">
        <f>(1+Inputs!$B$32)^BT22</f>
        <v>2.0910609872371855</v>
      </c>
      <c r="BU23" s="8">
        <f>(1+Inputs!$B$32)^BU22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Inputs!$B$30 * Construction!$C$10 / 2 * D23 * D8</f>
        <v>0</v>
      </c>
      <c r="E24" s="8">
        <f>Inputs!$B$30 * Construction!$C$10 / 2 * E23 * E8</f>
        <v>0</v>
      </c>
      <c r="F24" s="8">
        <f>Inputs!$B$30 * Construction!$C$10 / 2 * F23 * F8</f>
        <v>0</v>
      </c>
      <c r="G24" s="8">
        <f>Inputs!$B$30 * Construction!$C$10 / 2 * G23 * G8</f>
        <v>0</v>
      </c>
      <c r="H24" s="8">
        <f>Inputs!$B$30 * Construction!$C$10 / 2 * H23 * H8</f>
        <v>549245.3667598482</v>
      </c>
      <c r="I24" s="8">
        <f>Inputs!$B$30 * Construction!$C$10 / 2 * I23 * I8</f>
        <v>554691.83312369802</v>
      </c>
      <c r="J24" s="8">
        <f>Inputs!$B$30 * Construction!$C$10 / 2 * J23 * J8</f>
        <v>560222.68069591222</v>
      </c>
      <c r="K24" s="8">
        <f>Inputs!$B$30 * Construction!$C$10 / 2 * K23 * K8</f>
        <v>565778.00108882913</v>
      </c>
      <c r="L24" s="8">
        <f>Inputs!$B$30 * Construction!$C$10 / 2 * L23 * L8</f>
        <v>571419.3891476948</v>
      </c>
      <c r="M24" s="8">
        <f>Inputs!$B$30 * Construction!$C$10 / 2 * M23 * M8</f>
        <v>577117.02764254331</v>
      </c>
      <c r="N24" s="8">
        <f>Inputs!$B$30 * Construction!$C$10 / 2 * N23 * N8</f>
        <v>582871.47744802374</v>
      </c>
      <c r="O24" s="8">
        <f>Inputs!$B$30 * Construction!$C$10 / 2 * O23 * O8</f>
        <v>588651.38946639164</v>
      </c>
      <c r="P24" s="8">
        <f>Inputs!$B$30 * Construction!$C$10 / 2 * P23 * P8</f>
        <v>594520.84871185466</v>
      </c>
      <c r="Q24" s="8">
        <f>Inputs!$B$30 * Construction!$C$10 / 2 * Q23 * Q8</f>
        <v>600416.27906244411</v>
      </c>
      <c r="R24" s="8">
        <f>Inputs!$B$30 * Construction!$C$10 / 2 * R23 * R8</f>
        <v>606403.04634666652</v>
      </c>
      <c r="S24" s="8">
        <f>Inputs!$B$30 * Construction!$C$10 / 2 * S23 * S8</f>
        <v>612416.30379906378</v>
      </c>
      <c r="T24" s="8">
        <f>Inputs!$B$30 * Construction!$C$10 / 2 * T23 * T8</f>
        <v>618522.72366101993</v>
      </c>
      <c r="U24" s="8">
        <f>Inputs!$B$30 * Construction!$C$10 / 2 * U23 * U8</f>
        <v>624690.030803898</v>
      </c>
      <c r="V24" s="8">
        <f>Inputs!$B$30 * Construction!$C$10 / 2 * V23 * V8</f>
        <v>630918.8323364557</v>
      </c>
      <c r="W24" s="8">
        <f>Inputs!$B$30 * Construction!$C$10 / 2 * W23 * W8</f>
        <v>637175.19498710765</v>
      </c>
      <c r="X24" s="8">
        <f>Inputs!$B$30 * Construction!$C$10 / 2 * X23 * X8</f>
        <v>643528.48643620615</v>
      </c>
      <c r="Y24" s="8">
        <f>Inputs!$B$30 * Construction!$C$10 / 2 * Y23 * Y8</f>
        <v>649909.88984472409</v>
      </c>
      <c r="Z24" s="8">
        <f>Inputs!$B$30 * Construction!$C$10 / 2 * Z23 * Z8</f>
        <v>656390.15928760252</v>
      </c>
      <c r="AA24" s="8">
        <f>Inputs!$B$30 * Construction!$C$10 / 2 * AA23 * AA8</f>
        <v>662899.10254043678</v>
      </c>
      <c r="AB24" s="8">
        <f>Inputs!$B$30 * Construction!$C$10 / 2 * AB23 * AB8</f>
        <v>669508.88778148103</v>
      </c>
      <c r="AC24" s="8">
        <f>Inputs!$B$30 * Construction!$C$10 / 2 * AC23 * AC8</f>
        <v>676184.57937352988</v>
      </c>
      <c r="AD24" s="8">
        <f>Inputs!$B$30 * Construction!$C$10 / 2 * AD23 * AD8</f>
        <v>682926.83447062771</v>
      </c>
      <c r="AE24" s="8">
        <f>Inputs!$B$30 * Construction!$C$10 / 2 * AE23 * AE8</f>
        <v>689698.92260831618</v>
      </c>
      <c r="AF24" s="8">
        <f>Inputs!$B$30 * Construction!$C$10 / 2 * AF23 * AF8</f>
        <v>696575.92959467333</v>
      </c>
      <c r="AG24" s="8">
        <f>Inputs!$B$30 * Construction!$C$10 / 2 * AG23 * AG8</f>
        <v>703483.36586998682</v>
      </c>
      <c r="AH24" s="8">
        <f>Inputs!$B$30 * Construction!$C$10 / 2 * AH23 * AH8</f>
        <v>710497.81792042369</v>
      </c>
      <c r="AI24" s="8">
        <f>Inputs!$B$30 * Construction!$C$10 / 2 * AI23 * AI8</f>
        <v>717543.30742490652</v>
      </c>
      <c r="AJ24" s="8">
        <f>Inputs!$B$30 * Construction!$C$10 / 2 * AJ23 * AJ8</f>
        <v>724697.9515405061</v>
      </c>
      <c r="AK24" s="8">
        <f>Inputs!$B$30 * Construction!$C$10 / 2 * AK23 * AK8</f>
        <v>731923.93480998138</v>
      </c>
      <c r="AL24" s="8">
        <f>Inputs!$B$30 * Construction!$C$10 / 2 * AL23 * AL8</f>
        <v>739221.96855800401</v>
      </c>
      <c r="AM24" s="8">
        <f>Inputs!$B$30 * Construction!$C$10 / 2 * AM23 * AM8</f>
        <v>746552.29454859253</v>
      </c>
      <c r="AN24" s="8">
        <f>Inputs!$B$30 * Construction!$C$10 / 2 * AN23 * AN8</f>
        <v>753996.18807517027</v>
      </c>
      <c r="AO24" s="8">
        <f>Inputs!$B$30 * Construction!$C$10 / 2 * AO23 * AO8</f>
        <v>761473.01924272021</v>
      </c>
      <c r="AP24" s="8">
        <f>Inputs!$B$30 * Construction!$C$10 / 2 * AP23 * AP8</f>
        <v>769065.68772689102</v>
      </c>
      <c r="AQ24" s="8">
        <f>Inputs!$B$30 * Construction!$C$10 / 2 * AQ23 * AQ8</f>
        <v>776691.95214948559</v>
      </c>
      <c r="AR24" s="8">
        <f>Inputs!$B$30 * Construction!$C$10 / 2 * AR23 * AR8</f>
        <v>784436.3690335654</v>
      </c>
      <c r="AS24" s="8">
        <f>Inputs!$B$30 * Construction!$C$10 / 2 * AS23 * AS8</f>
        <v>792258.00571206736</v>
      </c>
      <c r="AT24" s="8">
        <f>Inputs!$B$30 * Construction!$C$10 / 2 * AT23 * AT8</f>
        <v>800157.63214569236</v>
      </c>
      <c r="AU24" s="8">
        <f>Inputs!$B$30 * Construction!$C$10 / 2 * AU23 * AU8</f>
        <v>808092.21274118929</v>
      </c>
      <c r="AV24" s="8">
        <f>Inputs!$B$30 * Construction!$C$10 / 2 * AV23 * AV8</f>
        <v>816149.72248997283</v>
      </c>
      <c r="AW24" s="8">
        <f>Inputs!$B$30 * Construction!$C$10 / 2 * AW23 * AW8</f>
        <v>824242.88500061934</v>
      </c>
      <c r="AX24" s="8">
        <f>Inputs!$B$30 * Construction!$C$10 / 2 * AX23 * AX8</f>
        <v>832461.43354810413</v>
      </c>
      <c r="AY24" s="8">
        <f>Inputs!$B$30 * Construction!$C$10 / 2 * AY23 * AY8</f>
        <v>840716.3474197844</v>
      </c>
      <c r="AZ24" s="8">
        <f>Inputs!$B$30 * Construction!$C$10 / 2 * AZ23 * AZ8</f>
        <v>849099.15331555938</v>
      </c>
      <c r="BA24" s="8">
        <f>Inputs!$B$30 * Construction!$C$10 / 2 * BA23 * BA8</f>
        <v>857565.54440020549</v>
      </c>
      <c r="BB24" s="8">
        <f>Inputs!$B$30 * Construction!$C$10 / 2 * BB23 * BB8</f>
        <v>866116.35410394729</v>
      </c>
      <c r="BC24" s="8">
        <f>Inputs!$B$30 * Construction!$C$10 / 2 * BC23 * BC8</f>
        <v>874704.99931662518</v>
      </c>
      <c r="BD24" s="8">
        <f>Inputs!$B$30 * Construction!$C$10 / 2 * BD23 * BD8</f>
        <v>883426.70699822193</v>
      </c>
      <c r="BE24" s="8">
        <f>Inputs!$B$30 * Construction!$C$10 / 2 * BE23 * BE8</f>
        <v>892187.00637585192</v>
      </c>
      <c r="BF24" s="8">
        <f>Inputs!$B$30 * Construction!$C$10 / 2 * BF23 * BF8</f>
        <v>901083.02763217094</v>
      </c>
      <c r="BG24" s="8">
        <f>Inputs!$B$30 * Construction!$C$10 / 2 * BG23 * BG8</f>
        <v>910018.41188490775</v>
      </c>
      <c r="BH24" s="8">
        <f>Inputs!$B$30 * Construction!$C$10 / 2 * BH23 * BH8</f>
        <v>919092.23057753209</v>
      </c>
      <c r="BI24" s="8">
        <f>Inputs!$B$30 * Construction!$C$10 / 2 * BI23 * BI8</f>
        <v>928256.52456669044</v>
      </c>
      <c r="BJ24" s="8">
        <f>Inputs!$B$30 * Construction!$C$10 / 2 * BJ23 * BJ8</f>
        <v>937512.19598406064</v>
      </c>
      <c r="BK24" s="8">
        <f>Inputs!$B$30 * Construction!$C$10 / 2 * BK23 * BK8</f>
        <v>946808.82177309319</v>
      </c>
      <c r="BL24" s="8">
        <f>Inputs!$B$30 * Construction!$C$10 / 2 * BL23 * BL8</f>
        <v>956249.47865777253</v>
      </c>
      <c r="BM24" s="8">
        <f>Inputs!$B$30 * Construction!$C$10 / 2 * BM23 * BM8</f>
        <v>965731.90843534726</v>
      </c>
      <c r="BN24" s="8">
        <f>Inputs!$B$30 * Construction!$C$10 / 2 * BN23 * BN8</f>
        <v>975361.24793923052</v>
      </c>
      <c r="BO24" s="8">
        <f>Inputs!$B$30 * Construction!$C$10 / 2 * BO23 * BO8</f>
        <v>985033.19521635037</v>
      </c>
      <c r="BP24" s="8">
        <f>Inputs!$B$30 * Construction!$C$10 / 2 * BP23 * BP8</f>
        <v>0</v>
      </c>
      <c r="BQ24" s="8">
        <f>Inputs!$B$30 * Construction!$C$10 / 2 * BQ23 * BQ8</f>
        <v>0</v>
      </c>
      <c r="BR24" s="8">
        <f>Inputs!$B$30 * Construction!$C$10 / 2 * BR23 * BR8</f>
        <v>0</v>
      </c>
      <c r="BS24" s="8">
        <f>Inputs!$B$30 * Construction!$C$10 / 2 * BS23 * BS8</f>
        <v>0</v>
      </c>
      <c r="BT24" s="8">
        <f>Inputs!$B$30 * Construction!$C$10 / 2 * BT23 * BT8</f>
        <v>0</v>
      </c>
      <c r="BU24" s="8">
        <f>Inputs!$B$30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Inputs!$B$31 * D23</f>
        <v>0</v>
      </c>
      <c r="E25" s="8">
        <f>E14 * Inputs!$B$31 * E23</f>
        <v>0</v>
      </c>
      <c r="F25" s="8">
        <f>F14 * Inputs!$B$31 * F23</f>
        <v>0</v>
      </c>
      <c r="G25" s="8">
        <f>G14 * Inputs!$B$31 * G23</f>
        <v>0</v>
      </c>
      <c r="H25" s="8">
        <f>H14 * Inputs!$B$31 * H23</f>
        <v>0</v>
      </c>
      <c r="I25" s="8">
        <f>I14 * Inputs!$B$31 * I23</f>
        <v>0</v>
      </c>
      <c r="J25" s="8">
        <f>J14 * Inputs!$B$31 * J23</f>
        <v>0</v>
      </c>
      <c r="K25" s="8">
        <f>K14 * Inputs!$B$31 * K23</f>
        <v>0</v>
      </c>
      <c r="L25" s="8">
        <f>L14 * Inputs!$B$31 * L23</f>
        <v>0</v>
      </c>
      <c r="M25" s="8">
        <f>M14 * Inputs!$B$31 * M23</f>
        <v>0</v>
      </c>
      <c r="N25" s="8">
        <f>N14 * Inputs!$B$31 * N23</f>
        <v>0</v>
      </c>
      <c r="O25" s="8">
        <f>O14 * Inputs!$B$31 * O23</f>
        <v>0</v>
      </c>
      <c r="P25" s="8">
        <f>P14 * Inputs!$B$31 * P23</f>
        <v>0</v>
      </c>
      <c r="Q25" s="8">
        <f>Q14 * Inputs!$B$31 * Q23</f>
        <v>0</v>
      </c>
      <c r="R25" s="8">
        <f>R14 * Inputs!$B$31 * R23</f>
        <v>0</v>
      </c>
      <c r="S25" s="8">
        <f>S14 * Inputs!$B$31 * S23</f>
        <v>0</v>
      </c>
      <c r="T25" s="8">
        <f>T14 * Inputs!$B$31 * T23</f>
        <v>0</v>
      </c>
      <c r="U25" s="8">
        <f>U14 * Inputs!$B$31 * U23</f>
        <v>0</v>
      </c>
      <c r="V25" s="8">
        <f>V14 * Inputs!$B$31 * V23</f>
        <v>0</v>
      </c>
      <c r="W25" s="8">
        <f>W14 * Inputs!$B$31 * W23</f>
        <v>0</v>
      </c>
      <c r="X25" s="8">
        <f>X14 * Inputs!$B$31 * X23</f>
        <v>0</v>
      </c>
      <c r="Y25" s="8">
        <f>Y14 * Inputs!$B$31 * Y23</f>
        <v>0</v>
      </c>
      <c r="Z25" s="8">
        <f>Z14 * Inputs!$B$31 * Z23</f>
        <v>0</v>
      </c>
      <c r="AA25" s="8">
        <f>AA14 * Inputs!$B$31 * AA23</f>
        <v>0</v>
      </c>
      <c r="AB25" s="8">
        <f>AB14 * Inputs!$B$31 * AB23</f>
        <v>0</v>
      </c>
      <c r="AC25" s="8">
        <f>AC14 * Inputs!$B$31 * AC23</f>
        <v>0</v>
      </c>
      <c r="AD25" s="8">
        <f>AD14 * Inputs!$B$31 * AD23</f>
        <v>0</v>
      </c>
      <c r="AE25" s="8">
        <f>AE14 * Inputs!$B$31 * AE23</f>
        <v>0</v>
      </c>
      <c r="AF25" s="8">
        <f>AF14 * Inputs!$B$31 * AF23</f>
        <v>0</v>
      </c>
      <c r="AG25" s="8">
        <f>AG14 * Inputs!$B$31 * AG23</f>
        <v>0</v>
      </c>
      <c r="AH25" s="8">
        <f>AH14 * Inputs!$B$31 * AH23</f>
        <v>0</v>
      </c>
      <c r="AI25" s="8">
        <f>AI14 * Inputs!$B$31 * AI23</f>
        <v>0</v>
      </c>
      <c r="AJ25" s="8">
        <f>AJ14 * Inputs!$B$31 * AJ23</f>
        <v>0</v>
      </c>
      <c r="AK25" s="8">
        <f>AK14 * Inputs!$B$31 * AK23</f>
        <v>0</v>
      </c>
      <c r="AL25" s="8">
        <f>AL14 * Inputs!$B$31 * AL23</f>
        <v>0</v>
      </c>
      <c r="AM25" s="8">
        <f>AM14 * Inputs!$B$31 * AM23</f>
        <v>0</v>
      </c>
      <c r="AN25" s="8">
        <f>AN14 * Inputs!$B$31 * AN23</f>
        <v>0</v>
      </c>
      <c r="AO25" s="8">
        <f>AO14 * Inputs!$B$31 * AO23</f>
        <v>0</v>
      </c>
      <c r="AP25" s="8">
        <f>AP14 * Inputs!$B$31 * AP23</f>
        <v>0</v>
      </c>
      <c r="AQ25" s="8">
        <f>AQ14 * Inputs!$B$31 * AQ23</f>
        <v>0</v>
      </c>
      <c r="AR25" s="8">
        <f>AR14 * Inputs!$B$31 * AR23</f>
        <v>0</v>
      </c>
      <c r="AS25" s="8">
        <f>AS14 * Inputs!$B$31 * AS23</f>
        <v>0</v>
      </c>
      <c r="AT25" s="8">
        <f>AT14 * Inputs!$B$31 * AT23</f>
        <v>0</v>
      </c>
      <c r="AU25" s="8">
        <f>AU14 * Inputs!$B$31 * AU23</f>
        <v>0</v>
      </c>
      <c r="AV25" s="8">
        <f>AV14 * Inputs!$B$31 * AV23</f>
        <v>0</v>
      </c>
      <c r="AW25" s="8">
        <f>AW14 * Inputs!$B$31 * AW23</f>
        <v>0</v>
      </c>
      <c r="AX25" s="8">
        <f>AX14 * Inputs!$B$31 * AX23</f>
        <v>0</v>
      </c>
      <c r="AY25" s="8">
        <f>AY14 * Inputs!$B$31 * AY23</f>
        <v>0</v>
      </c>
      <c r="AZ25" s="8">
        <f>AZ14 * Inputs!$B$31 * AZ23</f>
        <v>0</v>
      </c>
      <c r="BA25" s="8">
        <f>BA14 * Inputs!$B$31 * BA23</f>
        <v>0</v>
      </c>
      <c r="BB25" s="8">
        <f>BB14 * Inputs!$B$31 * BB23</f>
        <v>0</v>
      </c>
      <c r="BC25" s="8">
        <f>BC14 * Inputs!$B$31 * BC23</f>
        <v>0</v>
      </c>
      <c r="BD25" s="8">
        <f>BD14 * Inputs!$B$31 * BD23</f>
        <v>0</v>
      </c>
      <c r="BE25" s="8">
        <f>BE14 * Inputs!$B$31 * BE23</f>
        <v>0</v>
      </c>
      <c r="BF25" s="8">
        <f>BF14 * Inputs!$B$31 * BF23</f>
        <v>0</v>
      </c>
      <c r="BG25" s="8">
        <f>BG14 * Inputs!$B$31 * BG23</f>
        <v>0</v>
      </c>
      <c r="BH25" s="8">
        <f>BH14 * Inputs!$B$31 * BH23</f>
        <v>0</v>
      </c>
      <c r="BI25" s="8">
        <f>BI14 * Inputs!$B$31 * BI23</f>
        <v>0</v>
      </c>
      <c r="BJ25" s="8">
        <f>BJ14 * Inputs!$B$31 * BJ23</f>
        <v>0</v>
      </c>
      <c r="BK25" s="8">
        <f>BK14 * Inputs!$B$31 * BK23</f>
        <v>0</v>
      </c>
      <c r="BL25" s="8">
        <f>BL14 * Inputs!$B$31 * BL23</f>
        <v>0</v>
      </c>
      <c r="BM25" s="8">
        <f>BM14 * Inputs!$B$31 * BM23</f>
        <v>0</v>
      </c>
      <c r="BN25" s="8">
        <f>BN14 * Inputs!$B$31 * BN23</f>
        <v>0</v>
      </c>
      <c r="BO25" s="8">
        <f>BO14 * Inputs!$B$31 * BO23</f>
        <v>0</v>
      </c>
      <c r="BP25" s="8">
        <f>BP14 * Inputs!$B$31 * BP23</f>
        <v>0</v>
      </c>
      <c r="BQ25" s="8">
        <f>BQ14 * Inputs!$B$31 * BQ23</f>
        <v>0</v>
      </c>
      <c r="BR25" s="8">
        <f>BR14 * Inputs!$B$31 * BR23</f>
        <v>0</v>
      </c>
      <c r="BS25" s="8">
        <f>BS14 * Inputs!$B$31 * BS23</f>
        <v>0</v>
      </c>
      <c r="BT25" s="8">
        <f>BT14 * Inputs!$B$31 * BT23</f>
        <v>0</v>
      </c>
      <c r="BU25" s="8">
        <f>BU14 * Inputs!$B$31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57" t="s">
        <v>206</v>
      </c>
      <c r="B29" s="57"/>
      <c r="C29" s="57"/>
    </row>
    <row r="30" spans="1:73">
      <c r="A30" t="s">
        <v>246</v>
      </c>
      <c r="B30" t="s">
        <v>165</v>
      </c>
      <c r="C30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D20" sqref="D20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57" t="s">
        <v>255</v>
      </c>
      <c r="B4" s="57"/>
      <c r="C4" s="57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Inputs!B36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(Inputs!$B$37 * 2) * D7</f>
        <v>0</v>
      </c>
      <c r="E13">
        <f xml:space="preserve"> $C$11 / (Inputs!$B$37 * 2) * E7</f>
        <v>0</v>
      </c>
      <c r="F13">
        <f xml:space="preserve"> $C$11 / (Inputs!$B$37 * 2) * F7</f>
        <v>0</v>
      </c>
      <c r="G13">
        <f xml:space="preserve"> $C$11 / (Inputs!$B$37 * 2) * G7</f>
        <v>0</v>
      </c>
      <c r="H13">
        <f xml:space="preserve"> $C$11 / (Inputs!$B$37 * 2) * H7</f>
        <v>178612.14617946171</v>
      </c>
      <c r="I13">
        <f xml:space="preserve"> $C$11 / (Inputs!$B$37 * 2) * I7</f>
        <v>178612.14617946171</v>
      </c>
      <c r="J13">
        <f xml:space="preserve"> $C$11 / (Inputs!$B$37 * 2) * J7</f>
        <v>178612.14617946171</v>
      </c>
      <c r="K13">
        <f xml:space="preserve"> $C$11 / (Inputs!$B$37 * 2) * K7</f>
        <v>178612.14617946171</v>
      </c>
      <c r="L13">
        <f xml:space="preserve"> $C$11 / (Inputs!$B$37 * 2) * L7</f>
        <v>178612.14617946171</v>
      </c>
      <c r="M13">
        <f xml:space="preserve"> $C$11 / (Inputs!$B$37 * 2) * M7</f>
        <v>178612.14617946171</v>
      </c>
      <c r="N13">
        <f xml:space="preserve"> $C$11 / (Inputs!$B$37 * 2) * N7</f>
        <v>178612.14617946171</v>
      </c>
      <c r="O13">
        <f xml:space="preserve"> $C$11 / (Inputs!$B$37 * 2) * O7</f>
        <v>178612.14617946171</v>
      </c>
      <c r="P13">
        <f xml:space="preserve"> $C$11 / (Inputs!$B$37 * 2) * P7</f>
        <v>178612.14617946171</v>
      </c>
      <c r="Q13">
        <f xml:space="preserve"> $C$11 / (Inputs!$B$37 * 2) * Q7</f>
        <v>178612.14617946171</v>
      </c>
      <c r="R13">
        <f xml:space="preserve"> $C$11 / (Inputs!$B$37 * 2) * R7</f>
        <v>178612.14617946171</v>
      </c>
      <c r="S13">
        <f xml:space="preserve"> $C$11 / (Inputs!$B$37 * 2) * S7</f>
        <v>178612.14617946171</v>
      </c>
      <c r="T13">
        <f xml:space="preserve"> $C$11 / (Inputs!$B$37 * 2) * T7</f>
        <v>178612.14617946171</v>
      </c>
      <c r="U13">
        <f xml:space="preserve"> $C$11 / (Inputs!$B$37 * 2) * U7</f>
        <v>178612.14617946171</v>
      </c>
      <c r="V13">
        <f xml:space="preserve"> $C$11 / (Inputs!$B$37 * 2) * V7</f>
        <v>178612.14617946171</v>
      </c>
      <c r="W13">
        <f xml:space="preserve"> $C$11 / (Inputs!$B$37 * 2) * W7</f>
        <v>178612.14617946171</v>
      </c>
      <c r="X13">
        <f xml:space="preserve"> $C$11 / (Inputs!$B$37 * 2) * X7</f>
        <v>178612.14617946171</v>
      </c>
      <c r="Y13">
        <f xml:space="preserve"> $C$11 / (Inputs!$B$37 * 2) * Y7</f>
        <v>178612.14617946171</v>
      </c>
      <c r="Z13">
        <f xml:space="preserve"> $C$11 / (Inputs!$B$37 * 2) * Z7</f>
        <v>178612.14617946171</v>
      </c>
      <c r="AA13">
        <f xml:space="preserve"> $C$11 / (Inputs!$B$37 * 2) * AA7</f>
        <v>178612.14617946171</v>
      </c>
      <c r="AB13">
        <f xml:space="preserve"> $C$11 / (Inputs!$B$37 * 2) * AB7</f>
        <v>178612.14617946171</v>
      </c>
      <c r="AC13">
        <f xml:space="preserve"> $C$11 / (Inputs!$B$37 * 2) * AC7</f>
        <v>178612.14617946171</v>
      </c>
      <c r="AD13">
        <f xml:space="preserve"> $C$11 / (Inputs!$B$37 * 2) * AD7</f>
        <v>178612.14617946171</v>
      </c>
      <c r="AE13">
        <f xml:space="preserve"> $C$11 / (Inputs!$B$37 * 2) * AE7</f>
        <v>178612.14617946171</v>
      </c>
      <c r="AF13">
        <f xml:space="preserve"> $C$11 / (Inputs!$B$37 * 2) * AF7</f>
        <v>178612.14617946171</v>
      </c>
      <c r="AG13">
        <f xml:space="preserve"> $C$11 / (Inputs!$B$37 * 2) * AG7</f>
        <v>178612.14617946171</v>
      </c>
      <c r="AH13">
        <f xml:space="preserve"> $C$11 / (Inputs!$B$37 * 2) * AH7</f>
        <v>178612.14617946171</v>
      </c>
      <c r="AI13">
        <f xml:space="preserve"> $C$11 / (Inputs!$B$37 * 2) * AI7</f>
        <v>178612.14617946171</v>
      </c>
      <c r="AJ13">
        <f xml:space="preserve"> $C$11 / (Inputs!$B$37 * 2) * AJ7</f>
        <v>178612.14617946171</v>
      </c>
      <c r="AK13">
        <f xml:space="preserve"> $C$11 / (Inputs!$B$37 * 2) * AK7</f>
        <v>178612.14617946171</v>
      </c>
      <c r="AL13">
        <f xml:space="preserve"> $C$11 / (Inputs!$B$37 * 2) * AL7</f>
        <v>178612.14617946171</v>
      </c>
      <c r="AM13">
        <f xml:space="preserve"> $C$11 / (Inputs!$B$37 * 2) * AM7</f>
        <v>178612.14617946171</v>
      </c>
      <c r="AN13">
        <f xml:space="preserve"> $C$11 / (Inputs!$B$37 * 2) * AN7</f>
        <v>178612.14617946171</v>
      </c>
      <c r="AO13">
        <f xml:space="preserve"> $C$11 / (Inputs!$B$37 * 2) * AO7</f>
        <v>178612.14617946171</v>
      </c>
      <c r="AP13">
        <f xml:space="preserve"> $C$11 / (Inputs!$B$37 * 2) * AP7</f>
        <v>178612.14617946171</v>
      </c>
      <c r="AQ13">
        <f xml:space="preserve"> $C$11 / (Inputs!$B$37 * 2) * AQ7</f>
        <v>178612.14617946171</v>
      </c>
      <c r="AR13">
        <f xml:space="preserve"> $C$11 / (Inputs!$B$37 * 2) * AR7</f>
        <v>178612.14617946171</v>
      </c>
      <c r="AS13">
        <f xml:space="preserve"> $C$11 / (Inputs!$B$37 * 2) * AS7</f>
        <v>178612.14617946171</v>
      </c>
      <c r="AT13">
        <f xml:space="preserve"> $C$11 / (Inputs!$B$37 * 2) * AT7</f>
        <v>178612.14617946171</v>
      </c>
      <c r="AU13">
        <f xml:space="preserve"> $C$11 / (Inputs!$B$37 * 2) * AU7</f>
        <v>178612.14617946171</v>
      </c>
      <c r="AV13">
        <f xml:space="preserve"> $C$11 / (Inputs!$B$37 * 2) * AV7</f>
        <v>178612.14617946171</v>
      </c>
      <c r="AW13">
        <f xml:space="preserve"> $C$11 / (Inputs!$B$37 * 2) * AW7</f>
        <v>178612.14617946171</v>
      </c>
      <c r="AX13">
        <f xml:space="preserve"> $C$11 / (Inputs!$B$37 * 2) * AX7</f>
        <v>178612.14617946171</v>
      </c>
      <c r="AY13">
        <f xml:space="preserve"> $C$11 / (Inputs!$B$37 * 2) * AY7</f>
        <v>178612.14617946171</v>
      </c>
      <c r="AZ13">
        <f xml:space="preserve"> $C$11 / (Inputs!$B$37 * 2) * AZ7</f>
        <v>178612.14617946171</v>
      </c>
      <c r="BA13">
        <f xml:space="preserve"> $C$11 / (Inputs!$B$37 * 2) * BA7</f>
        <v>178612.14617946171</v>
      </c>
      <c r="BB13">
        <f xml:space="preserve"> $C$11 / (Inputs!$B$37 * 2) * BB7</f>
        <v>178612.14617946171</v>
      </c>
      <c r="BC13">
        <f xml:space="preserve"> $C$11 / (Inputs!$B$37 * 2) * BC7</f>
        <v>178612.14617946171</v>
      </c>
      <c r="BD13">
        <f xml:space="preserve"> $C$11 / (Inputs!$B$37 * 2) * BD7</f>
        <v>178612.14617946171</v>
      </c>
      <c r="BE13">
        <f xml:space="preserve"> $C$11 / (Inputs!$B$37 * 2) * BE7</f>
        <v>178612.14617946171</v>
      </c>
      <c r="BF13">
        <f xml:space="preserve"> $C$11 / (Inputs!$B$37 * 2) * BF7</f>
        <v>178612.14617946171</v>
      </c>
      <c r="BG13">
        <f xml:space="preserve"> $C$11 / (Inputs!$B$37 * 2) * BG7</f>
        <v>178612.14617946171</v>
      </c>
      <c r="BH13">
        <f xml:space="preserve"> $C$11 / (Inputs!$B$37 * 2) * BH7</f>
        <v>178612.14617946171</v>
      </c>
      <c r="BI13">
        <f xml:space="preserve"> $C$11 / (Inputs!$B$37 * 2) * BI7</f>
        <v>178612.14617946171</v>
      </c>
      <c r="BJ13">
        <f xml:space="preserve"> $C$11 / (Inputs!$B$37 * 2) * BJ7</f>
        <v>178612.14617946171</v>
      </c>
      <c r="BK13">
        <f xml:space="preserve"> $C$11 / (Inputs!$B$37 * 2) * BK7</f>
        <v>178612.14617946171</v>
      </c>
      <c r="BL13">
        <f xml:space="preserve"> $C$11 / (Inputs!$B$37 * 2) * BL7</f>
        <v>178612.14617946171</v>
      </c>
      <c r="BM13">
        <f xml:space="preserve"> $C$11 / (Inputs!$B$37 * 2) * BM7</f>
        <v>178612.14617946171</v>
      </c>
      <c r="BN13">
        <f xml:space="preserve"> $C$11 / (Inputs!$B$37 * 2) * BN7</f>
        <v>178612.14617946171</v>
      </c>
      <c r="BO13">
        <f xml:space="preserve"> $C$11 / (Inputs!$B$37 * 2) * BO7</f>
        <v>178612.14617946171</v>
      </c>
      <c r="BP13">
        <f xml:space="preserve"> $C$11 / (Inputs!$B$37 * 2) * BP7</f>
        <v>0</v>
      </c>
      <c r="BQ13">
        <f xml:space="preserve"> $C$11 / (Inputs!$B$37 * 2) * BQ7</f>
        <v>0</v>
      </c>
      <c r="BR13">
        <f xml:space="preserve"> $C$11 / (Inputs!$B$37 * 2) * BR7</f>
        <v>0</v>
      </c>
      <c r="BS13">
        <f xml:space="preserve"> $C$11 / (Inputs!$B$37 * 2) * BS7</f>
        <v>0</v>
      </c>
      <c r="BT13">
        <f xml:space="preserve"> $C$11 / (Inputs!$B$37 * 2) * BT7</f>
        <v>0</v>
      </c>
      <c r="BU13">
        <f xml:space="preserve"> $C$11 / (Inputs!$B$37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Inputs!$B$38 * 2, $C$12 / (Inputs!$B$38 * 2) * D7,0)</f>
        <v>0</v>
      </c>
      <c r="E14">
        <f>IF(E9 &lt;= Inputs!$B$38 * 2, $C$12 / (Inputs!$B$38 * 2) * E7,0)</f>
        <v>0</v>
      </c>
      <c r="F14">
        <f>IF(F9 &lt;= Inputs!$B$38 * 2, $C$12 / (Inputs!$B$38 * 2) * F7,0)</f>
        <v>0</v>
      </c>
      <c r="G14">
        <f>IF(G9 &lt;= Inputs!$B$38 * 2, $C$12 / (Inputs!$B$38 * 2) * G7,0)</f>
        <v>0</v>
      </c>
      <c r="H14">
        <f>IF(H9 &lt;= Inputs!$B$38 * 2, $C$12 / (Inputs!$B$38 * 2) * H7,0)</f>
        <v>893060.73089730856</v>
      </c>
      <c r="I14">
        <f>IF(I9 &lt;= Inputs!$B$38 * 2, $C$12 / (Inputs!$B$38 * 2) * I7,0)</f>
        <v>893060.73089730856</v>
      </c>
      <c r="J14">
        <f>IF(J9 &lt;= Inputs!$B$38 * 2, $C$12 / (Inputs!$B$38 * 2) * J7,0)</f>
        <v>893060.73089730856</v>
      </c>
      <c r="K14">
        <f>IF(K9 &lt;= Inputs!$B$38 * 2, $C$12 / (Inputs!$B$38 * 2) * K7,0)</f>
        <v>893060.73089730856</v>
      </c>
      <c r="L14">
        <f>IF(L9 &lt;= Inputs!$B$38 * 2, $C$12 / (Inputs!$B$38 * 2) * L7,0)</f>
        <v>893060.73089730856</v>
      </c>
      <c r="M14">
        <f>IF(M9 &lt;= Inputs!$B$38 * 2, $C$12 / (Inputs!$B$38 * 2) * M7,0)</f>
        <v>893060.73089730856</v>
      </c>
      <c r="N14">
        <f>IF(N9 &lt;= Inputs!$B$38 * 2, $C$12 / (Inputs!$B$38 * 2) * N7,0)</f>
        <v>893060.73089730856</v>
      </c>
      <c r="O14">
        <f>IF(O9 &lt;= Inputs!$B$38 * 2, $C$12 / (Inputs!$B$38 * 2) * O7,0)</f>
        <v>893060.73089730856</v>
      </c>
      <c r="P14">
        <f>IF(P9 &lt;= Inputs!$B$38 * 2, $C$12 / (Inputs!$B$38 * 2) * P7,0)</f>
        <v>893060.73089730856</v>
      </c>
      <c r="Q14">
        <f>IF(Q9 &lt;= Inputs!$B$38 * 2, $C$12 / (Inputs!$B$38 * 2) * Q7,0)</f>
        <v>893060.73089730856</v>
      </c>
      <c r="R14">
        <f>IF(R9 &lt;= Inputs!$B$38 * 2, $C$12 / (Inputs!$B$38 * 2) * R7,0)</f>
        <v>893060.73089730856</v>
      </c>
      <c r="S14">
        <f>IF(S9 &lt;= Inputs!$B$38 * 2, $C$12 / (Inputs!$B$38 * 2) * S7,0)</f>
        <v>893060.73089730856</v>
      </c>
      <c r="T14">
        <f>IF(T9 &lt;= Inputs!$B$38 * 2, $C$12 / (Inputs!$B$38 * 2) * T7,0)</f>
        <v>893060.73089730856</v>
      </c>
      <c r="U14">
        <f>IF(U9 &lt;= Inputs!$B$38 * 2, $C$12 / (Inputs!$B$38 * 2) * U7,0)</f>
        <v>893060.73089730856</v>
      </c>
      <c r="V14">
        <f>IF(V9 &lt;= Inputs!$B$38 * 2, $C$12 / (Inputs!$B$38 * 2) * V7,0)</f>
        <v>893060.73089730856</v>
      </c>
      <c r="W14">
        <f>IF(W9 &lt;= Inputs!$B$38 * 2, $C$12 / (Inputs!$B$38 * 2) * W7,0)</f>
        <v>893060.73089730856</v>
      </c>
      <c r="X14">
        <f>IF(X9 &lt;= Inputs!$B$38 * 2, $C$12 / (Inputs!$B$38 * 2) * X7,0)</f>
        <v>893060.73089730856</v>
      </c>
      <c r="Y14">
        <f>IF(Y9 &lt;= Inputs!$B$38 * 2, $C$12 / (Inputs!$B$38 * 2) * Y7,0)</f>
        <v>893060.73089730856</v>
      </c>
      <c r="Z14">
        <f>IF(Z9 &lt;= Inputs!$B$38 * 2, $C$12 / (Inputs!$B$38 * 2) * Z7,0)</f>
        <v>893060.73089730856</v>
      </c>
      <c r="AA14">
        <f>IF(AA9 &lt;= Inputs!$B$38 * 2, $C$12 / (Inputs!$B$38 * 2) * AA7,0)</f>
        <v>893060.73089730856</v>
      </c>
      <c r="AB14">
        <f>IF(AB9 &lt;= Inputs!$B$38 * 2, $C$12 / (Inputs!$B$38 * 2) * AB7,0)</f>
        <v>0</v>
      </c>
      <c r="AC14">
        <f>IF(AC9 &lt;= Inputs!$B$38 * 2, $C$12 / (Inputs!$B$38 * 2) * AC7,0)</f>
        <v>0</v>
      </c>
      <c r="AD14">
        <f>IF(AD9 &lt;= Inputs!$B$38 * 2, $C$12 / (Inputs!$B$38 * 2) * AD7,0)</f>
        <v>0</v>
      </c>
      <c r="AE14">
        <f>IF(AE9 &lt;= Inputs!$B$38 * 2, $C$12 / (Inputs!$B$38 * 2) * AE7,0)</f>
        <v>0</v>
      </c>
      <c r="AF14">
        <f>IF(AF9 &lt;= Inputs!$B$38 * 2, $C$12 / (Inputs!$B$38 * 2) * AF7,0)</f>
        <v>0</v>
      </c>
      <c r="AG14">
        <f>IF(AG9 &lt;= Inputs!$B$38 * 2, $C$12 / (Inputs!$B$38 * 2) * AG7,0)</f>
        <v>0</v>
      </c>
      <c r="AH14">
        <f>IF(AH9 &lt;= Inputs!$B$38 * 2, $C$12 / (Inputs!$B$38 * 2) * AH7,0)</f>
        <v>0</v>
      </c>
      <c r="AI14">
        <f>IF(AI9 &lt;= Inputs!$B$38 * 2, $C$12 / (Inputs!$B$38 * 2) * AI7,0)</f>
        <v>0</v>
      </c>
      <c r="AJ14">
        <f>IF(AJ9 &lt;= Inputs!$B$38 * 2, $C$12 / (Inputs!$B$38 * 2) * AJ7,0)</f>
        <v>0</v>
      </c>
      <c r="AK14">
        <f>IF(AK9 &lt;= Inputs!$B$38 * 2, $C$12 / (Inputs!$B$38 * 2) * AK7,0)</f>
        <v>0</v>
      </c>
      <c r="AL14">
        <f>IF(AL9 &lt;= Inputs!$B$38 * 2, $C$12 / (Inputs!$B$38 * 2) * AL7,0)</f>
        <v>0</v>
      </c>
      <c r="AM14">
        <f>IF(AM9 &lt;= Inputs!$B$38 * 2, $C$12 / (Inputs!$B$38 * 2) * AM7,0)</f>
        <v>0</v>
      </c>
      <c r="AN14">
        <f>IF(AN9 &lt;= Inputs!$B$38 * 2, $C$12 / (Inputs!$B$38 * 2) * AN7,0)</f>
        <v>0</v>
      </c>
      <c r="AO14">
        <f>IF(AO9 &lt;= Inputs!$B$38 * 2, $C$12 / (Inputs!$B$38 * 2) * AO7,0)</f>
        <v>0</v>
      </c>
      <c r="AP14">
        <f>IF(AP9 &lt;= Inputs!$B$38 * 2, $C$12 / (Inputs!$B$38 * 2) * AP7,0)</f>
        <v>0</v>
      </c>
      <c r="AQ14">
        <f>IF(AQ9 &lt;= Inputs!$B$38 * 2, $C$12 / (Inputs!$B$38 * 2) * AQ7,0)</f>
        <v>0</v>
      </c>
      <c r="AR14">
        <f>IF(AR9 &lt;= Inputs!$B$38 * 2, $C$12 / (Inputs!$B$38 * 2) * AR7,0)</f>
        <v>0</v>
      </c>
      <c r="AS14">
        <f>IF(AS9 &lt;= Inputs!$B$38 * 2, $C$12 / (Inputs!$B$38 * 2) * AS7,0)</f>
        <v>0</v>
      </c>
      <c r="AT14">
        <f>IF(AT9 &lt;= Inputs!$B$38 * 2, $C$12 / (Inputs!$B$38 * 2) * AT7,0)</f>
        <v>0</v>
      </c>
      <c r="AU14">
        <f>IF(AU9 &lt;= Inputs!$B$38 * 2, $C$12 / (Inputs!$B$38 * 2) * AU7,0)</f>
        <v>0</v>
      </c>
      <c r="AV14">
        <f>IF(AV9 &lt;= Inputs!$B$38 * 2, $C$12 / (Inputs!$B$38 * 2) * AV7,0)</f>
        <v>0</v>
      </c>
      <c r="AW14">
        <f>IF(AW9 &lt;= Inputs!$B$38 * 2, $C$12 / (Inputs!$B$38 * 2) * AW7,0)</f>
        <v>0</v>
      </c>
      <c r="AX14">
        <f>IF(AX9 &lt;= Inputs!$B$38 * 2, $C$12 / (Inputs!$B$38 * 2) * AX7,0)</f>
        <v>0</v>
      </c>
      <c r="AY14">
        <f>IF(AY9 &lt;= Inputs!$B$38 * 2, $C$12 / (Inputs!$B$38 * 2) * AY7,0)</f>
        <v>0</v>
      </c>
      <c r="AZ14">
        <f>IF(AZ9 &lt;= Inputs!$B$38 * 2, $C$12 / (Inputs!$B$38 * 2) * AZ7,0)</f>
        <v>0</v>
      </c>
      <c r="BA14">
        <f>IF(BA9 &lt;= Inputs!$B$38 * 2, $C$12 / (Inputs!$B$38 * 2) * BA7,0)</f>
        <v>0</v>
      </c>
      <c r="BB14">
        <f>IF(BB9 &lt;= Inputs!$B$38 * 2, $C$12 / (Inputs!$B$38 * 2) * BB7,0)</f>
        <v>0</v>
      </c>
      <c r="BC14">
        <f>IF(BC9 &lt;= Inputs!$B$38 * 2, $C$12 / (Inputs!$B$38 * 2) * BC7,0)</f>
        <v>0</v>
      </c>
      <c r="BD14">
        <f>IF(BD9 &lt;= Inputs!$B$38 * 2, $C$12 / (Inputs!$B$38 * 2) * BD7,0)</f>
        <v>0</v>
      </c>
      <c r="BE14">
        <f>IF(BE9 &lt;= Inputs!$B$38 * 2, $C$12 / (Inputs!$B$38 * 2) * BE7,0)</f>
        <v>0</v>
      </c>
      <c r="BF14">
        <f>IF(BF9 &lt;= Inputs!$B$38 * 2, $C$12 / (Inputs!$B$38 * 2) * BF7,0)</f>
        <v>0</v>
      </c>
      <c r="BG14">
        <f>IF(BG9 &lt;= Inputs!$B$38 * 2, $C$12 / (Inputs!$B$38 * 2) * BG7,0)</f>
        <v>0</v>
      </c>
      <c r="BH14">
        <f>IF(BH9 &lt;= Inputs!$B$38 * 2, $C$12 / (Inputs!$B$38 * 2) * BH7,0)</f>
        <v>0</v>
      </c>
      <c r="BI14">
        <f>IF(BI9 &lt;= Inputs!$B$38 * 2, $C$12 / (Inputs!$B$38 * 2) * BI7,0)</f>
        <v>0</v>
      </c>
      <c r="BJ14">
        <f>IF(BJ9 &lt;= Inputs!$B$38 * 2, $C$12 / (Inputs!$B$38 * 2) * BJ7,0)</f>
        <v>0</v>
      </c>
      <c r="BK14">
        <f>IF(BK9 &lt;= Inputs!$B$38 * 2, $C$12 / (Inputs!$B$38 * 2) * BK7,0)</f>
        <v>0</v>
      </c>
      <c r="BL14">
        <f>IF(BL9 &lt;= Inputs!$B$38 * 2, $C$12 / (Inputs!$B$38 * 2) * BL7,0)</f>
        <v>0</v>
      </c>
      <c r="BM14">
        <f>IF(BM9 &lt;= Inputs!$B$38 * 2, $C$12 / (Inputs!$B$38 * 2) * BM7,0)</f>
        <v>0</v>
      </c>
      <c r="BN14">
        <f>IF(BN9 &lt;= Inputs!$B$38 * 2, $C$12 / (Inputs!$B$38 * 2) * BN7,0)</f>
        <v>0</v>
      </c>
      <c r="BO14">
        <f>IF(BO9 &lt;= Inputs!$B$38 * 2, $C$12 / (Inputs!$B$38 * 2) * BO7,0)</f>
        <v>0</v>
      </c>
      <c r="BP14">
        <f>IF(BP9 &lt;= Inputs!$B$38 * 2, $C$12 / (Inputs!$B$38 * 2) * BP7,0)</f>
        <v>0</v>
      </c>
      <c r="BQ14">
        <f>IF(BQ9 &lt;= Inputs!$B$38 * 2, $C$12 / (Inputs!$B$38 * 2) * BQ7,0)</f>
        <v>0</v>
      </c>
      <c r="BR14">
        <f>IF(BR9 &lt;= Inputs!$B$38 * 2, $C$12 / (Inputs!$B$38 * 2) * BR7,0)</f>
        <v>0</v>
      </c>
      <c r="BS14">
        <f>IF(BS9 &lt;= Inputs!$B$38 * 2, $C$12 / (Inputs!$B$38 * 2) * BS7,0)</f>
        <v>0</v>
      </c>
      <c r="BT14">
        <f>IF(BT9 &lt;= Inputs!$B$38 * 2, $C$12 / (Inputs!$B$38 * 2) * BT7,0)</f>
        <v>0</v>
      </c>
      <c r="BU14">
        <f>IF(BU9 &lt;= Inputs!$B$38 * 2, $C$12 / (Inputs!$B$38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57" t="s">
        <v>239</v>
      </c>
      <c r="B16" s="57"/>
      <c r="C16" s="57"/>
    </row>
    <row r="17" spans="1:73" ht="30">
      <c r="A17" s="52" t="s">
        <v>256</v>
      </c>
      <c r="B17" s="53" t="s">
        <v>165</v>
      </c>
      <c r="C17" s="53">
        <f>C15-(C12+C11*Inputs!$B$10 / Inputs!$B$37)</f>
        <v>0</v>
      </c>
      <c r="D17" s="54" t="s">
        <v>167</v>
      </c>
    </row>
    <row r="18" spans="1:73" ht="15.75">
      <c r="A18" s="57" t="s">
        <v>257</v>
      </c>
      <c r="B18" s="57"/>
      <c r="C18" s="57"/>
    </row>
    <row r="19" spans="1:73">
      <c r="A19" t="s">
        <v>271</v>
      </c>
      <c r="B19" s="55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272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"&gt;="&amp;(D$6-(Inputs!$B$39*2-1)), $D$6:$BU$6,"&lt;="&amp;D$6)</f>
        <v>166463.3101001952</v>
      </c>
      <c r="E28">
        <f>SUMIFS($D$25:$BU$25,$D$6:$BU$6, "&gt;="&amp;(E$6-(Inputs!$B$39*2-1)), $D$6:$BU$6,"&lt;="&amp;E$6)</f>
        <v>296962.97349430644</v>
      </c>
      <c r="F28">
        <f>SUMIFS($D$25:$BU$25,$D$6:$BU$6, "&gt;="&amp;(F$6-(Inputs!$B$39*2-1)), $D$6:$BU$6,"&lt;="&amp;F$6)</f>
        <v>547426.40200183156</v>
      </c>
      <c r="G28">
        <f>SUMIFS($D$25:$BU$25,$D$6:$BU$6, "&gt;="&amp;(G$6-(Inputs!$B$39*2-1)), $D$6:$BU$6,"&lt;="&amp;G$6)</f>
        <v>884259.49304903857</v>
      </c>
      <c r="H28">
        <f>SUMIFS($D$25:$BU$25,$D$6:$BU$6, "&gt;="&amp;(H$6-(Inputs!$B$39*2-1)), $D$6:$BU$6,"&lt;="&amp;H$6)</f>
        <v>1098481.2751931814</v>
      </c>
      <c r="I28">
        <f>SUMIFS($D$25:$BU$25,$D$6:$BU$6, "&gt;="&amp;(I$6-(Inputs!$B$39*2-1)), $D$6:$BU$6,"&lt;="&amp;I$6)</f>
        <v>2140788.6056164815</v>
      </c>
      <c r="J28">
        <f>SUMIFS($D$25:$BU$25,$D$6:$BU$6, "&gt;="&amp;(J$6-(Inputs!$B$39*2-1)), $D$6:$BU$6,"&lt;="&amp;J$6)</f>
        <v>2344611.3023291281</v>
      </c>
      <c r="K28">
        <f>SUMIFS($D$25:$BU$25,$D$6:$BU$6, "&gt;="&amp;(K$6-(Inputs!$B$39*2-1)), $D$6:$BU$6,"&lt;="&amp;K$6)</f>
        <v>3376032.3738429947</v>
      </c>
      <c r="L28">
        <f>SUMIFS($D$25:$BU$25,$D$6:$BU$6, "&gt;="&amp;(L$6-(Inputs!$B$39*2-1)), $D$6:$BU$6,"&lt;="&amp;L$6)</f>
        <v>3568460.1318556746</v>
      </c>
      <c r="M28">
        <f>SUMIFS($D$25:$BU$25,$D$6:$BU$6, "&gt;="&amp;(M$6-(Inputs!$B$39*2-1)), $D$6:$BU$6,"&lt;="&amp;M$6)</f>
        <v>4587985.1822647369</v>
      </c>
      <c r="N28">
        <f>SUMIFS($D$25:$BU$25,$D$6:$BU$6, "&gt;="&amp;(N$6-(Inputs!$B$39*2-1)), $D$6:$BU$6,"&lt;="&amp;N$6)</f>
        <v>4601499.0612261882</v>
      </c>
      <c r="O28">
        <f>SUMIFS($D$25:$BU$25,$D$6:$BU$6, "&gt;="&amp;(O$6-(Inputs!$B$39*2-1)), $D$6:$BU$6,"&lt;="&amp;O$6)</f>
        <v>5477462.2695139935</v>
      </c>
      <c r="P28">
        <f>SUMIFS($D$25:$BU$25,$D$6:$BU$6, "&gt;="&amp;(P$6-(Inputs!$B$39*2-1)), $D$6:$BU$6,"&lt;="&amp;P$6)</f>
        <v>5393306.4951836187</v>
      </c>
      <c r="Q28">
        <f>SUMIFS($D$25:$BU$25,$D$6:$BU$6, "&gt;="&amp;(Q$6-(Inputs!$B$39*2-1)), $D$6:$BU$6,"&lt;="&amp;Q$6)</f>
        <v>6048631.220864838</v>
      </c>
      <c r="R28">
        <f>SUMIFS($D$25:$BU$25,$D$6:$BU$6, "&gt;="&amp;(R$6-(Inputs!$B$39*2-1)), $D$6:$BU$6,"&lt;="&amp;R$6)</f>
        <v>5985748.3614649214</v>
      </c>
      <c r="S28">
        <f>SUMIFS($D$25:$BU$25,$D$6:$BU$6, "&gt;="&amp;(S$6-(Inputs!$B$39*2-1)), $D$6:$BU$6,"&lt;="&amp;S$6)</f>
        <v>5919935.7248853752</v>
      </c>
      <c r="T28">
        <f>SUMIFS($D$25:$BU$25,$D$6:$BU$6, "&gt;="&amp;(T$6-(Inputs!$B$39*2-1)), $D$6:$BU$6,"&lt;="&amp;T$6)</f>
        <v>5851063.6397916125</v>
      </c>
      <c r="U28">
        <f>SUMIFS($D$25:$BU$25,$D$6:$BU$6, "&gt;="&amp;(U$6-(Inputs!$B$39*2-1)), $D$6:$BU$6,"&lt;="&amp;U$6)</f>
        <v>5779024.130450666</v>
      </c>
      <c r="V28">
        <f>SUMIFS($D$25:$BU$25,$D$6:$BU$6, "&gt;="&amp;(V$6-(Inputs!$B$39*2-1)), $D$6:$BU$6,"&lt;="&amp;V$6)</f>
        <v>5703642.949649726</v>
      </c>
      <c r="W28">
        <f>SUMIFS($D$25:$BU$25,$D$6:$BU$6, "&gt;="&amp;(W$6-(Inputs!$B$39*2-1)), $D$6:$BU$6,"&lt;="&amp;W$6)</f>
        <v>5624734.1796980128</v>
      </c>
      <c r="X28">
        <f>SUMIFS($D$25:$BU$25,$D$6:$BU$6, "&gt;="&amp;(X$6-(Inputs!$B$39*2-1)), $D$6:$BU$6,"&lt;="&amp;X$6)</f>
        <v>5542172.6781230699</v>
      </c>
      <c r="Y28">
        <f>SUMIFS($D$25:$BU$25,$D$6:$BU$6, "&gt;="&amp;(Y$6-(Inputs!$B$39*2-1)), $D$6:$BU$6,"&lt;="&amp;Y$6)</f>
        <v>5455789.7352625411</v>
      </c>
      <c r="Z28">
        <f>SUMIFS($D$25:$BU$25,$D$6:$BU$6, "&gt;="&amp;(Z$6-(Inputs!$B$39*2-1)), $D$6:$BU$6,"&lt;="&amp;Z$6)</f>
        <v>5365415.6876662923</v>
      </c>
      <c r="AA28">
        <f>SUMIFS($D$25:$BU$25,$D$6:$BU$6, "&gt;="&amp;(AA$6-(Inputs!$B$39*2-1)), $D$6:$BU$6,"&lt;="&amp;AA$6)</f>
        <v>5270866.5122070722</v>
      </c>
      <c r="AB28">
        <f>SUMIFS($D$25:$BU$25,$D$6:$BU$6, "&gt;="&amp;(AB$6-(Inputs!$B$39*2-1)), $D$6:$BU$6,"&lt;="&amp;AB$6)</f>
        <v>5119527.5894628465</v>
      </c>
      <c r="AC28">
        <f>SUMIFS($D$25:$BU$25,$D$6:$BU$6, "&gt;="&amp;(AC$6-(Inputs!$B$39*2-1)), $D$6:$BU$6,"&lt;="&amp;AC$6)</f>
        <v>4143032.8956190911</v>
      </c>
      <c r="AD28">
        <f>SUMIFS($D$25:$BU$25,$D$6:$BU$6, "&gt;="&amp;(AD$6-(Inputs!$B$39*2-1)), $D$6:$BU$6,"&lt;="&amp;AD$6)</f>
        <v>4008082.2840002072</v>
      </c>
      <c r="AE28">
        <f>SUMIFS($D$25:$BU$25,$D$6:$BU$6, "&gt;="&amp;(AE$6-(Inputs!$B$39*2-1)), $D$6:$BU$6,"&lt;="&amp;AE$6)</f>
        <v>3048700.7218272872</v>
      </c>
      <c r="AF28">
        <f>SUMIFS($D$25:$BU$25,$D$6:$BU$6, "&gt;="&amp;(AF$6-(Inputs!$B$39*2-1)), $D$6:$BU$6,"&lt;="&amp;AF$6)</f>
        <v>2931654.1446155473</v>
      </c>
      <c r="AG28">
        <f>SUMIFS($D$25:$BU$25,$D$6:$BU$6, "&gt;="&amp;(AG$6-(Inputs!$B$39*2-1)), $D$6:$BU$6,"&lt;="&amp;AG$6)</f>
        <v>1991037.8641581992</v>
      </c>
      <c r="AH28">
        <f>SUMIFS($D$25:$BU$25,$D$6:$BU$6, "&gt;="&amp;(AH$6-(Inputs!$B$39*2-1)), $D$6:$BU$6,"&lt;="&amp;AH$6)</f>
        <v>1893622.1766714947</v>
      </c>
      <c r="AI28">
        <f>SUMIFS($D$25:$BU$25,$D$6:$BU$6, "&gt;="&amp;(AI$6-(Inputs!$B$39*2-1)), $D$6:$BU$6,"&lt;="&amp;AI$6)</f>
        <v>973542.24785010668</v>
      </c>
      <c r="AJ28">
        <f>SUMIFS($D$25:$BU$25,$D$6:$BU$6, "&gt;="&amp;(AJ$6-(Inputs!$B$39*2-1)), $D$6:$BU$6,"&lt;="&amp;AJ$6)</f>
        <v>897608.64126920619</v>
      </c>
      <c r="AK28">
        <f>SUMIFS($D$25:$BU$25,$D$6:$BU$6, "&gt;="&amp;(AK$6-(Inputs!$B$39*2-1)), $D$6:$BU$6,"&lt;="&amp;AK$6)</f>
        <v>0</v>
      </c>
      <c r="AL28">
        <f>SUMIFS($D$25:$BU$25,$D$6:$BU$6, "&gt;="&amp;(AL$6-(Inputs!$B$39*2-1)), $D$6:$BU$6,"&lt;="&amp;AL$6)</f>
        <v>0</v>
      </c>
      <c r="AM28">
        <f>SUMIFS($D$25:$BU$25,$D$6:$BU$6, "&gt;="&amp;(AM$6-(Inputs!$B$39*2-1)), $D$6:$BU$6,"&lt;="&amp;AM$6)</f>
        <v>2531.3447833807149</v>
      </c>
      <c r="AN28">
        <f>SUMIFS($D$25:$BU$25,$D$6:$BU$6, "&gt;="&amp;(AN$6-(Inputs!$B$39*2-1)), $D$6:$BU$6,"&lt;="&amp;AN$6)</f>
        <v>2531.3447833807149</v>
      </c>
      <c r="AO28">
        <f>SUMIFS($D$25:$BU$25,$D$6:$BU$6, "&gt;="&amp;(AO$6-(Inputs!$B$39*2-1)), $D$6:$BU$6,"&lt;="&amp;AO$6)</f>
        <v>19983.414260889112</v>
      </c>
      <c r="AP28">
        <f>SUMIFS($D$25:$BU$25,$D$6:$BU$6, "&gt;="&amp;(AP$6-(Inputs!$B$39*2-1)), $D$6:$BU$6,"&lt;="&amp;AP$6)</f>
        <v>19983.414260889112</v>
      </c>
      <c r="AQ28">
        <f>SUMIFS($D$25:$BU$25,$D$6:$BU$6, "&gt;="&amp;(AQ$6-(Inputs!$B$39*2-1)), $D$6:$BU$6,"&lt;="&amp;AQ$6)</f>
        <v>52654.416645162884</v>
      </c>
      <c r="AR28">
        <f>SUMIFS($D$25:$BU$25,$D$6:$BU$6, "&gt;="&amp;(AR$6-(Inputs!$B$39*2-1)), $D$6:$BU$6,"&lt;="&amp;AR$6)</f>
        <v>52654.416645162884</v>
      </c>
      <c r="AS28">
        <f>SUMIFS($D$25:$BU$25,$D$6:$BU$6, "&gt;="&amp;(AS$6-(Inputs!$B$39*2-1)), $D$6:$BU$6,"&lt;="&amp;AS$6)</f>
        <v>100891.47259201843</v>
      </c>
      <c r="AT28">
        <f>SUMIFS($D$25:$BU$25,$D$6:$BU$6, "&gt;="&amp;(AT$6-(Inputs!$B$39*2-1)), $D$6:$BU$6,"&lt;="&amp;AT$6)</f>
        <v>100891.47259201843</v>
      </c>
      <c r="AU28">
        <f>SUMIFS($D$25:$BU$25,$D$6:$BU$6, "&gt;="&amp;(AU$6-(Inputs!$B$39*2-1)), $D$6:$BU$6,"&lt;="&amp;AU$6)</f>
        <v>164962.7355679959</v>
      </c>
      <c r="AV28">
        <f>SUMIFS($D$25:$BU$25,$D$6:$BU$6, "&gt;="&amp;(AV$6-(Inputs!$B$39*2-1)), $D$6:$BU$6,"&lt;="&amp;AV$6)</f>
        <v>164962.7355679959</v>
      </c>
      <c r="AW28">
        <f>SUMIFS($D$25:$BU$25,$D$6:$BU$6, "&gt;="&amp;(AW$6-(Inputs!$B$39*2-1)), $D$6:$BU$6,"&lt;="&amp;AW$6)</f>
        <v>242653.32602002271</v>
      </c>
      <c r="AX28">
        <f>SUMIFS($D$25:$BU$25,$D$6:$BU$6, "&gt;="&amp;(AX$6-(Inputs!$B$39*2-1)), $D$6:$BU$6,"&lt;="&amp;AX$6)</f>
        <v>242653.32602002271</v>
      </c>
      <c r="AY28">
        <f>SUMIFS($D$25:$BU$25,$D$6:$BU$6, "&gt;="&amp;(AY$6-(Inputs!$B$39*2-1)), $D$6:$BU$6,"&lt;="&amp;AY$6)</f>
        <v>321896.65419708693</v>
      </c>
      <c r="AZ28">
        <f>SUMIFS($D$25:$BU$25,$D$6:$BU$6, "&gt;="&amp;(AZ$6-(Inputs!$B$39*2-1)), $D$6:$BU$6,"&lt;="&amp;AZ$6)</f>
        <v>321896.65419708693</v>
      </c>
      <c r="BA28">
        <f>SUMIFS($D$25:$BU$25,$D$6:$BU$6, "&gt;="&amp;(BA$6-(Inputs!$B$39*2-1)), $D$6:$BU$6,"&lt;="&amp;BA$6)</f>
        <v>402770.24644780683</v>
      </c>
      <c r="BB28">
        <f>SUMIFS($D$25:$BU$25,$D$6:$BU$6, "&gt;="&amp;(BB$6-(Inputs!$B$39*2-1)), $D$6:$BU$6,"&lt;="&amp;BB$6)</f>
        <v>402770.24644780683</v>
      </c>
      <c r="BC28">
        <f>SUMIFS($D$25:$BU$25,$D$6:$BU$6, "&gt;="&amp;(BC$6-(Inputs!$B$39*2-1)), $D$6:$BU$6,"&lt;="&amp;BC$6)</f>
        <v>485217.24005236465</v>
      </c>
      <c r="BD28">
        <f>SUMIFS($D$25:$BU$25,$D$6:$BU$6, "&gt;="&amp;(BD$6-(Inputs!$B$39*2-1)), $D$6:$BU$6,"&lt;="&amp;BD$6)</f>
        <v>485217.24005236465</v>
      </c>
      <c r="BE28">
        <f>SUMIFS($D$25:$BU$25,$D$6:$BU$6, "&gt;="&amp;(BE$6-(Inputs!$B$39*2-1)), $D$6:$BU$6,"&lt;="&amp;BE$6)</f>
        <v>569312.03368702729</v>
      </c>
      <c r="BF28">
        <f>SUMIFS($D$25:$BU$25,$D$6:$BU$6, "&gt;="&amp;(BF$6-(Inputs!$B$39*2-1)), $D$6:$BU$6,"&lt;="&amp;BF$6)</f>
        <v>569312.03368702729</v>
      </c>
      <c r="BG28">
        <f>SUMIFS($D$25:$BU$25,$D$6:$BU$6, "&gt;="&amp;(BG$6-(Inputs!$B$39*2-1)), $D$6:$BU$6,"&lt;="&amp;BG$6)</f>
        <v>655087.5605713157</v>
      </c>
      <c r="BH28">
        <f>SUMIFS($D$25:$BU$25,$D$6:$BU$6, "&gt;="&amp;(BH$6-(Inputs!$B$39*2-1)), $D$6:$BU$6,"&lt;="&amp;BH$6)</f>
        <v>655087.5605713157</v>
      </c>
      <c r="BI28">
        <f>SUMIFS($D$25:$BU$25,$D$6:$BU$6, "&gt;="&amp;(BI$6-(Inputs!$B$39*2-1)), $D$6:$BU$6,"&lt;="&amp;BI$6)</f>
        <v>742627.73771822173</v>
      </c>
      <c r="BJ28">
        <f>SUMIFS($D$25:$BU$25,$D$6:$BU$6, "&gt;="&amp;(BJ$6-(Inputs!$B$39*2-1)), $D$6:$BU$6,"&lt;="&amp;BJ$6)</f>
        <v>742627.73771822173</v>
      </c>
      <c r="BK28">
        <f>SUMIFS($D$25:$BU$25,$D$6:$BU$6, "&gt;="&amp;(BK$6-(Inputs!$B$39*2-1)), $D$6:$BU$6,"&lt;="&amp;BK$6)</f>
        <v>831871.01509110944</v>
      </c>
      <c r="BL28">
        <f>SUMIFS($D$25:$BU$25,$D$6:$BU$6, "&gt;="&amp;(BL$6-(Inputs!$B$39*2-1)), $D$6:$BU$6,"&lt;="&amp;BL$6)</f>
        <v>831871.01509110944</v>
      </c>
      <c r="BM28">
        <f>SUMIFS($D$25:$BU$25,$D$6:$BU$6, "&gt;="&amp;(BM$6-(Inputs!$B$39*2-1)), $D$6:$BU$6,"&lt;="&amp;BM$6)</f>
        <v>922897.92420983152</v>
      </c>
      <c r="BN28">
        <f>SUMIFS($D$25:$BU$25,$D$6:$BU$6, "&gt;="&amp;(BN$6-(Inputs!$B$39*2-1)), $D$6:$BU$6,"&lt;="&amp;BN$6)</f>
        <v>922897.92420983152</v>
      </c>
      <c r="BO28">
        <f>SUMIFS($D$25:$BU$25,$D$6:$BU$6, "&gt;="&amp;(BO$6-(Inputs!$B$39*2-1)), $D$6:$BU$6,"&lt;="&amp;BO$6)</f>
        <v>1015744.11305033</v>
      </c>
      <c r="BP28">
        <f>SUMIFS($D$25:$BU$25,$D$6:$BU$6, "&gt;="&amp;(BP$6-(Inputs!$B$39*2-1)), $D$6:$BU$6,"&lt;="&amp;BP$6)</f>
        <v>1015744.11305033</v>
      </c>
      <c r="BQ28">
        <f>SUMIFS($D$25:$BU$25,$D$6:$BU$6, "&gt;="&amp;(BQ$6-(Inputs!$B$39*2-1)), $D$6:$BU$6,"&lt;="&amp;BQ$6)</f>
        <v>849746.650930634</v>
      </c>
      <c r="BR28">
        <f>SUMIFS($D$25:$BU$25,$D$6:$BU$6, "&gt;="&amp;(BR$6-(Inputs!$B$39*2-1)), $D$6:$BU$6,"&lt;="&amp;BR$6)</f>
        <v>849746.650930634</v>
      </c>
      <c r="BS28">
        <f>SUMIFS($D$25:$BU$25,$D$6:$BU$6, "&gt;="&amp;(BS$6-(Inputs!$B$39*2-1)), $D$6:$BU$6,"&lt;="&amp;BS$6)</f>
        <v>665511.07612915535</v>
      </c>
      <c r="BT28">
        <f>SUMIFS($D$25:$BU$25,$D$6:$BU$6, "&gt;="&amp;(BT$6-(Inputs!$B$39*2-1)), $D$6:$BU$6,"&lt;="&amp;BT$6)</f>
        <v>665511.07612915535</v>
      </c>
      <c r="BU28">
        <f>SUMIFS($D$25:$BU$25,$D$6:$BU$6, "&gt;="&amp;(BU$6-(Inputs!$B$39*2-1)),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Inputs!$B$34</f>
        <v>0</v>
      </c>
      <c r="E32">
        <f xml:space="preserve"> E31 * Inputs!$B$34</f>
        <v>0</v>
      </c>
      <c r="F32">
        <f xml:space="preserve"> F31 * Inputs!$B$34</f>
        <v>0</v>
      </c>
      <c r="G32">
        <f xml:space="preserve"> G31 * Inputs!$B$34</f>
        <v>0</v>
      </c>
      <c r="H32">
        <f xml:space="preserve"> H31 * Inputs!$B$34</f>
        <v>0</v>
      </c>
      <c r="I32">
        <f xml:space="preserve"> I31 * Inputs!$B$34</f>
        <v>0</v>
      </c>
      <c r="J32">
        <f xml:space="preserve"> J31 * Inputs!$B$34</f>
        <v>0</v>
      </c>
      <c r="K32">
        <f xml:space="preserve"> K31 * Inputs!$B$34</f>
        <v>0</v>
      </c>
      <c r="L32">
        <f xml:space="preserve"> L31 * Inputs!$B$34</f>
        <v>0</v>
      </c>
      <c r="M32">
        <f xml:space="preserve"> M31 * Inputs!$B$34</f>
        <v>0</v>
      </c>
      <c r="N32">
        <f xml:space="preserve"> N31 * Inputs!$B$34</f>
        <v>0</v>
      </c>
      <c r="O32">
        <f xml:space="preserve"> O31 * Inputs!$B$34</f>
        <v>0</v>
      </c>
      <c r="P32">
        <f xml:space="preserve"> P31 * Inputs!$B$34</f>
        <v>0</v>
      </c>
      <c r="Q32">
        <f xml:space="preserve"> Q31 * Inputs!$B$34</f>
        <v>0</v>
      </c>
      <c r="R32">
        <f xml:space="preserve"> R31 * Inputs!$B$34</f>
        <v>0</v>
      </c>
      <c r="S32">
        <f xml:space="preserve"> S31 * Inputs!$B$34</f>
        <v>0</v>
      </c>
      <c r="T32">
        <f xml:space="preserve"> T31 * Inputs!$B$34</f>
        <v>0</v>
      </c>
      <c r="U32">
        <f xml:space="preserve"> U31 * Inputs!$B$34</f>
        <v>0</v>
      </c>
      <c r="V32">
        <f xml:space="preserve"> V31 * Inputs!$B$34</f>
        <v>0</v>
      </c>
      <c r="W32">
        <f xml:space="preserve"> W31 * Inputs!$B$34</f>
        <v>0</v>
      </c>
      <c r="X32">
        <f xml:space="preserve"> X31 * Inputs!$B$34</f>
        <v>0</v>
      </c>
      <c r="Y32">
        <f xml:space="preserve"> Y31 * Inputs!$B$34</f>
        <v>0</v>
      </c>
      <c r="Z32">
        <f xml:space="preserve"> Z31 * Inputs!$B$34</f>
        <v>0</v>
      </c>
      <c r="AA32">
        <f xml:space="preserve"> AA31 * Inputs!$B$34</f>
        <v>0</v>
      </c>
      <c r="AB32">
        <f xml:space="preserve"> AB31 * Inputs!$B$34</f>
        <v>0</v>
      </c>
      <c r="AC32">
        <f xml:space="preserve"> AC31 * Inputs!$B$34</f>
        <v>0</v>
      </c>
      <c r="AD32">
        <f xml:space="preserve"> AD31 * Inputs!$B$34</f>
        <v>0</v>
      </c>
      <c r="AE32">
        <f xml:space="preserve"> AE31 * Inputs!$B$34</f>
        <v>0</v>
      </c>
      <c r="AF32">
        <f xml:space="preserve"> AF31 * Inputs!$B$34</f>
        <v>0</v>
      </c>
      <c r="AG32">
        <f xml:space="preserve"> AG31 * Inputs!$B$34</f>
        <v>0</v>
      </c>
      <c r="AH32">
        <f xml:space="preserve"> AH31 * Inputs!$B$34</f>
        <v>0</v>
      </c>
      <c r="AI32">
        <f xml:space="preserve"> AI31 * Inputs!$B$34</f>
        <v>0</v>
      </c>
      <c r="AJ32">
        <f xml:space="preserve"> AJ31 * Inputs!$B$34</f>
        <v>0</v>
      </c>
      <c r="AK32">
        <f xml:space="preserve"> AK31 * Inputs!$B$34</f>
        <v>0</v>
      </c>
      <c r="AL32">
        <f xml:space="preserve"> AL31 * Inputs!$B$34</f>
        <v>298124.98133491998</v>
      </c>
      <c r="AM32">
        <f xml:space="preserve"> AM31 * Inputs!$B$34</f>
        <v>0</v>
      </c>
      <c r="AN32">
        <f xml:space="preserve"> AN31 * Inputs!$B$34</f>
        <v>292068.03382972855</v>
      </c>
      <c r="AO32">
        <f xml:space="preserve"> AO31 * Inputs!$B$34</f>
        <v>0</v>
      </c>
      <c r="AP32">
        <f xml:space="preserve"> AP31 * Inputs!$B$34</f>
        <v>281571.45530868159</v>
      </c>
      <c r="AQ32">
        <f xml:space="preserve"> AQ31 * Inputs!$B$34</f>
        <v>0</v>
      </c>
      <c r="AR32">
        <f xml:space="preserve"> AR31 * Inputs!$B$34</f>
        <v>270865.09033397766</v>
      </c>
      <c r="AS32">
        <f xml:space="preserve"> AS31 * Inputs!$B$34</f>
        <v>0</v>
      </c>
      <c r="AT32">
        <f xml:space="preserve"> AT31 * Inputs!$B$34</f>
        <v>259914.52949782962</v>
      </c>
      <c r="AU32">
        <f xml:space="preserve"> AU31 * Inputs!$B$34</f>
        <v>0</v>
      </c>
      <c r="AV32">
        <f xml:space="preserve"> AV31 * Inputs!$B$34</f>
        <v>248775.32541713878</v>
      </c>
      <c r="AW32">
        <f xml:space="preserve"> AW31 * Inputs!$B$34</f>
        <v>0</v>
      </c>
      <c r="AX32">
        <f xml:space="preserve"> AX31 * Inputs!$B$34</f>
        <v>237413.4912559923</v>
      </c>
      <c r="AY32">
        <f xml:space="preserve"> AY31 * Inputs!$B$34</f>
        <v>0</v>
      </c>
      <c r="AZ32">
        <f xml:space="preserve"> AZ31 * Inputs!$B$34</f>
        <v>225824.5774906752</v>
      </c>
      <c r="BA32">
        <f xml:space="preserve"> BA31 * Inputs!$B$34</f>
        <v>0</v>
      </c>
      <c r="BB32">
        <f xml:space="preserve"> BB31 * Inputs!$B$34</f>
        <v>213971.33827159205</v>
      </c>
      <c r="BC32">
        <f xml:space="preserve"> BC31 * Inputs!$B$34</f>
        <v>0</v>
      </c>
      <c r="BD32">
        <f xml:space="preserve"> BD31 * Inputs!$B$34</f>
        <v>201913.90553784903</v>
      </c>
      <c r="BE32">
        <f xml:space="preserve"> BE31 * Inputs!$B$34</f>
        <v>0</v>
      </c>
      <c r="BF32">
        <f xml:space="preserve"> BF31 * Inputs!$B$34</f>
        <v>189615.49084523751</v>
      </c>
      <c r="BG32">
        <f xml:space="preserve"> BG31 * Inputs!$B$34</f>
        <v>0</v>
      </c>
      <c r="BH32">
        <f xml:space="preserve"> BH31 * Inputs!$B$34</f>
        <v>177071.27788619159</v>
      </c>
      <c r="BI32">
        <f xml:space="preserve"> BI31 * Inputs!$B$34</f>
        <v>0</v>
      </c>
      <c r="BJ32">
        <f xml:space="preserve"> BJ31 * Inputs!$B$34</f>
        <v>164240.95055528264</v>
      </c>
      <c r="BK32">
        <f xml:space="preserve"> BK31 * Inputs!$B$34</f>
        <v>0</v>
      </c>
      <c r="BL32">
        <f xml:space="preserve"> BL31 * Inputs!$B$34</f>
        <v>151189.59759724251</v>
      </c>
      <c r="BM32">
        <f xml:space="preserve"> BM31 * Inputs!$B$34</f>
        <v>0</v>
      </c>
      <c r="BN32">
        <f xml:space="preserve"> BN31 * Inputs!$B$34</f>
        <v>137877.39801694331</v>
      </c>
      <c r="BO32">
        <f xml:space="preserve"> BO31 * Inputs!$B$34</f>
        <v>0</v>
      </c>
      <c r="BP32">
        <f xml:space="preserve"> BP31 * Inputs!$B$34</f>
        <v>0</v>
      </c>
      <c r="BQ32">
        <f xml:space="preserve"> BQ31 * Inputs!$B$34</f>
        <v>0</v>
      </c>
      <c r="BR32">
        <f xml:space="preserve"> BR31 * Inputs!$B$34</f>
        <v>0</v>
      </c>
      <c r="BS32">
        <f xml:space="preserve"> BS31 * Inputs!$B$34</f>
        <v>0</v>
      </c>
      <c r="BT32">
        <f xml:space="preserve"> BT31 * Inputs!$B$34</f>
        <v>0</v>
      </c>
      <c r="BU32">
        <f xml:space="preserve"> BU31 * Inputs!$B$34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57" t="s">
        <v>206</v>
      </c>
      <c r="B34" s="57"/>
      <c r="C34" s="57"/>
    </row>
    <row r="35" spans="1:73">
      <c r="A35" t="s">
        <v>268</v>
      </c>
      <c r="B35" t="s">
        <v>165</v>
      </c>
      <c r="C35">
        <f>IF(MIN(D32:BU32)&gt;=0,0,1)</f>
        <v>0</v>
      </c>
      <c r="D35" s="37" t="s">
        <v>167</v>
      </c>
    </row>
    <row r="36" spans="1:73" ht="30">
      <c r="A36" s="52" t="s">
        <v>269</v>
      </c>
      <c r="B36" t="s">
        <v>165</v>
      </c>
      <c r="C36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1"/>
  <sheetViews>
    <sheetView zoomScale="85" zoomScaleNormal="85" workbookViewId="0">
      <pane xSplit="3" topLeftCell="D1" activePane="topRight" state="frozen"/>
      <selection pane="topRight" activeCell="D29" sqref="D29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57" t="s">
        <v>285</v>
      </c>
      <c r="B4" s="57"/>
      <c r="C4" s="57"/>
    </row>
    <row r="5" spans="1:73">
      <c r="A5" t="s">
        <v>273</v>
      </c>
      <c r="B5" t="s">
        <v>13</v>
      </c>
      <c r="C5" t="s">
        <v>274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275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276</v>
      </c>
      <c r="B10" t="s">
        <v>184</v>
      </c>
      <c r="C10">
        <f>SUM(D10:BU10)</f>
        <v>12963649.757217973</v>
      </c>
      <c r="D10">
        <f>D8/Inputs!$B$45 * D7</f>
        <v>0</v>
      </c>
      <c r="E10">
        <f>E8/Inputs!$B$45 * E7</f>
        <v>0</v>
      </c>
      <c r="F10">
        <f>F8/Inputs!$B$45 * F7</f>
        <v>0</v>
      </c>
      <c r="G10">
        <f>G8/Inputs!$B$45 * G7</f>
        <v>0</v>
      </c>
      <c r="H10">
        <f>H8/Inputs!$B$45 * H7</f>
        <v>903981.04365520866</v>
      </c>
      <c r="I10">
        <f>I8/Inputs!$B$45 * I7</f>
        <v>272549.08357109292</v>
      </c>
      <c r="J10">
        <f>J8/Inputs!$B$45 * J7</f>
        <v>895849.6999988649</v>
      </c>
      <c r="K10">
        <f>K8/Inputs!$B$45 * K7</f>
        <v>264337.10730062547</v>
      </c>
      <c r="L10">
        <f>L8/Inputs!$B$45 * L7</f>
        <v>887555.84188643354</v>
      </c>
      <c r="M10">
        <f>M8/Inputs!$B$45 * M7</f>
        <v>255937.8283719483</v>
      </c>
      <c r="N10">
        <f>N8/Inputs!$B$45 * N7</f>
        <v>879072.81351581938</v>
      </c>
      <c r="O10">
        <f>O8/Inputs!$B$45 * O7</f>
        <v>247393.85665057914</v>
      </c>
      <c r="P10">
        <f>P8/Inputs!$B$45 * P7</f>
        <v>870443.64961668535</v>
      </c>
      <c r="Q10">
        <f>Q8/Inputs!$B$45 * Q7</f>
        <v>238679.12361646621</v>
      </c>
      <c r="R10">
        <f>R8/Inputs!$B$45 * R7</f>
        <v>861642.02173904702</v>
      </c>
      <c r="S10">
        <f>S8/Inputs!$B$45 * S7</f>
        <v>229790.21640415533</v>
      </c>
      <c r="T10">
        <f>T8/Inputs!$B$45 * T7</f>
        <v>852664.48298767407</v>
      </c>
      <c r="U10">
        <f>U8/Inputs!$B$45 * U7</f>
        <v>220698.5667709448</v>
      </c>
      <c r="V10">
        <f>V8/Inputs!$B$45 * V7</f>
        <v>843482.18026512919</v>
      </c>
      <c r="W10">
        <f>W8/Inputs!$B$45 * W7</f>
        <v>211450.29700560434</v>
      </c>
      <c r="X10">
        <f>X8/Inputs!$B$45 * X7</f>
        <v>834141.69574679539</v>
      </c>
      <c r="Y10">
        <f>Y8/Inputs!$B$45 * Y7</f>
        <v>202017.18970366623</v>
      </c>
      <c r="Z10">
        <f>Z8/Inputs!$B$45 * Z7</f>
        <v>824614.53067168687</v>
      </c>
      <c r="AA10">
        <f>AA8/Inputs!$B$45 * AA7</f>
        <v>192395.55066980497</v>
      </c>
      <c r="AB10">
        <f>AB8/Inputs!$B$45 * AB7</f>
        <v>814896.95400955481</v>
      </c>
      <c r="AC10">
        <f>AC8/Inputs!$B$45 * AC7</f>
        <v>182554.45671936564</v>
      </c>
      <c r="AD10">
        <f>AD8/Inputs!$B$45 * AD7</f>
        <v>804957.73423981643</v>
      </c>
      <c r="AE10">
        <f>AE8/Inputs!$B$45 * AE7</f>
        <v>172543.83210100542</v>
      </c>
      <c r="AF10">
        <f>AF8/Inputs!$B$45 * AF7</f>
        <v>0</v>
      </c>
      <c r="AG10">
        <f>AG8/Inputs!$B$45 * AG7</f>
        <v>0</v>
      </c>
      <c r="AH10">
        <f>AH8/Inputs!$B$45 * AH7</f>
        <v>0</v>
      </c>
      <c r="AI10">
        <f>AI8/Inputs!$B$45 * AI7</f>
        <v>0</v>
      </c>
      <c r="AJ10">
        <f>AJ8/Inputs!$B$45 * AJ7</f>
        <v>0</v>
      </c>
      <c r="AK10">
        <f>AK8/Inputs!$B$45 * AK7</f>
        <v>0</v>
      </c>
      <c r="AL10">
        <f>AL8/Inputs!$B$45 * AL7</f>
        <v>0</v>
      </c>
      <c r="AM10">
        <f>AM8/Inputs!$B$45 * AM7</f>
        <v>0</v>
      </c>
      <c r="AN10">
        <f>AN8/Inputs!$B$45 * AN7</f>
        <v>0</v>
      </c>
      <c r="AO10">
        <f>AO8/Inputs!$B$45 * AO7</f>
        <v>0</v>
      </c>
      <c r="AP10">
        <f>AP8/Inputs!$B$45 * AP7</f>
        <v>0</v>
      </c>
      <c r="AQ10">
        <f>AQ8/Inputs!$B$45 * AQ7</f>
        <v>0</v>
      </c>
      <c r="AR10">
        <f>AR8/Inputs!$B$45 * AR7</f>
        <v>0</v>
      </c>
      <c r="AS10">
        <f>AS8/Inputs!$B$45 * AS7</f>
        <v>0</v>
      </c>
      <c r="AT10">
        <f>AT8/Inputs!$B$45 * AT7</f>
        <v>0</v>
      </c>
      <c r="AU10">
        <f>AU8/Inputs!$B$45 * AU7</f>
        <v>0</v>
      </c>
      <c r="AV10">
        <f>AV8/Inputs!$B$45 * AV7</f>
        <v>0</v>
      </c>
      <c r="AW10">
        <f>AW8/Inputs!$B$45 * AW7</f>
        <v>0</v>
      </c>
      <c r="AX10">
        <f>AX8/Inputs!$B$45 * AX7</f>
        <v>0</v>
      </c>
      <c r="AY10">
        <f>AY8/Inputs!$B$45 * AY7</f>
        <v>0</v>
      </c>
      <c r="AZ10">
        <f>AZ8/Inputs!$B$45 * AZ7</f>
        <v>0</v>
      </c>
      <c r="BA10">
        <f>BA8/Inputs!$B$45 * BA7</f>
        <v>0</v>
      </c>
      <c r="BB10">
        <f>BB8/Inputs!$B$45 * BB7</f>
        <v>0</v>
      </c>
      <c r="BC10">
        <f>BC8/Inputs!$B$45 * BC7</f>
        <v>0</v>
      </c>
      <c r="BD10">
        <f>BD8/Inputs!$B$45 * BD7</f>
        <v>0</v>
      </c>
      <c r="BE10">
        <f>BE8/Inputs!$B$45 * BE7</f>
        <v>0</v>
      </c>
      <c r="BF10">
        <f>BF8/Inputs!$B$45 * BF7</f>
        <v>0</v>
      </c>
      <c r="BG10">
        <f>BG8/Inputs!$B$45 * BG7</f>
        <v>0</v>
      </c>
      <c r="BH10">
        <f>BH8/Inputs!$B$45 * BH7</f>
        <v>0</v>
      </c>
      <c r="BI10">
        <f>BI8/Inputs!$B$45 * BI7</f>
        <v>0</v>
      </c>
      <c r="BJ10">
        <f>BJ8/Inputs!$B$45 * BJ7</f>
        <v>0</v>
      </c>
      <c r="BK10">
        <f>BK8/Inputs!$B$45 * BK7</f>
        <v>0</v>
      </c>
      <c r="BL10">
        <f>BL8/Inputs!$B$45 * BL7</f>
        <v>0</v>
      </c>
      <c r="BM10">
        <f>BM8/Inputs!$B$45 * BM7</f>
        <v>0</v>
      </c>
      <c r="BN10">
        <f>BN8/Inputs!$B$45 * BN7</f>
        <v>0</v>
      </c>
      <c r="BO10">
        <f>BO8/Inputs!$B$45 * BO7</f>
        <v>0</v>
      </c>
      <c r="BP10">
        <f>BP8/Inputs!$B$45 * BP7</f>
        <v>0</v>
      </c>
      <c r="BQ10">
        <f>BQ8/Inputs!$B$45 * BQ7</f>
        <v>0</v>
      </c>
      <c r="BR10">
        <f>BR8/Inputs!$B$45 * BR7</f>
        <v>0</v>
      </c>
      <c r="BS10">
        <f>BS8/Inputs!$B$45 * BS7</f>
        <v>0</v>
      </c>
      <c r="BT10">
        <f>BT8/Inputs!$B$45 * BT7</f>
        <v>0</v>
      </c>
      <c r="BU10">
        <f>BU8/Inputs!$B$45 * BU7</f>
        <v>0</v>
      </c>
    </row>
    <row r="11" spans="1:73">
      <c r="A11" t="s">
        <v>277</v>
      </c>
      <c r="B11" t="s">
        <v>39</v>
      </c>
      <c r="D11">
        <f>1/(1+Inputs!$B$43)^D9 * D7</f>
        <v>0</v>
      </c>
      <c r="E11">
        <f>1/(1+Inputs!$B$43)^E9 * E7</f>
        <v>0</v>
      </c>
      <c r="F11">
        <f>1/(1+Inputs!$B$43)^F9 * F7</f>
        <v>0</v>
      </c>
      <c r="G11">
        <f>1/(1+Inputs!$B$43)^G9 * G7</f>
        <v>0</v>
      </c>
      <c r="H11">
        <f>1/(1+Inputs!$B$43)^H9 * H7</f>
        <v>0.95693779904306231</v>
      </c>
      <c r="I11">
        <f>1/(1+Inputs!$B$43)^I9 * I7</f>
        <v>0.91572995123738021</v>
      </c>
      <c r="J11">
        <f>1/(1+Inputs!$B$43)^J9 * J7</f>
        <v>0.87629660405490928</v>
      </c>
      <c r="K11">
        <f>1/(1+Inputs!$B$43)^K9 * K7</f>
        <v>0.83856134359321488</v>
      </c>
      <c r="L11">
        <f>1/(1+Inputs!$B$43)^L9 * L7</f>
        <v>0.80245104650068411</v>
      </c>
      <c r="M11">
        <f>1/(1+Inputs!$B$43)^M9 * M7</f>
        <v>0.76789573827816682</v>
      </c>
      <c r="N11">
        <f>1/(1+Inputs!$B$43)^N9 * N7</f>
        <v>0.73482845768245619</v>
      </c>
      <c r="O11">
        <f>1/(1+Inputs!$B$43)^O9 * O7</f>
        <v>0.70318512696885782</v>
      </c>
      <c r="P11">
        <f>1/(1+Inputs!$B$43)^P9 * P7</f>
        <v>0.67290442772139514</v>
      </c>
      <c r="Q11">
        <f>1/(1+Inputs!$B$43)^Q9 * Q7</f>
        <v>0.64392768203004325</v>
      </c>
      <c r="R11">
        <f>1/(1+Inputs!$B$43)^R9 * R7</f>
        <v>0.61619873878473042</v>
      </c>
      <c r="S11">
        <f>1/(1+Inputs!$B$43)^S9 * S7</f>
        <v>0.58966386486577083</v>
      </c>
      <c r="T11">
        <f>1/(1+Inputs!$B$43)^T9 * T7</f>
        <v>0.56427164101987637</v>
      </c>
      <c r="U11">
        <f>1/(1+Inputs!$B$43)^U9 * U7</f>
        <v>0.53997286221997753</v>
      </c>
      <c r="V11">
        <f>1/(1+Inputs!$B$43)^V9 * V7</f>
        <v>0.51672044231576797</v>
      </c>
      <c r="W11">
        <f>1/(1+Inputs!$B$43)^W9 * W7</f>
        <v>0.49446932279020878</v>
      </c>
      <c r="X11">
        <f>1/(1+Inputs!$B$43)^X9 * X7</f>
        <v>0.47317638544517582</v>
      </c>
      <c r="Y11">
        <f>1/(1+Inputs!$B$43)^Y9 * Y7</f>
        <v>0.45280036884705832</v>
      </c>
      <c r="Z11">
        <f>1/(1+Inputs!$B$43)^Z9 * Z7</f>
        <v>0.43330178837039074</v>
      </c>
      <c r="AA11">
        <f>1/(1+Inputs!$B$43)^AA9 * AA7</f>
        <v>0.41464285968458453</v>
      </c>
      <c r="AB11">
        <f>1/(1+Inputs!$B$43)^AB9 * AB7</f>
        <v>0.39678742553548757</v>
      </c>
      <c r="AC11">
        <f>1/(1+Inputs!$B$43)^AC9 * AC7</f>
        <v>0.37970088567989252</v>
      </c>
      <c r="AD11">
        <f>1/(1+Inputs!$B$43)^AD9 * AD7</f>
        <v>0.36335012983721771</v>
      </c>
      <c r="AE11">
        <f>1/(1+Inputs!$B$43)^AE9 * AE7</f>
        <v>0.34770347352843806</v>
      </c>
      <c r="AF11">
        <f>1/(1+Inputs!$B$43)^AF9 * AF7</f>
        <v>0</v>
      </c>
      <c r="AG11">
        <f>1/(1+Inputs!$B$43)^AG9 * AG7</f>
        <v>0</v>
      </c>
      <c r="AH11">
        <f>1/(1+Inputs!$B$43)^AH9 * AH7</f>
        <v>0</v>
      </c>
      <c r="AI11">
        <f>1/(1+Inputs!$B$43)^AI9 * AI7</f>
        <v>0</v>
      </c>
      <c r="AJ11">
        <f>1/(1+Inputs!$B$43)^AJ9 * AJ7</f>
        <v>0</v>
      </c>
      <c r="AK11">
        <f>1/(1+Inputs!$B$43)^AK9 * AK7</f>
        <v>0</v>
      </c>
      <c r="AL11">
        <f>1/(1+Inputs!$B$43)^AL9 * AL7</f>
        <v>0</v>
      </c>
      <c r="AM11">
        <f>1/(1+Inputs!$B$43)^AM9 * AM7</f>
        <v>0</v>
      </c>
      <c r="AN11">
        <f>1/(1+Inputs!$B$43)^AN9 * AN7</f>
        <v>0</v>
      </c>
      <c r="AO11">
        <f>1/(1+Inputs!$B$43)^AO9 * AO7</f>
        <v>0</v>
      </c>
      <c r="AP11">
        <f>1/(1+Inputs!$B$43)^AP9 * AP7</f>
        <v>0</v>
      </c>
      <c r="AQ11">
        <f>1/(1+Inputs!$B$43)^AQ9 * AQ7</f>
        <v>0</v>
      </c>
      <c r="AR11">
        <f>1/(1+Inputs!$B$43)^AR9 * AR7</f>
        <v>0</v>
      </c>
      <c r="AS11">
        <f>1/(1+Inputs!$B$43)^AS9 * AS7</f>
        <v>0</v>
      </c>
      <c r="AT11">
        <f>1/(1+Inputs!$B$43)^AT9 * AT7</f>
        <v>0</v>
      </c>
      <c r="AU11">
        <f>1/(1+Inputs!$B$43)^AU9 * AU7</f>
        <v>0</v>
      </c>
      <c r="AV11">
        <f>1/(1+Inputs!$B$43)^AV9 * AV7</f>
        <v>0</v>
      </c>
      <c r="AW11">
        <f>1/(1+Inputs!$B$43)^AW9 * AW7</f>
        <v>0</v>
      </c>
      <c r="AX11">
        <f>1/(1+Inputs!$B$43)^AX9 * AX7</f>
        <v>0</v>
      </c>
      <c r="AY11">
        <f>1/(1+Inputs!$B$43)^AY9 * AY7</f>
        <v>0</v>
      </c>
      <c r="AZ11">
        <f>1/(1+Inputs!$B$43)^AZ9 * AZ7</f>
        <v>0</v>
      </c>
      <c r="BA11">
        <f>1/(1+Inputs!$B$43)^BA9 * BA7</f>
        <v>0</v>
      </c>
      <c r="BB11">
        <f>1/(1+Inputs!$B$43)^BB9 * BB7</f>
        <v>0</v>
      </c>
      <c r="BC11">
        <f>1/(1+Inputs!$B$43)^BC9 * BC7</f>
        <v>0</v>
      </c>
      <c r="BD11">
        <f>1/(1+Inputs!$B$43)^BD9 * BD7</f>
        <v>0</v>
      </c>
      <c r="BE11">
        <f>1/(1+Inputs!$B$43)^BE9 * BE7</f>
        <v>0</v>
      </c>
      <c r="BF11">
        <f>1/(1+Inputs!$B$43)^BF9 * BF7</f>
        <v>0</v>
      </c>
      <c r="BG11">
        <f>1/(1+Inputs!$B$43)^BG9 * BG7</f>
        <v>0</v>
      </c>
      <c r="BH11">
        <f>1/(1+Inputs!$B$43)^BH9 * BH7</f>
        <v>0</v>
      </c>
      <c r="BI11">
        <f>1/(1+Inputs!$B$43)^BI9 * BI7</f>
        <v>0</v>
      </c>
      <c r="BJ11">
        <f>1/(1+Inputs!$B$43)^BJ9 * BJ7</f>
        <v>0</v>
      </c>
      <c r="BK11">
        <f>1/(1+Inputs!$B$43)^BK9 * BK7</f>
        <v>0</v>
      </c>
      <c r="BL11">
        <f>1/(1+Inputs!$B$43)^BL9 * BL7</f>
        <v>0</v>
      </c>
      <c r="BM11">
        <f>1/(1+Inputs!$B$43)^BM9 * BM7</f>
        <v>0</v>
      </c>
      <c r="BN11">
        <f>1/(1+Inputs!$B$43)^BN9 * BN7</f>
        <v>0</v>
      </c>
      <c r="BO11">
        <f>1/(1+Inputs!$B$43)^BO9 * BO7</f>
        <v>0</v>
      </c>
      <c r="BP11">
        <f>1/(1+Inputs!$B$43)^BP9 * BP7</f>
        <v>0</v>
      </c>
      <c r="BQ11">
        <f>1/(1+Inputs!$B$43)^BQ9 * BQ7</f>
        <v>0</v>
      </c>
      <c r="BR11">
        <f>1/(1+Inputs!$B$43)^BR9 * BR7</f>
        <v>0</v>
      </c>
      <c r="BS11">
        <f>1/(1+Inputs!$B$43)^BS9 * BS7</f>
        <v>0</v>
      </c>
      <c r="BT11">
        <f>1/(1+Inputs!$B$43)^BT9 * BT7</f>
        <v>0</v>
      </c>
      <c r="BU11">
        <f>1/(1+Inputs!$B$43)^BU9 * BU7</f>
        <v>0</v>
      </c>
    </row>
    <row r="12" spans="1:73">
      <c r="A12" t="s">
        <v>278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279</v>
      </c>
      <c r="B13" t="s">
        <v>184</v>
      </c>
      <c r="C13">
        <f>SUM(D12:BU12)</f>
        <v>8064962.5333756506</v>
      </c>
    </row>
    <row r="14" spans="1:73">
      <c r="A14" t="s">
        <v>280</v>
      </c>
      <c r="B14" t="s">
        <v>184</v>
      </c>
      <c r="C14">
        <f>Inputs!$B$48 * Construction!$C$53</f>
        <v>26036467.654788174</v>
      </c>
    </row>
    <row r="15" spans="1:73">
      <c r="A15" t="s">
        <v>281</v>
      </c>
      <c r="B15" t="s">
        <v>184</v>
      </c>
      <c r="C15">
        <f>MIN(C13,C14)</f>
        <v>8064962.5333756506</v>
      </c>
    </row>
    <row r="16" spans="1:73">
      <c r="A16" t="s">
        <v>282</v>
      </c>
      <c r="B16" t="s">
        <v>131</v>
      </c>
      <c r="C16" t="str">
        <f>IF(C15=C13,"DSCR","Gearing")</f>
        <v>DSCR</v>
      </c>
    </row>
    <row r="17" spans="1:73">
      <c r="A17" t="s">
        <v>283</v>
      </c>
      <c r="B17" t="s">
        <v>39</v>
      </c>
      <c r="C17">
        <f>C15/C13</f>
        <v>1</v>
      </c>
    </row>
    <row r="18" spans="1:73">
      <c r="A18" t="s">
        <v>284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57" t="s">
        <v>286</v>
      </c>
      <c r="B19" s="57"/>
      <c r="C19" s="57"/>
    </row>
    <row r="20" spans="1:73">
      <c r="A20" t="s">
        <v>287</v>
      </c>
      <c r="B20" t="s">
        <v>184</v>
      </c>
      <c r="C20" s="48">
        <v>8064962.5333756506</v>
      </c>
    </row>
    <row r="21" spans="1:73">
      <c r="A21" t="s">
        <v>288</v>
      </c>
      <c r="B21" t="s">
        <v>39</v>
      </c>
      <c r="C21" s="48">
        <v>1</v>
      </c>
    </row>
    <row r="22" spans="1:73">
      <c r="A22" t="s">
        <v>289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290</v>
      </c>
      <c r="B24" t="s">
        <v>184</v>
      </c>
      <c r="C24">
        <f>SUM(D24:BU24)</f>
        <v>4898687.2238423498</v>
      </c>
      <c r="D24">
        <f>D23*Inputs!$B$43*D7</f>
        <v>0</v>
      </c>
      <c r="E24">
        <f>E23*Inputs!$B$43*E7</f>
        <v>0</v>
      </c>
      <c r="F24">
        <f>F23*Inputs!$B$43*F7</f>
        <v>0</v>
      </c>
      <c r="G24">
        <f>G23*Inputs!$B$43*G7</f>
        <v>0</v>
      </c>
      <c r="H24">
        <f>H23*Inputs!$B$43*H7</f>
        <v>362923.31400190428</v>
      </c>
      <c r="I24">
        <f>I23*Inputs!$B$43*I7</f>
        <v>338575.71616750554</v>
      </c>
      <c r="J24">
        <f>J23*Inputs!$B$43*J7</f>
        <v>341546.91463434411</v>
      </c>
      <c r="K24">
        <f>K23*Inputs!$B$43*K7</f>
        <v>316603.2892929407</v>
      </c>
      <c r="L24">
        <f>L23*Inputs!$B$43*L7</f>
        <v>318955.26748259494</v>
      </c>
      <c r="M24">
        <f>M23*Inputs!$B$43*M7</f>
        <v>293368.24163442221</v>
      </c>
      <c r="N24">
        <f>N23*Inputs!$B$43*N7</f>
        <v>295052.61023123353</v>
      </c>
      <c r="O24">
        <f>O23*Inputs!$B$43*O7</f>
        <v>268771.70108342718</v>
      </c>
      <c r="P24">
        <f>P23*Inputs!$B$43*P7</f>
        <v>269733.70408290531</v>
      </c>
      <c r="Q24">
        <f>Q23*Inputs!$B$43*Q7</f>
        <v>242701.7565338852</v>
      </c>
      <c r="R24">
        <f>R23*Inputs!$B$43*R7</f>
        <v>242882.77501516906</v>
      </c>
      <c r="S24">
        <f>S23*Inputs!$B$43*S7</f>
        <v>215038.60891259453</v>
      </c>
      <c r="T24">
        <f>T23*Inputs!$B$43*T7</f>
        <v>214374.78657547428</v>
      </c>
      <c r="U24">
        <f>U23*Inputs!$B$43*U7</f>
        <v>185651.75023692529</v>
      </c>
      <c r="V24">
        <f>V23*Inputs!$B$43*V7</f>
        <v>184074.64349289442</v>
      </c>
      <c r="W24">
        <f>W23*Inputs!$B$43*W7</f>
        <v>154401.30433814385</v>
      </c>
      <c r="X24">
        <f>X23*Inputs!$B$43*X7</f>
        <v>151834.09966810813</v>
      </c>
      <c r="Y24">
        <f>Y23*Inputs!$B$43*Y7</f>
        <v>121130.25784456721</v>
      </c>
      <c r="Z24">
        <f>Z23*Inputs!$B$43*Z7</f>
        <v>117490.34591090777</v>
      </c>
      <c r="AA24">
        <f>AA23*Inputs!$B$43*AA7</f>
        <v>85669.757596672702</v>
      </c>
      <c r="AB24">
        <f>AB23*Inputs!$B$43*AB7</f>
        <v>80867.096908381762</v>
      </c>
      <c r="AC24">
        <f>AC23*Inputs!$B$43*AC7</f>
        <v>47835.753338828967</v>
      </c>
      <c r="AD24">
        <f>AD23*Inputs!$B$43*AD7</f>
        <v>41773.411686704814</v>
      </c>
      <c r="AE24">
        <f>AE23*Inputs!$B$43*AE7</f>
        <v>7430.1171718147962</v>
      </c>
      <c r="AF24">
        <f>AF23*Inputs!$B$43*AF7</f>
        <v>0</v>
      </c>
      <c r="AG24">
        <f>AG23*Inputs!$B$43*AG7</f>
        <v>0</v>
      </c>
      <c r="AH24">
        <f>AH23*Inputs!$B$43*AH7</f>
        <v>0</v>
      </c>
      <c r="AI24">
        <f>AI23*Inputs!$B$43*AI7</f>
        <v>0</v>
      </c>
      <c r="AJ24">
        <f>AJ23*Inputs!$B$43*AJ7</f>
        <v>0</v>
      </c>
      <c r="AK24">
        <f>AK23*Inputs!$B$43*AK7</f>
        <v>0</v>
      </c>
      <c r="AL24">
        <f>AL23*Inputs!$B$43*AL7</f>
        <v>0</v>
      </c>
      <c r="AM24">
        <f>AM23*Inputs!$B$43*AM7</f>
        <v>0</v>
      </c>
      <c r="AN24">
        <f>AN23*Inputs!$B$43*AN7</f>
        <v>0</v>
      </c>
      <c r="AO24">
        <f>AO23*Inputs!$B$43*AO7</f>
        <v>0</v>
      </c>
      <c r="AP24">
        <f>AP23*Inputs!$B$43*AP7</f>
        <v>0</v>
      </c>
      <c r="AQ24">
        <f>AQ23*Inputs!$B$43*AQ7</f>
        <v>0</v>
      </c>
      <c r="AR24">
        <f>AR23*Inputs!$B$43*AR7</f>
        <v>0</v>
      </c>
      <c r="AS24">
        <f>AS23*Inputs!$B$43*AS7</f>
        <v>0</v>
      </c>
      <c r="AT24">
        <f>AT23*Inputs!$B$43*AT7</f>
        <v>0</v>
      </c>
      <c r="AU24">
        <f>AU23*Inputs!$B$43*AU7</f>
        <v>0</v>
      </c>
      <c r="AV24">
        <f>AV23*Inputs!$B$43*AV7</f>
        <v>0</v>
      </c>
      <c r="AW24">
        <f>AW23*Inputs!$B$43*AW7</f>
        <v>0</v>
      </c>
      <c r="AX24">
        <f>AX23*Inputs!$B$43*AX7</f>
        <v>0</v>
      </c>
      <c r="AY24">
        <f>AY23*Inputs!$B$43*AY7</f>
        <v>0</v>
      </c>
      <c r="AZ24">
        <f>AZ23*Inputs!$B$43*AZ7</f>
        <v>0</v>
      </c>
      <c r="BA24">
        <f>BA23*Inputs!$B$43*BA7</f>
        <v>0</v>
      </c>
      <c r="BB24">
        <f>BB23*Inputs!$B$43*BB7</f>
        <v>0</v>
      </c>
      <c r="BC24">
        <f>BC23*Inputs!$B$43*BC7</f>
        <v>0</v>
      </c>
      <c r="BD24">
        <f>BD23*Inputs!$B$43*BD7</f>
        <v>0</v>
      </c>
      <c r="BE24">
        <f>BE23*Inputs!$B$43*BE7</f>
        <v>0</v>
      </c>
      <c r="BF24">
        <f>BF23*Inputs!$B$43*BF7</f>
        <v>0</v>
      </c>
      <c r="BG24">
        <f>BG23*Inputs!$B$43*BG7</f>
        <v>0</v>
      </c>
      <c r="BH24">
        <f>BH23*Inputs!$B$43*BH7</f>
        <v>0</v>
      </c>
      <c r="BI24">
        <f>BI23*Inputs!$B$43*BI7</f>
        <v>0</v>
      </c>
      <c r="BJ24">
        <f>BJ23*Inputs!$B$43*BJ7</f>
        <v>0</v>
      </c>
      <c r="BK24">
        <f>BK23*Inputs!$B$43*BK7</f>
        <v>0</v>
      </c>
      <c r="BL24">
        <f>BL23*Inputs!$B$43*BL7</f>
        <v>0</v>
      </c>
      <c r="BM24">
        <f>BM23*Inputs!$B$43*BM7</f>
        <v>0</v>
      </c>
      <c r="BN24">
        <f>BN23*Inputs!$B$43*BN7</f>
        <v>0</v>
      </c>
      <c r="BO24">
        <f>BO23*Inputs!$B$43*BO7</f>
        <v>0</v>
      </c>
      <c r="BP24">
        <f>BP23*Inputs!$B$43*BP7</f>
        <v>0</v>
      </c>
      <c r="BQ24">
        <f>BQ23*Inputs!$B$43*BQ7</f>
        <v>0</v>
      </c>
      <c r="BR24">
        <f>BR23*Inputs!$B$43*BR7</f>
        <v>0</v>
      </c>
      <c r="BS24">
        <f>BS23*Inputs!$B$43*BS7</f>
        <v>0</v>
      </c>
      <c r="BT24">
        <f>BT23*Inputs!$B$43*BT7</f>
        <v>0</v>
      </c>
      <c r="BU24">
        <f>BU23*Inputs!$B$43*BU7</f>
        <v>0</v>
      </c>
    </row>
    <row r="25" spans="1:73">
      <c r="A25" t="s">
        <v>291</v>
      </c>
      <c r="B25" t="s">
        <v>184</v>
      </c>
      <c r="C25">
        <f>SUM(D25:BU25)</f>
        <v>12963649.757217973</v>
      </c>
      <c r="D25">
        <f>D10*$C$21</f>
        <v>0</v>
      </c>
      <c r="E25">
        <f t="shared" ref="E25:BP25" si="6">E10*$C$21</f>
        <v>0</v>
      </c>
      <c r="F25">
        <f t="shared" si="6"/>
        <v>0</v>
      </c>
      <c r="G25">
        <f t="shared" si="6"/>
        <v>0</v>
      </c>
      <c r="H25">
        <f t="shared" si="6"/>
        <v>903981.04365520866</v>
      </c>
      <c r="I25">
        <f t="shared" si="6"/>
        <v>272549.08357109292</v>
      </c>
      <c r="J25">
        <f t="shared" si="6"/>
        <v>895849.6999988649</v>
      </c>
      <c r="K25">
        <f t="shared" si="6"/>
        <v>264337.10730062547</v>
      </c>
      <c r="L25">
        <f t="shared" si="6"/>
        <v>887555.84188643354</v>
      </c>
      <c r="M25">
        <f t="shared" si="6"/>
        <v>255937.8283719483</v>
      </c>
      <c r="N25">
        <f t="shared" si="6"/>
        <v>879072.81351581938</v>
      </c>
      <c r="O25">
        <f t="shared" si="6"/>
        <v>247393.85665057914</v>
      </c>
      <c r="P25">
        <f t="shared" si="6"/>
        <v>870443.64961668535</v>
      </c>
      <c r="Q25">
        <f t="shared" si="6"/>
        <v>238679.12361646621</v>
      </c>
      <c r="R25">
        <f t="shared" si="6"/>
        <v>861642.02173904702</v>
      </c>
      <c r="S25">
        <f t="shared" si="6"/>
        <v>229790.21640415533</v>
      </c>
      <c r="T25">
        <f t="shared" si="6"/>
        <v>852664.48298767407</v>
      </c>
      <c r="U25">
        <f t="shared" si="6"/>
        <v>220698.5667709448</v>
      </c>
      <c r="V25">
        <f t="shared" si="6"/>
        <v>843482.18026512919</v>
      </c>
      <c r="W25">
        <f t="shared" si="6"/>
        <v>211450.29700560434</v>
      </c>
      <c r="X25">
        <f t="shared" si="6"/>
        <v>834141.69574679539</v>
      </c>
      <c r="Y25">
        <f t="shared" si="6"/>
        <v>202017.18970366623</v>
      </c>
      <c r="Z25">
        <f t="shared" si="6"/>
        <v>824614.53067168687</v>
      </c>
      <c r="AA25">
        <f t="shared" si="6"/>
        <v>192395.55066980497</v>
      </c>
      <c r="AB25">
        <f t="shared" si="6"/>
        <v>814896.95400955481</v>
      </c>
      <c r="AC25">
        <f t="shared" si="6"/>
        <v>182554.45671936564</v>
      </c>
      <c r="AD25">
        <f t="shared" si="6"/>
        <v>804957.73423981643</v>
      </c>
      <c r="AE25">
        <f t="shared" si="6"/>
        <v>172543.83210100542</v>
      </c>
      <c r="AF25">
        <f t="shared" si="6"/>
        <v>0</v>
      </c>
      <c r="AG25">
        <f t="shared" si="6"/>
        <v>0</v>
      </c>
      <c r="AH25">
        <f t="shared" si="6"/>
        <v>0</v>
      </c>
      <c r="AI25">
        <f t="shared" si="6"/>
        <v>0</v>
      </c>
      <c r="AJ25">
        <f t="shared" si="6"/>
        <v>0</v>
      </c>
      <c r="AK25">
        <f t="shared" si="6"/>
        <v>0</v>
      </c>
      <c r="AL25">
        <f t="shared" si="6"/>
        <v>0</v>
      </c>
      <c r="AM25">
        <f t="shared" si="6"/>
        <v>0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6"/>
        <v>0</v>
      </c>
      <c r="AS25">
        <f t="shared" si="6"/>
        <v>0</v>
      </c>
      <c r="AT25">
        <f t="shared" si="6"/>
        <v>0</v>
      </c>
      <c r="AU25">
        <f t="shared" si="6"/>
        <v>0</v>
      </c>
      <c r="AV25">
        <f t="shared" si="6"/>
        <v>0</v>
      </c>
      <c r="AW25">
        <f t="shared" si="6"/>
        <v>0</v>
      </c>
      <c r="AX25">
        <f t="shared" si="6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C25">
        <f t="shared" si="6"/>
        <v>0</v>
      </c>
      <c r="BD25">
        <f t="shared" si="6"/>
        <v>0</v>
      </c>
      <c r="BE25">
        <f t="shared" si="6"/>
        <v>0</v>
      </c>
      <c r="BF25">
        <f t="shared" si="6"/>
        <v>0</v>
      </c>
      <c r="BG25">
        <f t="shared" si="6"/>
        <v>0</v>
      </c>
      <c r="BH25">
        <f t="shared" si="6"/>
        <v>0</v>
      </c>
      <c r="BI25">
        <f t="shared" si="6"/>
        <v>0</v>
      </c>
      <c r="BJ25">
        <f t="shared" si="6"/>
        <v>0</v>
      </c>
      <c r="BK25">
        <f t="shared" si="6"/>
        <v>0</v>
      </c>
      <c r="BL25">
        <f t="shared" si="6"/>
        <v>0</v>
      </c>
      <c r="BM25">
        <f t="shared" si="6"/>
        <v>0</v>
      </c>
      <c r="BN25">
        <f t="shared" si="6"/>
        <v>0</v>
      </c>
      <c r="BO25">
        <f t="shared" si="6"/>
        <v>0</v>
      </c>
      <c r="BP25">
        <f t="shared" si="6"/>
        <v>0</v>
      </c>
      <c r="BQ25">
        <f t="shared" ref="BQ25:BU25" si="7">BQ10*$C$21</f>
        <v>0</v>
      </c>
      <c r="BR25">
        <f t="shared" si="7"/>
        <v>0</v>
      </c>
      <c r="BS25">
        <f t="shared" si="7"/>
        <v>0</v>
      </c>
      <c r="BT25">
        <f t="shared" si="7"/>
        <v>0</v>
      </c>
      <c r="BU25">
        <f t="shared" si="7"/>
        <v>0</v>
      </c>
    </row>
    <row r="26" spans="1:73">
      <c r="A26" t="s">
        <v>292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8">E25-E24</f>
        <v>0</v>
      </c>
      <c r="F26">
        <f t="shared" si="8"/>
        <v>0</v>
      </c>
      <c r="G26">
        <f t="shared" si="8"/>
        <v>0</v>
      </c>
      <c r="H26">
        <f t="shared" si="8"/>
        <v>541057.72965330444</v>
      </c>
      <c r="I26">
        <f t="shared" si="8"/>
        <v>-66026.632596412615</v>
      </c>
      <c r="J26">
        <f t="shared" si="8"/>
        <v>554302.78536452074</v>
      </c>
      <c r="K26">
        <f t="shared" si="8"/>
        <v>-52266.181992315222</v>
      </c>
      <c r="L26">
        <f t="shared" si="8"/>
        <v>568600.5744038386</v>
      </c>
      <c r="M26">
        <f t="shared" si="8"/>
        <v>-37430.413262473914</v>
      </c>
      <c r="N26">
        <f t="shared" si="8"/>
        <v>584020.20328458585</v>
      </c>
      <c r="O26">
        <f t="shared" si="8"/>
        <v>-21377.84443284804</v>
      </c>
      <c r="P26">
        <f t="shared" si="8"/>
        <v>600709.94553378003</v>
      </c>
      <c r="Q26">
        <f t="shared" si="8"/>
        <v>-4022.6329174189887</v>
      </c>
      <c r="R26">
        <f t="shared" si="8"/>
        <v>618759.24672387796</v>
      </c>
      <c r="S26">
        <f t="shared" si="8"/>
        <v>14751.607491560804</v>
      </c>
      <c r="T26">
        <f t="shared" si="8"/>
        <v>638289.69641219976</v>
      </c>
      <c r="U26">
        <f t="shared" si="8"/>
        <v>35046.816534019512</v>
      </c>
      <c r="V26">
        <f t="shared" si="8"/>
        <v>659407.53677223483</v>
      </c>
      <c r="W26">
        <f t="shared" si="8"/>
        <v>57048.992667460494</v>
      </c>
      <c r="X26">
        <f t="shared" si="8"/>
        <v>682307.59607868723</v>
      </c>
      <c r="Y26">
        <f t="shared" si="8"/>
        <v>80886.931859099015</v>
      </c>
      <c r="Z26">
        <f t="shared" si="8"/>
        <v>707124.18476077914</v>
      </c>
      <c r="AA26">
        <f t="shared" si="8"/>
        <v>106725.79307313227</v>
      </c>
      <c r="AB26">
        <f t="shared" si="8"/>
        <v>734029.85710117302</v>
      </c>
      <c r="AC26">
        <f t="shared" si="8"/>
        <v>134718.70338053667</v>
      </c>
      <c r="AD26">
        <f t="shared" si="8"/>
        <v>763184.32255311159</v>
      </c>
      <c r="AE26">
        <f t="shared" si="8"/>
        <v>165113.71492919064</v>
      </c>
      <c r="AF26">
        <f t="shared" si="8"/>
        <v>0</v>
      </c>
      <c r="AG26">
        <f t="shared" si="8"/>
        <v>0</v>
      </c>
      <c r="AH26">
        <f t="shared" si="8"/>
        <v>0</v>
      </c>
      <c r="AI26">
        <f t="shared" si="8"/>
        <v>0</v>
      </c>
      <c r="AJ26">
        <f t="shared" si="8"/>
        <v>0</v>
      </c>
      <c r="AK26">
        <f t="shared" si="8"/>
        <v>0</v>
      </c>
      <c r="AL26">
        <f t="shared" si="8"/>
        <v>0</v>
      </c>
      <c r="AM26">
        <f t="shared" si="8"/>
        <v>0</v>
      </c>
      <c r="AN26">
        <f t="shared" si="8"/>
        <v>0</v>
      </c>
      <c r="AO26">
        <f t="shared" si="8"/>
        <v>0</v>
      </c>
      <c r="AP26">
        <f t="shared" si="8"/>
        <v>0</v>
      </c>
      <c r="AQ26">
        <f t="shared" si="8"/>
        <v>0</v>
      </c>
      <c r="AR26">
        <f t="shared" si="8"/>
        <v>0</v>
      </c>
      <c r="AS26">
        <f t="shared" si="8"/>
        <v>0</v>
      </c>
      <c r="AT26">
        <f t="shared" si="8"/>
        <v>0</v>
      </c>
      <c r="AU26">
        <f t="shared" si="8"/>
        <v>0</v>
      </c>
      <c r="AV26">
        <f t="shared" si="8"/>
        <v>0</v>
      </c>
      <c r="AW26">
        <f t="shared" si="8"/>
        <v>0</v>
      </c>
      <c r="AX26">
        <f t="shared" si="8"/>
        <v>0</v>
      </c>
      <c r="AY26">
        <f t="shared" si="8"/>
        <v>0</v>
      </c>
      <c r="AZ26">
        <f t="shared" si="8"/>
        <v>0</v>
      </c>
      <c r="BA26">
        <f t="shared" si="8"/>
        <v>0</v>
      </c>
      <c r="BB26">
        <f t="shared" si="8"/>
        <v>0</v>
      </c>
      <c r="BC26">
        <f t="shared" si="8"/>
        <v>0</v>
      </c>
      <c r="BD26">
        <f t="shared" si="8"/>
        <v>0</v>
      </c>
      <c r="BE26">
        <f t="shared" si="8"/>
        <v>0</v>
      </c>
      <c r="BF26">
        <f t="shared" si="8"/>
        <v>0</v>
      </c>
      <c r="BG26">
        <f t="shared" si="8"/>
        <v>0</v>
      </c>
      <c r="BH26">
        <f t="shared" si="8"/>
        <v>0</v>
      </c>
      <c r="BI26">
        <f t="shared" si="8"/>
        <v>0</v>
      </c>
      <c r="BJ26">
        <f t="shared" si="8"/>
        <v>0</v>
      </c>
      <c r="BK26">
        <f t="shared" si="8"/>
        <v>0</v>
      </c>
      <c r="BL26">
        <f t="shared" si="8"/>
        <v>0</v>
      </c>
      <c r="BM26">
        <f t="shared" si="8"/>
        <v>0</v>
      </c>
      <c r="BN26">
        <f t="shared" si="8"/>
        <v>0</v>
      </c>
      <c r="BO26">
        <f t="shared" si="8"/>
        <v>0</v>
      </c>
      <c r="BP26">
        <f t="shared" si="8"/>
        <v>0</v>
      </c>
      <c r="BQ26">
        <f t="shared" ref="BQ26:BU26" si="9">BQ25-BQ24</f>
        <v>0</v>
      </c>
      <c r="BR26">
        <f t="shared" si="9"/>
        <v>0</v>
      </c>
      <c r="BS26">
        <f t="shared" si="9"/>
        <v>0</v>
      </c>
      <c r="BT26">
        <f t="shared" si="9"/>
        <v>0</v>
      </c>
      <c r="BU26">
        <f t="shared" si="9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10">E23-E26</f>
        <v>0</v>
      </c>
      <c r="F27">
        <f t="shared" si="10"/>
        <v>0</v>
      </c>
      <c r="G27">
        <f t="shared" si="10"/>
        <v>0</v>
      </c>
      <c r="H27">
        <f t="shared" si="10"/>
        <v>7523904.8037223462</v>
      </c>
      <c r="I27">
        <f t="shared" si="10"/>
        <v>7589931.4363187589</v>
      </c>
      <c r="J27">
        <f t="shared" si="10"/>
        <v>7035628.6509542381</v>
      </c>
      <c r="K27">
        <f t="shared" si="10"/>
        <v>7087894.8329465538</v>
      </c>
      <c r="L27">
        <f t="shared" si="10"/>
        <v>6519294.2585427156</v>
      </c>
      <c r="M27">
        <f t="shared" si="10"/>
        <v>6556724.6718051899</v>
      </c>
      <c r="N27">
        <f t="shared" si="10"/>
        <v>5972704.4685206041</v>
      </c>
      <c r="O27">
        <f t="shared" si="10"/>
        <v>5994082.3129534516</v>
      </c>
      <c r="P27">
        <f t="shared" si="10"/>
        <v>5393372.3674196713</v>
      </c>
      <c r="Q27">
        <f t="shared" si="10"/>
        <v>5397395.0003370903</v>
      </c>
      <c r="R27">
        <f t="shared" si="10"/>
        <v>4778635.7536132121</v>
      </c>
      <c r="S27">
        <f t="shared" si="10"/>
        <v>4763884.1461216509</v>
      </c>
      <c r="T27">
        <f t="shared" si="10"/>
        <v>4125594.4497094513</v>
      </c>
      <c r="U27">
        <f t="shared" si="10"/>
        <v>4090547.6331754318</v>
      </c>
      <c r="V27">
        <f t="shared" si="10"/>
        <v>3431140.0964031969</v>
      </c>
      <c r="W27">
        <f t="shared" si="10"/>
        <v>3374091.1037357366</v>
      </c>
      <c r="X27">
        <f t="shared" si="10"/>
        <v>2691783.5076570492</v>
      </c>
      <c r="Y27">
        <f t="shared" si="10"/>
        <v>2610896.5757979504</v>
      </c>
      <c r="Z27">
        <f t="shared" si="10"/>
        <v>1903772.3910371712</v>
      </c>
      <c r="AA27">
        <f t="shared" si="10"/>
        <v>1797046.5979640391</v>
      </c>
      <c r="AB27">
        <f t="shared" si="10"/>
        <v>1063016.7408628659</v>
      </c>
      <c r="AC27">
        <f t="shared" si="10"/>
        <v>928298.0374823293</v>
      </c>
      <c r="AD27">
        <f t="shared" si="10"/>
        <v>165113.71492921771</v>
      </c>
      <c r="AE27">
        <f t="shared" si="10"/>
        <v>2.7066562324762344E-8</v>
      </c>
      <c r="AF27">
        <f t="shared" si="10"/>
        <v>2.7066562324762344E-8</v>
      </c>
      <c r="AG27">
        <f t="shared" si="10"/>
        <v>2.7066562324762344E-8</v>
      </c>
      <c r="AH27">
        <f t="shared" si="10"/>
        <v>2.7066562324762344E-8</v>
      </c>
      <c r="AI27">
        <f t="shared" si="10"/>
        <v>2.7066562324762344E-8</v>
      </c>
      <c r="AJ27">
        <f t="shared" si="10"/>
        <v>2.7066562324762344E-8</v>
      </c>
      <c r="AK27">
        <f t="shared" si="10"/>
        <v>2.7066562324762344E-8</v>
      </c>
      <c r="AL27">
        <f t="shared" si="10"/>
        <v>2.7066562324762344E-8</v>
      </c>
      <c r="AM27">
        <f t="shared" si="10"/>
        <v>2.7066562324762344E-8</v>
      </c>
      <c r="AN27">
        <f t="shared" si="10"/>
        <v>2.7066562324762344E-8</v>
      </c>
      <c r="AO27">
        <f t="shared" si="10"/>
        <v>2.7066562324762344E-8</v>
      </c>
      <c r="AP27">
        <f t="shared" si="10"/>
        <v>2.7066562324762344E-8</v>
      </c>
      <c r="AQ27">
        <f t="shared" si="10"/>
        <v>2.7066562324762344E-8</v>
      </c>
      <c r="AR27">
        <f t="shared" si="10"/>
        <v>2.7066562324762344E-8</v>
      </c>
      <c r="AS27">
        <f t="shared" si="10"/>
        <v>2.7066562324762344E-8</v>
      </c>
      <c r="AT27">
        <f t="shared" si="10"/>
        <v>2.7066562324762344E-8</v>
      </c>
      <c r="AU27">
        <f t="shared" si="10"/>
        <v>2.7066562324762344E-8</v>
      </c>
      <c r="AV27">
        <f t="shared" si="10"/>
        <v>2.7066562324762344E-8</v>
      </c>
      <c r="AW27">
        <f t="shared" si="10"/>
        <v>2.7066562324762344E-8</v>
      </c>
      <c r="AX27">
        <f t="shared" si="10"/>
        <v>2.7066562324762344E-8</v>
      </c>
      <c r="AY27">
        <f t="shared" si="10"/>
        <v>2.7066562324762344E-8</v>
      </c>
      <c r="AZ27">
        <f t="shared" si="10"/>
        <v>2.7066562324762344E-8</v>
      </c>
      <c r="BA27">
        <f t="shared" si="10"/>
        <v>2.7066562324762344E-8</v>
      </c>
      <c r="BB27">
        <f t="shared" si="10"/>
        <v>2.7066562324762344E-8</v>
      </c>
      <c r="BC27">
        <f t="shared" si="10"/>
        <v>2.7066562324762344E-8</v>
      </c>
      <c r="BD27">
        <f t="shared" si="10"/>
        <v>2.7066562324762344E-8</v>
      </c>
      <c r="BE27">
        <f t="shared" si="10"/>
        <v>2.7066562324762344E-8</v>
      </c>
      <c r="BF27">
        <f t="shared" si="10"/>
        <v>2.7066562324762344E-8</v>
      </c>
      <c r="BG27">
        <f t="shared" si="10"/>
        <v>2.7066562324762344E-8</v>
      </c>
      <c r="BH27">
        <f t="shared" si="10"/>
        <v>2.7066562324762344E-8</v>
      </c>
      <c r="BI27">
        <f t="shared" si="10"/>
        <v>2.7066562324762344E-8</v>
      </c>
      <c r="BJ27">
        <f t="shared" si="10"/>
        <v>2.7066562324762344E-8</v>
      </c>
      <c r="BK27">
        <f t="shared" si="10"/>
        <v>2.7066562324762344E-8</v>
      </c>
      <c r="BL27">
        <f t="shared" si="10"/>
        <v>2.7066562324762344E-8</v>
      </c>
      <c r="BM27">
        <f t="shared" si="10"/>
        <v>2.7066562324762344E-8</v>
      </c>
      <c r="BN27">
        <f t="shared" si="10"/>
        <v>2.7066562324762344E-8</v>
      </c>
      <c r="BO27">
        <f t="shared" si="10"/>
        <v>2.7066562324762344E-8</v>
      </c>
      <c r="BP27">
        <f t="shared" si="10"/>
        <v>2.7066562324762344E-8</v>
      </c>
      <c r="BQ27">
        <f t="shared" ref="BQ27:BU27" si="11">BQ23-BQ26</f>
        <v>2.7066562324762344E-8</v>
      </c>
      <c r="BR27">
        <f t="shared" si="11"/>
        <v>2.7066562324762344E-8</v>
      </c>
      <c r="BS27">
        <f t="shared" si="11"/>
        <v>2.7066562324762344E-8</v>
      </c>
      <c r="BT27">
        <f t="shared" si="11"/>
        <v>2.7066562324762344E-8</v>
      </c>
      <c r="BU27">
        <f t="shared" si="11"/>
        <v>2.7066562324762344E-8</v>
      </c>
    </row>
    <row r="28" spans="1:73" ht="15.75">
      <c r="A28" s="57" t="s">
        <v>206</v>
      </c>
      <c r="B28" s="57"/>
      <c r="C28" s="57"/>
    </row>
    <row r="29" spans="1:73">
      <c r="A29" t="s">
        <v>294</v>
      </c>
      <c r="B29" t="s">
        <v>165</v>
      </c>
      <c r="C29">
        <f>IF(ABS(C15-C20)&lt;0.0001,0,1)</f>
        <v>0</v>
      </c>
      <c r="D29" s="37" t="s">
        <v>167</v>
      </c>
    </row>
    <row r="30" spans="1:73">
      <c r="A30" t="s">
        <v>295</v>
      </c>
      <c r="B30" t="s">
        <v>165</v>
      </c>
      <c r="C30">
        <f>IF(ABS(C17-C21)&lt;0.0001,0,1)</f>
        <v>0</v>
      </c>
      <c r="D30" s="37" t="s">
        <v>167</v>
      </c>
    </row>
    <row r="31" spans="1:73">
      <c r="A31" t="s">
        <v>296</v>
      </c>
      <c r="B31" t="s">
        <v>165</v>
      </c>
      <c r="C31">
        <f>IF(ABS(BU27)&lt;0.0001,0,1)</f>
        <v>0</v>
      </c>
      <c r="D31" s="37" t="s">
        <v>167</v>
      </c>
    </row>
  </sheetData>
  <mergeCells count="3">
    <mergeCell ref="A4:C4"/>
    <mergeCell ref="A19:C19"/>
    <mergeCell ref="A28:C28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abSelected="1" topLeftCell="A10" zoomScaleNormal="100" workbookViewId="0">
      <pane xSplit="3" topLeftCell="D1" activePane="topRight" state="frozen"/>
      <selection pane="topRight" activeCell="C27" sqref="C27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57" t="s">
        <v>310</v>
      </c>
      <c r="B4" s="57"/>
      <c r="C4" s="57"/>
    </row>
    <row r="5" spans="1:73">
      <c r="A5" t="s">
        <v>145</v>
      </c>
      <c r="B5" t="s">
        <v>297</v>
      </c>
      <c r="C5" t="s">
        <v>298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299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300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301</v>
      </c>
      <c r="B12" t="s">
        <v>184</v>
      </c>
      <c r="D12">
        <f>(E9+F9)*Inputs!$B$49 /12</f>
        <v>0</v>
      </c>
      <c r="E12">
        <f>(F9+G9)*Inputs!$B$49 /12</f>
        <v>0</v>
      </c>
      <c r="F12">
        <f>(G9+H9)*Inputs!$B$49 /12</f>
        <v>451990.52182760433</v>
      </c>
      <c r="G12">
        <f>(H9+I9)*Inputs!$B$49 /12</f>
        <v>588265.06361315073</v>
      </c>
      <c r="H12">
        <f>(I9+J9)*Inputs!$B$49 /12</f>
        <v>584199.39178497891</v>
      </c>
      <c r="I12">
        <f>(J9+K9)*Inputs!$B$49 /12</f>
        <v>580093.40364974516</v>
      </c>
      <c r="J12">
        <f>(K9+L9)*Inputs!$B$49 /12</f>
        <v>575946.47459352948</v>
      </c>
      <c r="K12">
        <f>(L9+M9)*Inputs!$B$49 /12</f>
        <v>571746.83512919093</v>
      </c>
      <c r="L12">
        <f>(M9+N9)*Inputs!$B$49 /12</f>
        <v>567505.32094388385</v>
      </c>
      <c r="M12">
        <f>(N9+O9)*Inputs!$B$49 /12</f>
        <v>563233.3350831992</v>
      </c>
      <c r="N12">
        <f>(O9+P9)*Inputs!$B$49 /12</f>
        <v>558918.75313363224</v>
      </c>
      <c r="O12">
        <f>(P9+Q9)*Inputs!$B$49 /12</f>
        <v>554561.38661657576</v>
      </c>
      <c r="P12">
        <f>(Q9+R9)*Inputs!$B$49 /12</f>
        <v>550160.57267775666</v>
      </c>
      <c r="Q12">
        <f>(R9+S9)*Inputs!$B$49 /12</f>
        <v>545716.11907160119</v>
      </c>
      <c r="R12">
        <f>(S9+T9)*Inputs!$B$49 /12</f>
        <v>541227.34969591466</v>
      </c>
      <c r="S12">
        <f>(T9+U9)*Inputs!$B$49 /12</f>
        <v>536681.52487930947</v>
      </c>
      <c r="T12">
        <f>(U9+V9)*Inputs!$B$49 /12</f>
        <v>532090.37351803703</v>
      </c>
      <c r="U12">
        <f>(V9+W9)*Inputs!$B$49 /12</f>
        <v>527466.23863536678</v>
      </c>
      <c r="V12">
        <f>(W9+X9)*Inputs!$B$49 /12</f>
        <v>522795.99637619988</v>
      </c>
      <c r="W12">
        <f>(X9+Y9)*Inputs!$B$49 /12</f>
        <v>518079.44272523077</v>
      </c>
      <c r="X12">
        <f>(Y9+Z9)*Inputs!$B$49 /12</f>
        <v>513315.86018767656</v>
      </c>
      <c r="Y12">
        <f>(Z9+AA9)*Inputs!$B$49 /12</f>
        <v>508505.04067074583</v>
      </c>
      <c r="Z12">
        <f>(AA9+AB9)*Inputs!$B$49 /12</f>
        <v>503646.25233967992</v>
      </c>
      <c r="AA12">
        <f>(AB9+AC9)*Inputs!$B$49 /12</f>
        <v>498725.7053644603</v>
      </c>
      <c r="AB12">
        <f>(AC9+AD9)*Inputs!$B$49 /12</f>
        <v>493756.09547959105</v>
      </c>
      <c r="AC12">
        <f>(AD9+AE9)*Inputs!$B$49 /12</f>
        <v>488750.7831704109</v>
      </c>
      <c r="AD12">
        <f>(AE9+AF9)*Inputs!$B$49 /12</f>
        <v>86271.91605050271</v>
      </c>
      <c r="AE12">
        <f>(AF9+AG9)*Inputs!$B$49 /12</f>
        <v>0</v>
      </c>
      <c r="AF12">
        <f>(AG9+AH9)*Inputs!$B$49 /12</f>
        <v>0</v>
      </c>
      <c r="AG12">
        <f>(AH9+AI9)*Inputs!$B$49 /12</f>
        <v>0</v>
      </c>
      <c r="AH12">
        <f>(AI9+AJ9)*Inputs!$B$49 /12</f>
        <v>0</v>
      </c>
      <c r="AI12">
        <f>(AJ9+AK9)*Inputs!$B$49 /12</f>
        <v>0</v>
      </c>
      <c r="AJ12">
        <f>(AK9+AL9)*Inputs!$B$49 /12</f>
        <v>0</v>
      </c>
      <c r="AK12">
        <f>(AL9+AM9)*Inputs!$B$49 /12</f>
        <v>0</v>
      </c>
      <c r="AL12">
        <f>(AM9+AN9)*Inputs!$B$49 /12</f>
        <v>0</v>
      </c>
      <c r="AM12">
        <f>(AN9+AO9)*Inputs!$B$49 /12</f>
        <v>0</v>
      </c>
      <c r="AN12">
        <f>(AO9+AP9)*Inputs!$B$49 /12</f>
        <v>0</v>
      </c>
      <c r="AO12">
        <f>(AP9+AQ9)*Inputs!$B$49 /12</f>
        <v>0</v>
      </c>
      <c r="AP12">
        <f>(AQ9+AR9)*Inputs!$B$49 /12</f>
        <v>0</v>
      </c>
      <c r="AQ12">
        <f>(AR9+AS9)*Inputs!$B$49 /12</f>
        <v>0</v>
      </c>
      <c r="AR12">
        <f>(AS9+AT9)*Inputs!$B$49 /12</f>
        <v>0</v>
      </c>
      <c r="AS12">
        <f>(AT9+AU9)*Inputs!$B$49 /12</f>
        <v>0</v>
      </c>
      <c r="AT12">
        <f>(AU9+AV9)*Inputs!$B$49 /12</f>
        <v>0</v>
      </c>
      <c r="AU12">
        <f>(AV9+AW9)*Inputs!$B$49 /12</f>
        <v>0</v>
      </c>
      <c r="AV12">
        <f>(AW9+AX9)*Inputs!$B$49 /12</f>
        <v>0</v>
      </c>
      <c r="AW12">
        <f>(AX9+AY9)*Inputs!$B$49 /12</f>
        <v>0</v>
      </c>
      <c r="AX12">
        <f>(AY9+AZ9)*Inputs!$B$49 /12</f>
        <v>0</v>
      </c>
      <c r="AY12">
        <f>(AZ9+BA9)*Inputs!$B$49 /12</f>
        <v>0</v>
      </c>
      <c r="AZ12">
        <f>(BA9+BB9)*Inputs!$B$49 /12</f>
        <v>0</v>
      </c>
      <c r="BA12">
        <f>(BB9+BC9)*Inputs!$B$49 /12</f>
        <v>0</v>
      </c>
      <c r="BB12">
        <f>(BC9+BD9)*Inputs!$B$49 /12</f>
        <v>0</v>
      </c>
      <c r="BC12">
        <f>(BD9+BE9)*Inputs!$B$49 /12</f>
        <v>0</v>
      </c>
      <c r="BD12">
        <f>(BE9+BF9)*Inputs!$B$49 /12</f>
        <v>0</v>
      </c>
      <c r="BE12">
        <f>(BF9+BG9)*Inputs!$B$49 /12</f>
        <v>0</v>
      </c>
      <c r="BF12">
        <f>(BG9+BH9)*Inputs!$B$49 /12</f>
        <v>0</v>
      </c>
      <c r="BG12">
        <f>(BH9+BI9)*Inputs!$B$49 /12</f>
        <v>0</v>
      </c>
      <c r="BH12">
        <f>(BI9+BJ9)*Inputs!$B$49 /12</f>
        <v>0</v>
      </c>
      <c r="BI12">
        <f>(BJ9+BK9)*Inputs!$B$49 /12</f>
        <v>0</v>
      </c>
      <c r="BJ12">
        <f>(BK9+BL9)*Inputs!$B$49 /12</f>
        <v>0</v>
      </c>
      <c r="BK12">
        <f>(BL9+BM9)*Inputs!$B$49 /12</f>
        <v>0</v>
      </c>
      <c r="BL12">
        <f>(BM9+BN9)*Inputs!$B$49 /12</f>
        <v>0</v>
      </c>
      <c r="BM12">
        <f>(BN9+BO9)*Inputs!$B$49 /12</f>
        <v>0</v>
      </c>
      <c r="BN12">
        <f>(BO9+BP9)*Inputs!$B$49 /12</f>
        <v>0</v>
      </c>
      <c r="BO12">
        <f>(BP9+BQ9)*Inputs!$B$49 /12</f>
        <v>0</v>
      </c>
      <c r="BP12">
        <f>(BQ9+BR9)*Inputs!$B$49 /12</f>
        <v>0</v>
      </c>
      <c r="BQ12">
        <f>(BR9+BS9)*Inputs!$B$49 /12</f>
        <v>0</v>
      </c>
      <c r="BR12">
        <f>(BS9+BT9)*Inputs!$B$49 /12</f>
        <v>0</v>
      </c>
      <c r="BS12">
        <f>(BT9+BU9)*Inputs!$B$49 /12</f>
        <v>0</v>
      </c>
      <c r="BT12">
        <f>(BU9+BV9)*Inputs!$B$49 /12</f>
        <v>0</v>
      </c>
      <c r="BU12">
        <f>(BV9+BW9)*Inputs!$B$49 /12</f>
        <v>0</v>
      </c>
    </row>
    <row r="13" spans="1:73">
      <c r="A13" t="s">
        <v>302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303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304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305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306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57" t="s">
        <v>239</v>
      </c>
      <c r="B20" s="57"/>
      <c r="C20" s="57"/>
    </row>
    <row r="21" spans="1:73">
      <c r="A21" t="s">
        <v>308</v>
      </c>
      <c r="B21" t="s">
        <v>165</v>
      </c>
      <c r="C21">
        <f>IF(MIN(D19:BU19)&gt;=0,0,1)</f>
        <v>0</v>
      </c>
    </row>
    <row r="22" spans="1:73">
      <c r="A22" t="s">
        <v>309</v>
      </c>
      <c r="B22" t="s">
        <v>165</v>
      </c>
      <c r="C22">
        <f>IF(ABS(BU19)&lt;1,0,1)</f>
        <v>0</v>
      </c>
    </row>
    <row r="23" spans="1:73" ht="15.75">
      <c r="A23" s="57" t="s">
        <v>311</v>
      </c>
      <c r="B23" s="57"/>
      <c r="C23" s="57"/>
    </row>
    <row r="24" spans="1:73">
      <c r="A24" t="s">
        <v>312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313</v>
      </c>
      <c r="B25" t="s">
        <v>39</v>
      </c>
      <c r="D25">
        <f>IF(D7=1, (E8+D8)/(D9+E9),0)</f>
        <v>0</v>
      </c>
      <c r="E25">
        <f>IF(E7=1, (E8+D8)/(D9+E9),0)</f>
        <v>0</v>
      </c>
      <c r="F25">
        <f t="shared" ref="F25:BQ25" si="18">IF(F7=1, (F8+E8)/(E9+F9),0)</f>
        <v>0</v>
      </c>
      <c r="G25">
        <f t="shared" si="18"/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19">IF(BR7=1, (BR8+BQ8)/(BQ9+BR9),0)</f>
        <v>0</v>
      </c>
      <c r="BS25">
        <f t="shared" si="19"/>
        <v>0</v>
      </c>
      <c r="BT25">
        <f t="shared" si="19"/>
        <v>0</v>
      </c>
      <c r="BU25">
        <f t="shared" si="19"/>
        <v>0</v>
      </c>
    </row>
    <row r="26" spans="1:73">
      <c r="A26" t="s">
        <v>314</v>
      </c>
      <c r="B26" t="s">
        <v>174</v>
      </c>
      <c r="D26">
        <f>IF(AND(D7=1,D25&lt;Inputs!$B$46),1,0)</f>
        <v>0</v>
      </c>
      <c r="E26">
        <f>IF(AND(E7=1,E25&lt;Inputs!$B$46),1,0)</f>
        <v>0</v>
      </c>
      <c r="F26">
        <f>IF(AND(F7=1,F25&lt;Inputs!$B$46),1,0)</f>
        <v>0</v>
      </c>
      <c r="G26">
        <f>IF(AND(G7=1,G25&lt;Inputs!$B$46),1,0)</f>
        <v>0</v>
      </c>
      <c r="H26">
        <f>IF(AND(H7=1,H25&lt;Inputs!$B$46),1,0)</f>
        <v>0</v>
      </c>
      <c r="I26">
        <f>IF(AND(I7=1,I25&lt;Inputs!$B$46),1,0)</f>
        <v>0</v>
      </c>
      <c r="J26">
        <f>IF(AND(J7=1,J25&lt;Inputs!$B$46),1,0)</f>
        <v>0</v>
      </c>
      <c r="K26">
        <f>IF(AND(K7=1,K25&lt;Inputs!$B$46),1,0)</f>
        <v>0</v>
      </c>
      <c r="L26">
        <f>IF(AND(L7=1,L25&lt;Inputs!$B$46),1,0)</f>
        <v>0</v>
      </c>
      <c r="M26">
        <f>IF(AND(M7=1,M25&lt;Inputs!$B$46),1,0)</f>
        <v>0</v>
      </c>
      <c r="N26">
        <f>IF(AND(N7=1,N25&lt;Inputs!$B$46),1,0)</f>
        <v>0</v>
      </c>
      <c r="O26">
        <f>IF(AND(O7=1,O25&lt;Inputs!$B$46),1,0)</f>
        <v>0</v>
      </c>
      <c r="P26">
        <f>IF(AND(P7=1,P25&lt;Inputs!$B$46),1,0)</f>
        <v>0</v>
      </c>
      <c r="Q26">
        <f>IF(AND(Q7=1,Q25&lt;Inputs!$B$46),1,0)</f>
        <v>0</v>
      </c>
      <c r="R26">
        <f>IF(AND(R7=1,R25&lt;Inputs!$B$46),1,0)</f>
        <v>0</v>
      </c>
      <c r="S26">
        <f>IF(AND(S7=1,S25&lt;Inputs!$B$46),1,0)</f>
        <v>0</v>
      </c>
      <c r="T26">
        <f>IF(AND(T7=1,T25&lt;Inputs!$B$46),1,0)</f>
        <v>0</v>
      </c>
      <c r="U26">
        <f>IF(AND(U7=1,U25&lt;Inputs!$B$46),1,0)</f>
        <v>0</v>
      </c>
      <c r="V26">
        <f>IF(AND(V7=1,V25&lt;Inputs!$B$46),1,0)</f>
        <v>0</v>
      </c>
      <c r="W26">
        <f>IF(AND(W7=1,W25&lt;Inputs!$B$46),1,0)</f>
        <v>0</v>
      </c>
      <c r="X26">
        <f>IF(AND(X7=1,X25&lt;Inputs!$B$46),1,0)</f>
        <v>0</v>
      </c>
      <c r="Y26">
        <f>IF(AND(Y7=1,Y25&lt;Inputs!$B$46),1,0)</f>
        <v>0</v>
      </c>
      <c r="Z26">
        <f>IF(AND(Z7=1,Z25&lt;Inputs!$B$46),1,0)</f>
        <v>0</v>
      </c>
      <c r="AA26">
        <f>IF(AND(AA7=1,AA25&lt;Inputs!$B$46),1,0)</f>
        <v>0</v>
      </c>
      <c r="AB26">
        <f>IF(AND(AB7=1,AB25&lt;Inputs!$B$46),1,0)</f>
        <v>0</v>
      </c>
      <c r="AC26">
        <f>IF(AND(AC7=1,AC25&lt;Inputs!$B$46),1,0)</f>
        <v>0</v>
      </c>
      <c r="AD26">
        <f>IF(AND(AD7=1,AD25&lt;Inputs!$B$46),1,0)</f>
        <v>0</v>
      </c>
      <c r="AE26">
        <f>IF(AND(AE7=1,AE25&lt;Inputs!$B$46),1,0)</f>
        <v>0</v>
      </c>
      <c r="AF26">
        <f>IF(AND(AF7=1,AF25&lt;Inputs!$B$46),1,0)</f>
        <v>0</v>
      </c>
      <c r="AG26">
        <f>IF(AND(AG7=1,AG25&lt;Inputs!$B$46),1,0)</f>
        <v>0</v>
      </c>
      <c r="AH26">
        <f>IF(AND(AH7=1,AH25&lt;Inputs!$B$46),1,0)</f>
        <v>0</v>
      </c>
      <c r="AI26">
        <f>IF(AND(AI7=1,AI25&lt;Inputs!$B$46),1,0)</f>
        <v>0</v>
      </c>
      <c r="AJ26">
        <f>IF(AND(AJ7=1,AJ25&lt;Inputs!$B$46),1,0)</f>
        <v>0</v>
      </c>
      <c r="AK26">
        <f>IF(AND(AK7=1,AK25&lt;Inputs!$B$46),1,0)</f>
        <v>0</v>
      </c>
      <c r="AL26">
        <f>IF(AND(AL7=1,AL25&lt;Inputs!$B$46),1,0)</f>
        <v>0</v>
      </c>
      <c r="AM26">
        <f>IF(AND(AM7=1,AM25&lt;Inputs!$B$46),1,0)</f>
        <v>0</v>
      </c>
      <c r="AN26">
        <f>IF(AND(AN7=1,AN25&lt;Inputs!$B$46),1,0)</f>
        <v>0</v>
      </c>
      <c r="AO26">
        <f>IF(AND(AO7=1,AO25&lt;Inputs!$B$46),1,0)</f>
        <v>0</v>
      </c>
      <c r="AP26">
        <f>IF(AND(AP7=1,AP25&lt;Inputs!$B$46),1,0)</f>
        <v>0</v>
      </c>
      <c r="AQ26">
        <f>IF(AND(AQ7=1,AQ25&lt;Inputs!$B$46),1,0)</f>
        <v>0</v>
      </c>
      <c r="AR26">
        <f>IF(AND(AR7=1,AR25&lt;Inputs!$B$46),1,0)</f>
        <v>0</v>
      </c>
      <c r="AS26">
        <f>IF(AND(AS7=1,AS25&lt;Inputs!$B$46),1,0)</f>
        <v>0</v>
      </c>
      <c r="AT26">
        <f>IF(AND(AT7=1,AT25&lt;Inputs!$B$46),1,0)</f>
        <v>0</v>
      </c>
      <c r="AU26">
        <f>IF(AND(AU7=1,AU25&lt;Inputs!$B$46),1,0)</f>
        <v>0</v>
      </c>
      <c r="AV26">
        <f>IF(AND(AV7=1,AV25&lt;Inputs!$B$46),1,0)</f>
        <v>0</v>
      </c>
      <c r="AW26">
        <f>IF(AND(AW7=1,AW25&lt;Inputs!$B$46),1,0)</f>
        <v>0</v>
      </c>
      <c r="AX26">
        <f>IF(AND(AX7=1,AX25&lt;Inputs!$B$46),1,0)</f>
        <v>0</v>
      </c>
      <c r="AY26">
        <f>IF(AND(AY7=1,AY25&lt;Inputs!$B$46),1,0)</f>
        <v>0</v>
      </c>
      <c r="AZ26">
        <f>IF(AND(AZ7=1,AZ25&lt;Inputs!$B$46),1,0)</f>
        <v>0</v>
      </c>
      <c r="BA26">
        <f>IF(AND(BA7=1,BA25&lt;Inputs!$B$46),1,0)</f>
        <v>0</v>
      </c>
      <c r="BB26">
        <f>IF(AND(BB7=1,BB25&lt;Inputs!$B$46),1,0)</f>
        <v>0</v>
      </c>
      <c r="BC26">
        <f>IF(AND(BC7=1,BC25&lt;Inputs!$B$46),1,0)</f>
        <v>0</v>
      </c>
      <c r="BD26">
        <f>IF(AND(BD7=1,BD25&lt;Inputs!$B$46),1,0)</f>
        <v>0</v>
      </c>
      <c r="BE26">
        <f>IF(AND(BE7=1,BE25&lt;Inputs!$B$46),1,0)</f>
        <v>0</v>
      </c>
      <c r="BF26">
        <f>IF(AND(BF7=1,BF25&lt;Inputs!$B$46),1,0)</f>
        <v>0</v>
      </c>
      <c r="BG26">
        <f>IF(AND(BG7=1,BG25&lt;Inputs!$B$46),1,0)</f>
        <v>0</v>
      </c>
      <c r="BH26">
        <f>IF(AND(BH7=1,BH25&lt;Inputs!$B$46),1,0)</f>
        <v>0</v>
      </c>
      <c r="BI26">
        <f>IF(AND(BI7=1,BI25&lt;Inputs!$B$46),1,0)</f>
        <v>0</v>
      </c>
      <c r="BJ26">
        <f>IF(AND(BJ7=1,BJ25&lt;Inputs!$B$46),1,0)</f>
        <v>0</v>
      </c>
      <c r="BK26">
        <f>IF(AND(BK7=1,BK25&lt;Inputs!$B$46),1,0)</f>
        <v>0</v>
      </c>
      <c r="BL26">
        <f>IF(AND(BL7=1,BL25&lt;Inputs!$B$46),1,0)</f>
        <v>0</v>
      </c>
      <c r="BM26">
        <f>IF(AND(BM7=1,BM25&lt;Inputs!$B$46),1,0)</f>
        <v>0</v>
      </c>
      <c r="BN26">
        <f>IF(AND(BN7=1,BN25&lt;Inputs!$B$46),1,0)</f>
        <v>0</v>
      </c>
      <c r="BO26">
        <f>IF(AND(BO7=1,BO25&lt;Inputs!$B$46),1,0)</f>
        <v>0</v>
      </c>
      <c r="BP26">
        <f>IF(AND(BP7=1,BP25&lt;Inputs!$B$46),1,0)</f>
        <v>0</v>
      </c>
      <c r="BQ26">
        <f>IF(AND(BQ7=1,BQ25&lt;Inputs!$B$46),1,0)</f>
        <v>0</v>
      </c>
      <c r="BR26">
        <f>IF(AND(BR7=1,BR25&lt;Inputs!$B$46),1,0)</f>
        <v>0</v>
      </c>
      <c r="BS26">
        <f>IF(AND(BS7=1,BS25&lt;Inputs!$B$46),1,0)</f>
        <v>0</v>
      </c>
      <c r="BT26">
        <f>IF(AND(BT7=1,BT25&lt;Inputs!$B$46),1,0)</f>
        <v>0</v>
      </c>
      <c r="BU26">
        <f>IF(AND(BU7=1,BU25&lt;Inputs!$B$46),1,0)</f>
        <v>0</v>
      </c>
    </row>
    <row r="27" spans="1:73" ht="15.75">
      <c r="A27" t="s">
        <v>315</v>
      </c>
      <c r="B27" t="s">
        <v>174</v>
      </c>
      <c r="C27" s="56"/>
      <c r="D27">
        <f>IF(AND(D7=1,D25&lt;Inputs!$B$47),1,0)</f>
        <v>0</v>
      </c>
      <c r="E27">
        <f>IF(AND(E7=1,E25&lt;Inputs!$B$47),1,0)</f>
        <v>0</v>
      </c>
      <c r="F27">
        <f>IF(AND(F7=1,F25&lt;Inputs!$B$47),1,0)</f>
        <v>0</v>
      </c>
      <c r="G27">
        <f>IF(AND(G7=1,G25&lt;Inputs!$B$47),1,0)</f>
        <v>0</v>
      </c>
      <c r="H27">
        <f>IF(AND(H7=1,H25&lt;Inputs!$B$47),1,0)</f>
        <v>0</v>
      </c>
      <c r="I27">
        <f>IF(AND(I7=1,I25&lt;Inputs!$B$47),1,0)</f>
        <v>0</v>
      </c>
      <c r="J27">
        <f>IF(AND(J7=1,J25&lt;Inputs!$B$47),1,0)</f>
        <v>0</v>
      </c>
      <c r="K27">
        <f>IF(AND(K7=1,K25&lt;Inputs!$B$47),1,0)</f>
        <v>0</v>
      </c>
      <c r="L27">
        <f>IF(AND(L7=1,L25&lt;Inputs!$B$47),1,0)</f>
        <v>0</v>
      </c>
      <c r="M27">
        <f>IF(AND(M7=1,M25&lt;Inputs!$B$47),1,0)</f>
        <v>0</v>
      </c>
      <c r="N27">
        <f>IF(AND(N7=1,N25&lt;Inputs!$B$47),1,0)</f>
        <v>0</v>
      </c>
      <c r="O27">
        <f>IF(AND(O7=1,O25&lt;Inputs!$B$47),1,0)</f>
        <v>0</v>
      </c>
      <c r="P27">
        <f>IF(AND(P7=1,P25&lt;Inputs!$B$47),1,0)</f>
        <v>0</v>
      </c>
      <c r="Q27">
        <f>IF(AND(Q7=1,Q25&lt;Inputs!$B$47),1,0)</f>
        <v>0</v>
      </c>
      <c r="R27">
        <f>IF(AND(R7=1,R25&lt;Inputs!$B$47),1,0)</f>
        <v>0</v>
      </c>
      <c r="S27">
        <f>IF(AND(S7=1,S25&lt;Inputs!$B$47),1,0)</f>
        <v>0</v>
      </c>
      <c r="T27">
        <f>IF(AND(T7=1,T25&lt;Inputs!$B$47),1,0)</f>
        <v>0</v>
      </c>
      <c r="U27">
        <f>IF(AND(U7=1,U25&lt;Inputs!$B$47),1,0)</f>
        <v>0</v>
      </c>
      <c r="V27">
        <f>IF(AND(V7=1,V25&lt;Inputs!$B$47),1,0)</f>
        <v>0</v>
      </c>
      <c r="W27">
        <f>IF(AND(W7=1,W25&lt;Inputs!$B$47),1,0)</f>
        <v>0</v>
      </c>
      <c r="X27">
        <f>IF(AND(X7=1,X25&lt;Inputs!$B$47),1,0)</f>
        <v>0</v>
      </c>
      <c r="Y27">
        <f>IF(AND(Y7=1,Y25&lt;Inputs!$B$47),1,0)</f>
        <v>0</v>
      </c>
      <c r="Z27">
        <f>IF(AND(Z7=1,Z25&lt;Inputs!$B$47),1,0)</f>
        <v>0</v>
      </c>
      <c r="AA27">
        <f>IF(AND(AA7=1,AA25&lt;Inputs!$B$47),1,0)</f>
        <v>0</v>
      </c>
      <c r="AB27">
        <f>IF(AND(AB7=1,AB25&lt;Inputs!$B$47),1,0)</f>
        <v>0</v>
      </c>
      <c r="AC27">
        <f>IF(AND(AC7=1,AC25&lt;Inputs!$B$47),1,0)</f>
        <v>0</v>
      </c>
      <c r="AD27">
        <f>IF(AND(AD7=1,AD25&lt;Inputs!$B$47),1,0)</f>
        <v>0</v>
      </c>
      <c r="AE27">
        <f>IF(AND(AE7=1,AE25&lt;Inputs!$B$47),1,0)</f>
        <v>0</v>
      </c>
      <c r="AF27">
        <f>IF(AND(AF7=1,AF25&lt;Inputs!$B$47),1,0)</f>
        <v>0</v>
      </c>
      <c r="AG27">
        <f>IF(AND(AG7=1,AG25&lt;Inputs!$B$47),1,0)</f>
        <v>0</v>
      </c>
      <c r="AH27">
        <f>IF(AND(AH7=1,AH25&lt;Inputs!$B$47),1,0)</f>
        <v>0</v>
      </c>
      <c r="AI27">
        <f>IF(AND(AI7=1,AI25&lt;Inputs!$B$47),1,0)</f>
        <v>0</v>
      </c>
      <c r="AJ27">
        <f>IF(AND(AJ7=1,AJ25&lt;Inputs!$B$47),1,0)</f>
        <v>0</v>
      </c>
      <c r="AK27">
        <f>IF(AND(AK7=1,AK25&lt;Inputs!$B$47),1,0)</f>
        <v>0</v>
      </c>
      <c r="AL27">
        <f>IF(AND(AL7=1,AL25&lt;Inputs!$B$47),1,0)</f>
        <v>0</v>
      </c>
      <c r="AM27">
        <f>IF(AND(AM7=1,AM25&lt;Inputs!$B$47),1,0)</f>
        <v>0</v>
      </c>
      <c r="AN27">
        <f>IF(AND(AN7=1,AN25&lt;Inputs!$B$47),1,0)</f>
        <v>0</v>
      </c>
      <c r="AO27">
        <f>IF(AND(AO7=1,AO25&lt;Inputs!$B$47),1,0)</f>
        <v>0</v>
      </c>
      <c r="AP27">
        <f>IF(AND(AP7=1,AP25&lt;Inputs!$B$47),1,0)</f>
        <v>0</v>
      </c>
      <c r="AQ27">
        <f>IF(AND(AQ7=1,AQ25&lt;Inputs!$B$47),1,0)</f>
        <v>0</v>
      </c>
      <c r="AR27">
        <f>IF(AND(AR7=1,AR25&lt;Inputs!$B$47),1,0)</f>
        <v>0</v>
      </c>
      <c r="AS27">
        <f>IF(AND(AS7=1,AS25&lt;Inputs!$B$47),1,0)</f>
        <v>0</v>
      </c>
      <c r="AT27">
        <f>IF(AND(AT7=1,AT25&lt;Inputs!$B$47),1,0)</f>
        <v>0</v>
      </c>
      <c r="AU27">
        <f>IF(AND(AU7=1,AU25&lt;Inputs!$B$47),1,0)</f>
        <v>0</v>
      </c>
      <c r="AV27">
        <f>IF(AND(AV7=1,AV25&lt;Inputs!$B$47),1,0)</f>
        <v>0</v>
      </c>
      <c r="AW27">
        <f>IF(AND(AW7=1,AW25&lt;Inputs!$B$47),1,0)</f>
        <v>0</v>
      </c>
      <c r="AX27">
        <f>IF(AND(AX7=1,AX25&lt;Inputs!$B$47),1,0)</f>
        <v>0</v>
      </c>
      <c r="AY27">
        <f>IF(AND(AY7=1,AY25&lt;Inputs!$B$47),1,0)</f>
        <v>0</v>
      </c>
      <c r="AZ27">
        <f>IF(AND(AZ7=1,AZ25&lt;Inputs!$B$47),1,0)</f>
        <v>0</v>
      </c>
      <c r="BA27">
        <f>IF(AND(BA7=1,BA25&lt;Inputs!$B$47),1,0)</f>
        <v>0</v>
      </c>
      <c r="BB27">
        <f>IF(AND(BB7=1,BB25&lt;Inputs!$B$47),1,0)</f>
        <v>0</v>
      </c>
      <c r="BC27">
        <f>IF(AND(BC7=1,BC25&lt;Inputs!$B$47),1,0)</f>
        <v>0</v>
      </c>
      <c r="BD27">
        <f>IF(AND(BD7=1,BD25&lt;Inputs!$B$47),1,0)</f>
        <v>0</v>
      </c>
      <c r="BE27">
        <f>IF(AND(BE7=1,BE25&lt;Inputs!$B$47),1,0)</f>
        <v>0</v>
      </c>
      <c r="BF27">
        <f>IF(AND(BF7=1,BF25&lt;Inputs!$B$47),1,0)</f>
        <v>0</v>
      </c>
      <c r="BG27">
        <f>IF(AND(BG7=1,BG25&lt;Inputs!$B$47),1,0)</f>
        <v>0</v>
      </c>
      <c r="BH27">
        <f>IF(AND(BH7=1,BH25&lt;Inputs!$B$47),1,0)</f>
        <v>0</v>
      </c>
      <c r="BI27">
        <f>IF(AND(BI7=1,BI25&lt;Inputs!$B$47),1,0)</f>
        <v>0</v>
      </c>
      <c r="BJ27">
        <f>IF(AND(BJ7=1,BJ25&lt;Inputs!$B$47),1,0)</f>
        <v>0</v>
      </c>
      <c r="BK27">
        <f>IF(AND(BK7=1,BK25&lt;Inputs!$B$47),1,0)</f>
        <v>0</v>
      </c>
      <c r="BL27">
        <f>IF(AND(BL7=1,BL25&lt;Inputs!$B$47),1,0)</f>
        <v>0</v>
      </c>
      <c r="BM27">
        <f>IF(AND(BM7=1,BM25&lt;Inputs!$B$47),1,0)</f>
        <v>0</v>
      </c>
      <c r="BN27">
        <f>IF(AND(BN7=1,BN25&lt;Inputs!$B$47),1,0)</f>
        <v>0</v>
      </c>
      <c r="BO27">
        <f>IF(AND(BO7=1,BO25&lt;Inputs!$B$47),1,0)</f>
        <v>0</v>
      </c>
      <c r="BP27">
        <f>IF(AND(BP7=1,BP25&lt;Inputs!$B$47),1,0)</f>
        <v>0</v>
      </c>
      <c r="BQ27">
        <f>IF(AND(BQ7=1,BQ25&lt;Inputs!$B$47),1,0)</f>
        <v>0</v>
      </c>
      <c r="BR27">
        <f>IF(AND(BR7=1,BR25&lt;Inputs!$B$47),1,0)</f>
        <v>0</v>
      </c>
      <c r="BS27">
        <f>IF(AND(BS7=1,BS25&lt;Inputs!$B$47),1,0)</f>
        <v>0</v>
      </c>
      <c r="BT27">
        <f>IF(AND(BT7=1,BT25&lt;Inputs!$B$47),1,0)</f>
        <v>0</v>
      </c>
      <c r="BU27">
        <f>IF(AND(BU7=1,BU25&lt;Inputs!$B$47),1,0)</f>
        <v>0</v>
      </c>
    </row>
    <row r="28" spans="1:73">
      <c r="A28" t="s">
        <v>316</v>
      </c>
      <c r="B28" t="s">
        <v>131</v>
      </c>
    </row>
    <row r="29" spans="1:73">
      <c r="A29" t="s">
        <v>317</v>
      </c>
      <c r="B29" t="s">
        <v>184</v>
      </c>
      <c r="D29" s="48">
        <v>0</v>
      </c>
      <c r="E29">
        <f>D32</f>
        <v>0</v>
      </c>
      <c r="F29">
        <f t="shared" ref="F29:BQ29" si="20">E32</f>
        <v>0</v>
      </c>
      <c r="G29">
        <f t="shared" si="20"/>
        <v>0</v>
      </c>
      <c r="H29">
        <f t="shared" si="20"/>
        <v>0</v>
      </c>
      <c r="I29">
        <f t="shared" si="20"/>
        <v>0</v>
      </c>
      <c r="J29">
        <f t="shared" si="20"/>
        <v>0</v>
      </c>
      <c r="K29">
        <f t="shared" si="20"/>
        <v>0</v>
      </c>
      <c r="L29">
        <f t="shared" si="20"/>
        <v>0</v>
      </c>
      <c r="M29">
        <f t="shared" si="20"/>
        <v>0</v>
      </c>
      <c r="N29">
        <f t="shared" si="20"/>
        <v>0</v>
      </c>
      <c r="O29">
        <f t="shared" si="20"/>
        <v>0</v>
      </c>
      <c r="P29">
        <f t="shared" si="20"/>
        <v>0</v>
      </c>
      <c r="Q29">
        <f t="shared" si="20"/>
        <v>0</v>
      </c>
      <c r="R29">
        <f t="shared" si="20"/>
        <v>0</v>
      </c>
      <c r="S29">
        <f t="shared" si="20"/>
        <v>0</v>
      </c>
      <c r="T29">
        <f t="shared" si="20"/>
        <v>0</v>
      </c>
      <c r="U29">
        <f t="shared" si="20"/>
        <v>0</v>
      </c>
      <c r="V29">
        <f t="shared" si="20"/>
        <v>0</v>
      </c>
      <c r="W29">
        <f t="shared" si="20"/>
        <v>0</v>
      </c>
      <c r="X29">
        <f t="shared" si="20"/>
        <v>0</v>
      </c>
      <c r="Y29">
        <f t="shared" si="20"/>
        <v>0</v>
      </c>
      <c r="Z29">
        <f t="shared" si="20"/>
        <v>0</v>
      </c>
      <c r="AA29">
        <f t="shared" si="20"/>
        <v>0</v>
      </c>
      <c r="AB29">
        <f t="shared" si="20"/>
        <v>0</v>
      </c>
      <c r="AC29">
        <f t="shared" si="20"/>
        <v>0</v>
      </c>
      <c r="AD29">
        <f t="shared" si="20"/>
        <v>0</v>
      </c>
      <c r="AE29">
        <f t="shared" si="20"/>
        <v>0</v>
      </c>
      <c r="AF29">
        <f t="shared" si="20"/>
        <v>0</v>
      </c>
      <c r="AG29">
        <f t="shared" si="20"/>
        <v>0</v>
      </c>
      <c r="AH29">
        <f t="shared" si="20"/>
        <v>0</v>
      </c>
      <c r="AI29">
        <f t="shared" si="20"/>
        <v>0</v>
      </c>
      <c r="AJ29">
        <f t="shared" si="20"/>
        <v>0</v>
      </c>
      <c r="AK29">
        <f t="shared" si="20"/>
        <v>0</v>
      </c>
      <c r="AL29">
        <f t="shared" si="20"/>
        <v>0</v>
      </c>
      <c r="AM29">
        <f t="shared" si="20"/>
        <v>0</v>
      </c>
      <c r="AN29">
        <f t="shared" si="20"/>
        <v>0</v>
      </c>
      <c r="AO29">
        <f t="shared" si="20"/>
        <v>0</v>
      </c>
      <c r="AP29">
        <f t="shared" si="20"/>
        <v>0</v>
      </c>
      <c r="AQ29">
        <f t="shared" si="20"/>
        <v>0</v>
      </c>
      <c r="AR29">
        <f t="shared" si="20"/>
        <v>0</v>
      </c>
      <c r="AS29">
        <f t="shared" si="20"/>
        <v>0</v>
      </c>
      <c r="AT29">
        <f t="shared" si="20"/>
        <v>0</v>
      </c>
      <c r="AU29">
        <f t="shared" si="20"/>
        <v>0</v>
      </c>
      <c r="AV29">
        <f t="shared" si="20"/>
        <v>0</v>
      </c>
      <c r="AW29">
        <f t="shared" si="20"/>
        <v>0</v>
      </c>
      <c r="AX29">
        <f t="shared" si="20"/>
        <v>0</v>
      </c>
      <c r="AY29">
        <f t="shared" si="20"/>
        <v>0</v>
      </c>
      <c r="AZ29">
        <f t="shared" si="20"/>
        <v>0</v>
      </c>
      <c r="BA29">
        <f t="shared" si="20"/>
        <v>0</v>
      </c>
      <c r="BB29">
        <f t="shared" si="20"/>
        <v>0</v>
      </c>
      <c r="BC29">
        <f t="shared" si="20"/>
        <v>0</v>
      </c>
      <c r="BD29">
        <f t="shared" si="20"/>
        <v>0</v>
      </c>
      <c r="BE29">
        <f t="shared" si="20"/>
        <v>0</v>
      </c>
      <c r="BF29">
        <f t="shared" si="20"/>
        <v>0</v>
      </c>
      <c r="BG29">
        <f t="shared" si="20"/>
        <v>0</v>
      </c>
      <c r="BH29">
        <f t="shared" si="20"/>
        <v>0</v>
      </c>
      <c r="BI29">
        <f t="shared" si="20"/>
        <v>0</v>
      </c>
      <c r="BJ29">
        <f t="shared" si="20"/>
        <v>0</v>
      </c>
      <c r="BK29">
        <f t="shared" si="20"/>
        <v>0</v>
      </c>
      <c r="BL29">
        <f t="shared" si="20"/>
        <v>0</v>
      </c>
      <c r="BM29">
        <f t="shared" si="20"/>
        <v>0</v>
      </c>
      <c r="BN29">
        <f t="shared" si="20"/>
        <v>0</v>
      </c>
      <c r="BO29">
        <f t="shared" si="20"/>
        <v>0</v>
      </c>
      <c r="BP29">
        <f t="shared" si="20"/>
        <v>0</v>
      </c>
      <c r="BQ29">
        <f t="shared" si="20"/>
        <v>0</v>
      </c>
      <c r="BR29">
        <f t="shared" ref="BR29:BU29" si="21">BQ32</f>
        <v>0</v>
      </c>
      <c r="BS29">
        <f t="shared" si="21"/>
        <v>0</v>
      </c>
      <c r="BT29">
        <f t="shared" si="21"/>
        <v>0</v>
      </c>
      <c r="BU29">
        <f t="shared" si="21"/>
        <v>0</v>
      </c>
    </row>
    <row r="30" spans="1:73">
      <c r="A30" t="s">
        <v>318</v>
      </c>
      <c r="B30" t="s">
        <v>184</v>
      </c>
      <c r="D30">
        <f>D24</f>
        <v>0</v>
      </c>
      <c r="E30">
        <f t="shared" ref="E30:BP30" si="22">E24</f>
        <v>0</v>
      </c>
      <c r="F30">
        <f t="shared" si="22"/>
        <v>0</v>
      </c>
      <c r="G30">
        <f t="shared" si="22"/>
        <v>0</v>
      </c>
      <c r="H30">
        <f t="shared" si="22"/>
        <v>320459.03710749489</v>
      </c>
      <c r="I30">
        <f t="shared" si="22"/>
        <v>99498.167385116336</v>
      </c>
      <c r="J30">
        <f t="shared" si="22"/>
        <v>317694.32405581849</v>
      </c>
      <c r="K30">
        <f t="shared" si="22"/>
        <v>96717.627019557462</v>
      </c>
      <c r="L30">
        <f t="shared" si="22"/>
        <v>314886.0588455589</v>
      </c>
      <c r="M30">
        <f t="shared" si="22"/>
        <v>93850.225790866563</v>
      </c>
      <c r="N30">
        <f t="shared" si="22"/>
        <v>311990.06668010377</v>
      </c>
      <c r="O30">
        <f t="shared" si="22"/>
        <v>90945.216344759217</v>
      </c>
      <c r="P30">
        <f t="shared" si="22"/>
        <v>309056.09130465903</v>
      </c>
      <c r="Q30">
        <f t="shared" si="22"/>
        <v>87982.146871918667</v>
      </c>
      <c r="R30">
        <f t="shared" si="22"/>
        <v>306063.47698435304</v>
      </c>
      <c r="S30">
        <f t="shared" si="22"/>
        <v>84972.400558059599</v>
      </c>
      <c r="T30">
        <f t="shared" si="22"/>
        <v>303023.72040695848</v>
      </c>
      <c r="U30">
        <f t="shared" si="22"/>
        <v>81868.633252500964</v>
      </c>
      <c r="V30">
        <f t="shared" si="22"/>
        <v>299889.00535196217</v>
      </c>
      <c r="W30">
        <f t="shared" si="22"/>
        <v>78724.157602930645</v>
      </c>
      <c r="X30">
        <f t="shared" si="22"/>
        <v>296713.17604893271</v>
      </c>
      <c r="Y30">
        <f t="shared" si="22"/>
        <v>75516.83591321393</v>
      </c>
      <c r="Z30">
        <f t="shared" si="22"/>
        <v>293473.87406615645</v>
      </c>
      <c r="AA30">
        <f t="shared" si="22"/>
        <v>72258.989709651389</v>
      </c>
      <c r="AB30">
        <f t="shared" si="22"/>
        <v>290183.54378821346</v>
      </c>
      <c r="AC30">
        <f t="shared" si="22"/>
        <v>68899.372160958155</v>
      </c>
      <c r="AD30">
        <f t="shared" si="22"/>
        <v>684214.074103844</v>
      </c>
      <c r="AE30">
        <f t="shared" si="22"/>
        <v>146662.2572858546</v>
      </c>
      <c r="AF30">
        <f t="shared" si="22"/>
        <v>1073043.8460997068</v>
      </c>
      <c r="AG30">
        <f t="shared" si="22"/>
        <v>219149.7300746867</v>
      </c>
      <c r="AH30">
        <f t="shared" si="22"/>
        <v>1059121.9577739565</v>
      </c>
      <c r="AI30">
        <f t="shared" si="22"/>
        <v>205089.788519767</v>
      </c>
      <c r="AJ30">
        <f t="shared" si="22"/>
        <v>1044921.824153874</v>
      </c>
      <c r="AK30">
        <f t="shared" si="22"/>
        <v>190709.16113469214</v>
      </c>
      <c r="AL30">
        <f t="shared" si="22"/>
        <v>732272.82580145611</v>
      </c>
      <c r="AM30">
        <f t="shared" si="22"/>
        <v>176080.80139608099</v>
      </c>
      <c r="AN30">
        <f t="shared" si="22"/>
        <v>723555.55378948129</v>
      </c>
      <c r="AO30">
        <f t="shared" si="22"/>
        <v>161160.07670195331</v>
      </c>
      <c r="AP30">
        <f t="shared" si="22"/>
        <v>718982.63265880744</v>
      </c>
      <c r="AQ30">
        <f t="shared" si="22"/>
        <v>145941.14379518793</v>
      </c>
      <c r="AR30">
        <f t="shared" si="22"/>
        <v>714318.31632683706</v>
      </c>
      <c r="AS30">
        <f t="shared" si="22"/>
        <v>130375.09023260616</v>
      </c>
      <c r="AT30">
        <f t="shared" si="22"/>
        <v>709547.61405085807</v>
      </c>
      <c r="AU30">
        <f t="shared" si="22"/>
        <v>114540.88320348423</v>
      </c>
      <c r="AV30">
        <f t="shared" si="22"/>
        <v>704694.72778726846</v>
      </c>
      <c r="AW30">
        <f t="shared" si="22"/>
        <v>98390.210944054183</v>
      </c>
      <c r="AX30">
        <f t="shared" si="22"/>
        <v>699744.85089028359</v>
      </c>
      <c r="AY30">
        <f t="shared" si="22"/>
        <v>81916.748524889117</v>
      </c>
      <c r="AZ30">
        <f t="shared" si="22"/>
        <v>694696.04488814552</v>
      </c>
      <c r="BA30">
        <f t="shared" si="22"/>
        <v>65067.551544468035</v>
      </c>
      <c r="BB30">
        <f t="shared" si="22"/>
        <v>689532.08331884071</v>
      </c>
      <c r="BC30">
        <f t="shared" si="22"/>
        <v>47928.096628048341</v>
      </c>
      <c r="BD30">
        <f t="shared" si="22"/>
        <v>684279.16315830906</v>
      </c>
      <c r="BE30">
        <f t="shared" si="22"/>
        <v>30446.089568821597</v>
      </c>
      <c r="BF30">
        <f t="shared" si="22"/>
        <v>678921.2572169716</v>
      </c>
      <c r="BG30">
        <f t="shared" si="22"/>
        <v>12614.684059765772</v>
      </c>
      <c r="BH30">
        <f t="shared" si="22"/>
        <v>673456.26723065635</v>
      </c>
      <c r="BI30">
        <f t="shared" si="22"/>
        <v>-5623.4286220169161</v>
      </c>
      <c r="BJ30">
        <f t="shared" si="22"/>
        <v>667866.62915503676</v>
      </c>
      <c r="BK30">
        <f t="shared" si="22"/>
        <v>-24175.725828419672</v>
      </c>
      <c r="BL30">
        <f t="shared" si="22"/>
        <v>662180.69943936495</v>
      </c>
      <c r="BM30">
        <f t="shared" si="22"/>
        <v>-43098.812490673736</v>
      </c>
      <c r="BN30">
        <f t="shared" si="22"/>
        <v>656381.12973820628</v>
      </c>
      <c r="BO30">
        <f t="shared" si="22"/>
        <v>-62400.099271676852</v>
      </c>
      <c r="BP30">
        <f t="shared" si="22"/>
        <v>0</v>
      </c>
      <c r="BQ30">
        <f t="shared" ref="BQ30:BU30" si="23">BQ24</f>
        <v>0</v>
      </c>
      <c r="BR30">
        <f t="shared" si="23"/>
        <v>0</v>
      </c>
      <c r="BS30">
        <f t="shared" si="23"/>
        <v>0</v>
      </c>
      <c r="BT30">
        <f t="shared" si="23"/>
        <v>0</v>
      </c>
      <c r="BU30">
        <f t="shared" si="23"/>
        <v>0</v>
      </c>
    </row>
    <row r="31" spans="1:73">
      <c r="A31" t="s">
        <v>325</v>
      </c>
      <c r="B31" t="s">
        <v>184</v>
      </c>
      <c r="C31">
        <f>SUM(D31:BU31)</f>
        <v>20257171.892233226</v>
      </c>
      <c r="D31">
        <f>IF(D26=1,0,D29+D30)</f>
        <v>0</v>
      </c>
      <c r="E31">
        <f t="shared" ref="E31:BP31" si="24">IF(E26=1,0,E29+E30)</f>
        <v>0</v>
      </c>
      <c r="F31">
        <f t="shared" si="24"/>
        <v>0</v>
      </c>
      <c r="G31">
        <f t="shared" si="24"/>
        <v>0</v>
      </c>
      <c r="H31">
        <f t="shared" si="24"/>
        <v>320459.03710749489</v>
      </c>
      <c r="I31">
        <f t="shared" si="24"/>
        <v>99498.167385116336</v>
      </c>
      <c r="J31">
        <f t="shared" si="24"/>
        <v>317694.32405581849</v>
      </c>
      <c r="K31">
        <f t="shared" si="24"/>
        <v>96717.627019557462</v>
      </c>
      <c r="L31">
        <f t="shared" si="24"/>
        <v>314886.0588455589</v>
      </c>
      <c r="M31">
        <f t="shared" si="24"/>
        <v>93850.225790866563</v>
      </c>
      <c r="N31">
        <f t="shared" si="24"/>
        <v>311990.06668010377</v>
      </c>
      <c r="O31">
        <f t="shared" si="24"/>
        <v>90945.216344759217</v>
      </c>
      <c r="P31">
        <f t="shared" si="24"/>
        <v>309056.09130465903</v>
      </c>
      <c r="Q31">
        <f t="shared" si="24"/>
        <v>87982.146871918667</v>
      </c>
      <c r="R31">
        <f t="shared" si="24"/>
        <v>306063.47698435304</v>
      </c>
      <c r="S31">
        <f t="shared" si="24"/>
        <v>84972.400558059599</v>
      </c>
      <c r="T31">
        <f t="shared" si="24"/>
        <v>303023.72040695848</v>
      </c>
      <c r="U31">
        <f t="shared" si="24"/>
        <v>81868.633252500964</v>
      </c>
      <c r="V31">
        <f t="shared" si="24"/>
        <v>299889.00535196217</v>
      </c>
      <c r="W31">
        <f t="shared" si="24"/>
        <v>78724.157602930645</v>
      </c>
      <c r="X31">
        <f t="shared" si="24"/>
        <v>296713.17604893271</v>
      </c>
      <c r="Y31">
        <f t="shared" si="24"/>
        <v>75516.83591321393</v>
      </c>
      <c r="Z31">
        <f t="shared" si="24"/>
        <v>293473.87406615645</v>
      </c>
      <c r="AA31">
        <f t="shared" si="24"/>
        <v>72258.989709651389</v>
      </c>
      <c r="AB31">
        <f t="shared" si="24"/>
        <v>290183.54378821346</v>
      </c>
      <c r="AC31">
        <f t="shared" si="24"/>
        <v>68899.372160958155</v>
      </c>
      <c r="AD31">
        <f t="shared" si="24"/>
        <v>684214.074103844</v>
      </c>
      <c r="AE31">
        <f t="shared" si="24"/>
        <v>146662.2572858546</v>
      </c>
      <c r="AF31">
        <f t="shared" si="24"/>
        <v>1073043.8460997068</v>
      </c>
      <c r="AG31">
        <f t="shared" si="24"/>
        <v>219149.7300746867</v>
      </c>
      <c r="AH31">
        <f t="shared" si="24"/>
        <v>1059121.9577739565</v>
      </c>
      <c r="AI31">
        <f t="shared" si="24"/>
        <v>205089.788519767</v>
      </c>
      <c r="AJ31">
        <f t="shared" si="24"/>
        <v>1044921.824153874</v>
      </c>
      <c r="AK31">
        <f t="shared" si="24"/>
        <v>190709.16113469214</v>
      </c>
      <c r="AL31">
        <f t="shared" si="24"/>
        <v>732272.82580145611</v>
      </c>
      <c r="AM31">
        <f t="shared" si="24"/>
        <v>176080.80139608099</v>
      </c>
      <c r="AN31">
        <f t="shared" si="24"/>
        <v>723555.55378948129</v>
      </c>
      <c r="AO31">
        <f t="shared" si="24"/>
        <v>161160.07670195331</v>
      </c>
      <c r="AP31">
        <f t="shared" si="24"/>
        <v>718982.63265880744</v>
      </c>
      <c r="AQ31">
        <f t="shared" si="24"/>
        <v>145941.14379518793</v>
      </c>
      <c r="AR31">
        <f t="shared" si="24"/>
        <v>714318.31632683706</v>
      </c>
      <c r="AS31">
        <f t="shared" si="24"/>
        <v>130375.09023260616</v>
      </c>
      <c r="AT31">
        <f t="shared" si="24"/>
        <v>709547.61405085807</v>
      </c>
      <c r="AU31">
        <f t="shared" si="24"/>
        <v>114540.88320348423</v>
      </c>
      <c r="AV31">
        <f t="shared" si="24"/>
        <v>704694.72778726846</v>
      </c>
      <c r="AW31">
        <f t="shared" si="24"/>
        <v>98390.210944054183</v>
      </c>
      <c r="AX31">
        <f t="shared" si="24"/>
        <v>699744.85089028359</v>
      </c>
      <c r="AY31">
        <f t="shared" si="24"/>
        <v>81916.748524889117</v>
      </c>
      <c r="AZ31">
        <f t="shared" si="24"/>
        <v>694696.04488814552</v>
      </c>
      <c r="BA31">
        <f t="shared" si="24"/>
        <v>65067.551544468035</v>
      </c>
      <c r="BB31">
        <f t="shared" si="24"/>
        <v>689532.08331884071</v>
      </c>
      <c r="BC31">
        <f t="shared" si="24"/>
        <v>47928.096628048341</v>
      </c>
      <c r="BD31">
        <f t="shared" si="24"/>
        <v>684279.16315830906</v>
      </c>
      <c r="BE31">
        <f t="shared" si="24"/>
        <v>30446.089568821597</v>
      </c>
      <c r="BF31">
        <f t="shared" si="24"/>
        <v>678921.2572169716</v>
      </c>
      <c r="BG31">
        <f t="shared" si="24"/>
        <v>12614.684059765772</v>
      </c>
      <c r="BH31">
        <f t="shared" si="24"/>
        <v>673456.26723065635</v>
      </c>
      <c r="BI31">
        <f t="shared" si="24"/>
        <v>-5623.4286220169161</v>
      </c>
      <c r="BJ31">
        <f t="shared" si="24"/>
        <v>667866.62915503676</v>
      </c>
      <c r="BK31">
        <f t="shared" si="24"/>
        <v>-24175.725828419672</v>
      </c>
      <c r="BL31">
        <f t="shared" si="24"/>
        <v>662180.69943936495</v>
      </c>
      <c r="BM31">
        <f t="shared" si="24"/>
        <v>-43098.812490673736</v>
      </c>
      <c r="BN31">
        <f t="shared" si="24"/>
        <v>656381.12973820628</v>
      </c>
      <c r="BO31">
        <f t="shared" si="24"/>
        <v>-62400.099271676852</v>
      </c>
      <c r="BP31">
        <f t="shared" si="24"/>
        <v>0</v>
      </c>
      <c r="BQ31">
        <f t="shared" ref="BQ31:BU31" si="25">IF(BQ26=1,0,BQ29+BQ30)</f>
        <v>0</v>
      </c>
      <c r="BR31">
        <f t="shared" si="25"/>
        <v>0</v>
      </c>
      <c r="BS31">
        <f t="shared" si="25"/>
        <v>0</v>
      </c>
      <c r="BT31">
        <f t="shared" si="25"/>
        <v>0</v>
      </c>
      <c r="BU31">
        <f t="shared" si="25"/>
        <v>0</v>
      </c>
    </row>
    <row r="32" spans="1:73">
      <c r="A32" t="s">
        <v>319</v>
      </c>
      <c r="B32" t="s">
        <v>184</v>
      </c>
      <c r="D32">
        <f>D29+D30-D31</f>
        <v>0</v>
      </c>
      <c r="E32">
        <f t="shared" ref="E32:BP32" si="26">E29+E30-E31</f>
        <v>0</v>
      </c>
      <c r="F32">
        <f t="shared" si="26"/>
        <v>0</v>
      </c>
      <c r="G32">
        <f t="shared" si="26"/>
        <v>0</v>
      </c>
      <c r="H32">
        <f t="shared" si="26"/>
        <v>0</v>
      </c>
      <c r="I32">
        <f t="shared" si="26"/>
        <v>0</v>
      </c>
      <c r="J32">
        <f t="shared" si="26"/>
        <v>0</v>
      </c>
      <c r="K32">
        <f t="shared" si="26"/>
        <v>0</v>
      </c>
      <c r="L32">
        <f t="shared" si="26"/>
        <v>0</v>
      </c>
      <c r="M32">
        <f t="shared" si="26"/>
        <v>0</v>
      </c>
      <c r="N32">
        <f t="shared" si="26"/>
        <v>0</v>
      </c>
      <c r="O32">
        <f t="shared" si="26"/>
        <v>0</v>
      </c>
      <c r="P32">
        <f t="shared" si="26"/>
        <v>0</v>
      </c>
      <c r="Q32">
        <f t="shared" si="26"/>
        <v>0</v>
      </c>
      <c r="R32">
        <f t="shared" si="26"/>
        <v>0</v>
      </c>
      <c r="S32">
        <f t="shared" si="26"/>
        <v>0</v>
      </c>
      <c r="T32">
        <f t="shared" si="26"/>
        <v>0</v>
      </c>
      <c r="U32">
        <f t="shared" si="26"/>
        <v>0</v>
      </c>
      <c r="V32">
        <f t="shared" si="26"/>
        <v>0</v>
      </c>
      <c r="W32">
        <f t="shared" si="26"/>
        <v>0</v>
      </c>
      <c r="X32">
        <f t="shared" si="26"/>
        <v>0</v>
      </c>
      <c r="Y32">
        <f t="shared" si="26"/>
        <v>0</v>
      </c>
      <c r="Z32">
        <f t="shared" si="26"/>
        <v>0</v>
      </c>
      <c r="AA32">
        <f t="shared" si="26"/>
        <v>0</v>
      </c>
      <c r="AB32">
        <f t="shared" si="26"/>
        <v>0</v>
      </c>
      <c r="AC32">
        <f t="shared" si="26"/>
        <v>0</v>
      </c>
      <c r="AD32">
        <f t="shared" si="26"/>
        <v>0</v>
      </c>
      <c r="AE32">
        <f t="shared" si="26"/>
        <v>0</v>
      </c>
      <c r="AF32">
        <f t="shared" si="26"/>
        <v>0</v>
      </c>
      <c r="AG32">
        <f t="shared" si="26"/>
        <v>0</v>
      </c>
      <c r="AH32">
        <f t="shared" si="26"/>
        <v>0</v>
      </c>
      <c r="AI32">
        <f t="shared" si="26"/>
        <v>0</v>
      </c>
      <c r="AJ32">
        <f t="shared" si="26"/>
        <v>0</v>
      </c>
      <c r="AK32">
        <f t="shared" si="26"/>
        <v>0</v>
      </c>
      <c r="AL32">
        <f t="shared" si="26"/>
        <v>0</v>
      </c>
      <c r="AM32">
        <f t="shared" si="26"/>
        <v>0</v>
      </c>
      <c r="AN32">
        <f t="shared" si="26"/>
        <v>0</v>
      </c>
      <c r="AO32">
        <f t="shared" si="26"/>
        <v>0</v>
      </c>
      <c r="AP32">
        <f t="shared" si="26"/>
        <v>0</v>
      </c>
      <c r="AQ32">
        <f t="shared" si="26"/>
        <v>0</v>
      </c>
      <c r="AR32">
        <f t="shared" si="26"/>
        <v>0</v>
      </c>
      <c r="AS32">
        <f t="shared" si="26"/>
        <v>0</v>
      </c>
      <c r="AT32">
        <f t="shared" si="26"/>
        <v>0</v>
      </c>
      <c r="AU32">
        <f t="shared" si="26"/>
        <v>0</v>
      </c>
      <c r="AV32">
        <f t="shared" si="26"/>
        <v>0</v>
      </c>
      <c r="AW32">
        <f t="shared" si="26"/>
        <v>0</v>
      </c>
      <c r="AX32">
        <f t="shared" si="26"/>
        <v>0</v>
      </c>
      <c r="AY32">
        <f t="shared" si="26"/>
        <v>0</v>
      </c>
      <c r="AZ32">
        <f t="shared" si="26"/>
        <v>0</v>
      </c>
      <c r="BA32">
        <f t="shared" si="26"/>
        <v>0</v>
      </c>
      <c r="BB32">
        <f t="shared" si="26"/>
        <v>0</v>
      </c>
      <c r="BC32">
        <f t="shared" si="26"/>
        <v>0</v>
      </c>
      <c r="BD32">
        <f t="shared" si="26"/>
        <v>0</v>
      </c>
      <c r="BE32">
        <f t="shared" si="26"/>
        <v>0</v>
      </c>
      <c r="BF32">
        <f t="shared" si="26"/>
        <v>0</v>
      </c>
      <c r="BG32">
        <f t="shared" si="26"/>
        <v>0</v>
      </c>
      <c r="BH32">
        <f t="shared" si="26"/>
        <v>0</v>
      </c>
      <c r="BI32">
        <f t="shared" si="26"/>
        <v>0</v>
      </c>
      <c r="BJ32">
        <f t="shared" si="26"/>
        <v>0</v>
      </c>
      <c r="BK32">
        <f t="shared" si="26"/>
        <v>0</v>
      </c>
      <c r="BL32">
        <f t="shared" si="26"/>
        <v>0</v>
      </c>
      <c r="BM32">
        <f t="shared" si="26"/>
        <v>0</v>
      </c>
      <c r="BN32">
        <f t="shared" si="26"/>
        <v>0</v>
      </c>
      <c r="BO32">
        <f t="shared" si="26"/>
        <v>0</v>
      </c>
      <c r="BP32">
        <f t="shared" si="26"/>
        <v>0</v>
      </c>
      <c r="BQ32">
        <f t="shared" ref="BQ32:BU32" si="27">BQ29+BQ30-BQ31</f>
        <v>0</v>
      </c>
      <c r="BR32">
        <f t="shared" si="27"/>
        <v>0</v>
      </c>
      <c r="BS32">
        <f t="shared" si="27"/>
        <v>0</v>
      </c>
      <c r="BT32">
        <f t="shared" si="27"/>
        <v>0</v>
      </c>
      <c r="BU32">
        <f t="shared" si="27"/>
        <v>0</v>
      </c>
    </row>
    <row r="33" spans="1:4" ht="15.75">
      <c r="A33" s="57" t="s">
        <v>206</v>
      </c>
      <c r="B33" s="57"/>
      <c r="C33" s="57"/>
    </row>
    <row r="34" spans="1:4">
      <c r="A34" t="s">
        <v>320</v>
      </c>
      <c r="B34" t="s">
        <v>165</v>
      </c>
      <c r="C34">
        <f>IF(MIN(D32:BU32)&gt;=0,0,1)</f>
        <v>0</v>
      </c>
      <c r="D34" s="37" t="s">
        <v>167</v>
      </c>
    </row>
    <row r="35" spans="1:4" ht="30">
      <c r="A35" s="52" t="s">
        <v>326</v>
      </c>
      <c r="B35" s="53" t="s">
        <v>165</v>
      </c>
      <c r="C35">
        <f>IF(ABS(C8-C9+C15-C31-BU32)&lt;1,0,1)</f>
        <v>0</v>
      </c>
      <c r="D35" s="37" t="s">
        <v>167</v>
      </c>
    </row>
    <row r="36" spans="1:4">
      <c r="A36" t="s">
        <v>314</v>
      </c>
      <c r="B36" t="s">
        <v>324</v>
      </c>
      <c r="C36">
        <f>SUM(D26:BU26)</f>
        <v>0</v>
      </c>
      <c r="D36" s="37" t="s">
        <v>323</v>
      </c>
    </row>
    <row r="37" spans="1:4">
      <c r="A37" t="s">
        <v>321</v>
      </c>
      <c r="B37" t="s">
        <v>324</v>
      </c>
      <c r="C37">
        <f>SUM(D27:BU27)</f>
        <v>0</v>
      </c>
      <c r="D37" s="37" t="s">
        <v>322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60</v>
      </c>
    </row>
    <row r="2" spans="1:1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62</v>
      </c>
    </row>
    <row r="2" spans="1:1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64</v>
      </c>
    </row>
    <row r="2" spans="1:1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2026-10-28T19:12:18Z</dcterms:modified>
</cp:coreProperties>
</file>