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Projects\hydro-project-finance\exercises\"/>
    </mc:Choice>
  </mc:AlternateContent>
  <bookViews>
    <workbookView xWindow="0" yWindow="0" windowWidth="28800" windowHeight="12315"/>
  </bookViews>
  <sheets>
    <sheet name="Sculpting_3p" sheetId="1" r:id="rId1"/>
  </sheets>
  <calcPr calcId="152511"/>
</workbook>
</file>

<file path=xl/calcChain.xml><?xml version="1.0" encoding="utf-8"?>
<calcChain xmlns="http://schemas.openxmlformats.org/spreadsheetml/2006/main">
  <c r="B27" i="1" l="1"/>
  <c r="C19" i="1" l="1"/>
  <c r="D19" i="1"/>
  <c r="B19" i="1"/>
  <c r="B17" i="1" s="1"/>
  <c r="B18" i="1" s="1"/>
  <c r="C20" i="1"/>
  <c r="D20" i="1"/>
  <c r="B20" i="1"/>
  <c r="B24" i="1"/>
  <c r="B14" i="1"/>
  <c r="B12" i="1"/>
  <c r="B25" i="1"/>
  <c r="B23" i="1" l="1"/>
  <c r="B13" i="1"/>
  <c r="D13" i="1"/>
  <c r="C13" i="1"/>
  <c r="C12" i="1"/>
  <c r="C14" i="1" s="1"/>
  <c r="D12" i="1"/>
  <c r="D14" i="1" s="1"/>
  <c r="B22" i="1"/>
  <c r="B15" i="1"/>
  <c r="B16" i="1" l="1"/>
  <c r="C15" i="1" l="1"/>
  <c r="C16" i="1" l="1"/>
  <c r="C17" i="1" s="1"/>
  <c r="C18" i="1" s="1"/>
  <c r="D15" i="1" l="1"/>
  <c r="D16" i="1" l="1"/>
  <c r="D17" i="1" s="1"/>
  <c r="D18" i="1" s="1"/>
</calcChain>
</file>

<file path=xl/sharedStrings.xml><?xml version="1.0" encoding="utf-8"?>
<sst xmlns="http://schemas.openxmlformats.org/spreadsheetml/2006/main" count="22" uniqueCount="22">
  <si>
    <t>Exercise 1: debt sizing and sculpting by hand (3 periods)</t>
  </si>
  <si>
    <t>Inputs</t>
  </si>
  <si>
    <t>Target DSCR</t>
  </si>
  <si>
    <t>Interest rate per period</t>
  </si>
  <si>
    <t>Total project cost (USD M)</t>
  </si>
  <si>
    <t>Maximum gearing</t>
  </si>
  <si>
    <t>Period</t>
  </si>
  <si>
    <t>CFADS (USD M)</t>
  </si>
  <si>
    <t>Max debt service = CFADS / DSCR</t>
  </si>
  <si>
    <t>Discount factor</t>
  </si>
  <si>
    <t>PV of max debt service</t>
  </si>
  <si>
    <t>Opening balance</t>
  </si>
  <si>
    <t>Interest</t>
  </si>
  <si>
    <t>Principal</t>
  </si>
  <si>
    <t>Closing balance</t>
  </si>
  <si>
    <t>Total debt service</t>
  </si>
  <si>
    <t>Resulting DSCR</t>
  </si>
  <si>
    <t>Debt capacity by DSCR (sum of PV)</t>
  </si>
  <si>
    <t>Debt limit by gearing</t>
  </si>
  <si>
    <t>Debt amount (the smaller one)</t>
  </si>
  <si>
    <t>Which limit binds?</t>
  </si>
  <si>
    <t>Adjustment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</si>
</sst>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color rgb="FF0000FF"/>
      <name val="Calibri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workbookViewId="0">
      <selection activeCell="H18" sqref="H18"/>
    </sheetView>
  </sheetViews>
  <sheetFormatPr baseColWidth="10" defaultColWidth="9.140625" defaultRowHeight="15" x14ac:dyDescent="0.25"/>
  <cols>
    <col min="1" max="1" width="38" customWidth="1"/>
    <col min="2" max="4" width="10.5703125" bestFit="1" customWidth="1"/>
  </cols>
  <sheetData>
    <row r="1" spans="1:4" ht="17.25" x14ac:dyDescent="0.3">
      <c r="A1" s="1" t="s">
        <v>0</v>
      </c>
    </row>
    <row r="3" spans="1:4" x14ac:dyDescent="0.25">
      <c r="A3" s="2" t="s">
        <v>1</v>
      </c>
    </row>
    <row r="4" spans="1:4" x14ac:dyDescent="0.25">
      <c r="A4" t="s">
        <v>2</v>
      </c>
      <c r="B4" s="3">
        <v>1.3</v>
      </c>
    </row>
    <row r="5" spans="1:4" x14ac:dyDescent="0.25">
      <c r="A5" t="s">
        <v>3</v>
      </c>
      <c r="B5" s="3">
        <v>0.05</v>
      </c>
    </row>
    <row r="6" spans="1:4" x14ac:dyDescent="0.25">
      <c r="A6" t="s">
        <v>4</v>
      </c>
      <c r="B6" s="3">
        <v>28</v>
      </c>
    </row>
    <row r="7" spans="1:4" x14ac:dyDescent="0.25">
      <c r="A7" t="s">
        <v>5</v>
      </c>
      <c r="B7" s="3">
        <v>0.7</v>
      </c>
    </row>
    <row r="10" spans="1:4" x14ac:dyDescent="0.25">
      <c r="A10" s="2" t="s">
        <v>6</v>
      </c>
      <c r="B10" s="2">
        <v>1</v>
      </c>
      <c r="C10" s="2">
        <v>2</v>
      </c>
      <c r="D10" s="2">
        <v>3</v>
      </c>
    </row>
    <row r="11" spans="1:4" x14ac:dyDescent="0.25">
      <c r="A11" t="s">
        <v>7</v>
      </c>
      <c r="B11" s="3">
        <v>10</v>
      </c>
      <c r="C11" s="3">
        <v>12</v>
      </c>
      <c r="D11" s="3">
        <v>8</v>
      </c>
    </row>
    <row r="12" spans="1:4" x14ac:dyDescent="0.25">
      <c r="A12" t="s">
        <v>8</v>
      </c>
      <c r="B12" s="4">
        <f>B11/$B$4</f>
        <v>7.6923076923076916</v>
      </c>
      <c r="C12" s="4">
        <f t="shared" ref="C12:D12" si="0">C11/$B$4</f>
        <v>9.2307692307692299</v>
      </c>
      <c r="D12" s="4">
        <f t="shared" si="0"/>
        <v>6.1538461538461533</v>
      </c>
    </row>
    <row r="13" spans="1:4" x14ac:dyDescent="0.25">
      <c r="A13" t="s">
        <v>9</v>
      </c>
      <c r="B13" s="4">
        <f>1/(1+$B$5)^B10</f>
        <v>0.95238095238095233</v>
      </c>
      <c r="C13" s="4">
        <f>1/(1+$B$5)^C10</f>
        <v>0.90702947845804982</v>
      </c>
      <c r="D13" s="4">
        <f>1/(1+$B$5)^D10</f>
        <v>0.86383759853147601</v>
      </c>
    </row>
    <row r="14" spans="1:4" x14ac:dyDescent="0.25">
      <c r="A14" t="s">
        <v>10</v>
      </c>
      <c r="B14" s="4">
        <f>B12*B13</f>
        <v>7.3260073260073248</v>
      </c>
      <c r="C14" s="4">
        <f t="shared" ref="C14:D14" si="1">C12*C13</f>
        <v>8.3725798011512289</v>
      </c>
      <c r="D14" s="4">
        <f t="shared" si="1"/>
        <v>5.3159236832706211</v>
      </c>
    </row>
    <row r="15" spans="1:4" x14ac:dyDescent="0.25">
      <c r="A15" t="s">
        <v>11</v>
      </c>
      <c r="B15" s="4">
        <f>$B$24</f>
        <v>19.599999999999998</v>
      </c>
      <c r="C15" s="4">
        <f>B18</f>
        <v>13.405470355731223</v>
      </c>
      <c r="D15" s="4">
        <f>C18</f>
        <v>5.4663083003952559</v>
      </c>
    </row>
    <row r="16" spans="1:4" x14ac:dyDescent="0.25">
      <c r="A16" t="s">
        <v>12</v>
      </c>
      <c r="B16" s="4">
        <f>B15*$B$5</f>
        <v>0.98</v>
      </c>
      <c r="C16" s="4">
        <f t="shared" ref="C16:D16" si="2">C15*$B$5</f>
        <v>0.67027351778656119</v>
      </c>
      <c r="D16" s="4">
        <f t="shared" si="2"/>
        <v>0.27331541501976281</v>
      </c>
    </row>
    <row r="17" spans="1:20" x14ac:dyDescent="0.25">
      <c r="A17" t="s">
        <v>13</v>
      </c>
      <c r="B17" s="4">
        <f>B19-B16</f>
        <v>6.1945296442687745</v>
      </c>
      <c r="C17" s="4">
        <f t="shared" ref="C17:D17" si="3">C19-C16</f>
        <v>7.9391620553359674</v>
      </c>
      <c r="D17" s="4">
        <f t="shared" si="3"/>
        <v>5.4663083003952568</v>
      </c>
    </row>
    <row r="18" spans="1:20" x14ac:dyDescent="0.25">
      <c r="A18" t="s">
        <v>14</v>
      </c>
      <c r="B18" s="4">
        <f>B15-B17</f>
        <v>13.405470355731223</v>
      </c>
      <c r="C18" s="4">
        <f t="shared" ref="C18:D18" si="4">C15-C17</f>
        <v>5.4663083003952559</v>
      </c>
      <c r="D18" s="4">
        <f t="shared" si="4"/>
        <v>0</v>
      </c>
    </row>
    <row r="19" spans="1:20" x14ac:dyDescent="0.25">
      <c r="A19" t="s">
        <v>15</v>
      </c>
      <c r="B19" s="4">
        <f>B12*$B$27</f>
        <v>7.174529644268774</v>
      </c>
      <c r="C19" s="4">
        <f t="shared" ref="C19:D19" si="5">C12*$B$27</f>
        <v>8.6094355731225285</v>
      </c>
      <c r="D19" s="4">
        <f t="shared" si="5"/>
        <v>5.7396237154150196</v>
      </c>
    </row>
    <row r="20" spans="1:20" x14ac:dyDescent="0.25">
      <c r="A20" t="s">
        <v>16</v>
      </c>
      <c r="B20" s="4">
        <f>B11/B19</f>
        <v>1.3938195945692824</v>
      </c>
      <c r="C20" s="4">
        <f t="shared" ref="C20:D20" si="6">C11/C19</f>
        <v>1.3938195945692824</v>
      </c>
      <c r="D20" s="4">
        <f t="shared" si="6"/>
        <v>1.3938195945692822</v>
      </c>
    </row>
    <row r="22" spans="1:20" x14ac:dyDescent="0.25">
      <c r="A22" s="2" t="s">
        <v>17</v>
      </c>
      <c r="B22" s="4">
        <f>SUM(B14:D14)</f>
        <v>21.014510810429176</v>
      </c>
    </row>
    <row r="23" spans="1:20" x14ac:dyDescent="0.25">
      <c r="A23" s="2" t="s">
        <v>18</v>
      </c>
      <c r="B23" s="4">
        <f>B6*B7</f>
        <v>19.599999999999998</v>
      </c>
    </row>
    <row r="24" spans="1:20" x14ac:dyDescent="0.25">
      <c r="A24" s="2" t="s">
        <v>19</v>
      </c>
      <c r="B24" s="4">
        <f>MIN(B22:B23)</f>
        <v>19.599999999999998</v>
      </c>
      <c r="T24" s="5"/>
    </row>
    <row r="25" spans="1:20" x14ac:dyDescent="0.25">
      <c r="A25" s="2" t="s">
        <v>20</v>
      </c>
      <c r="B25" s="8" t="str">
        <f>IF(B22&lt;=B23,"DSCR","Gearing")</f>
        <v>Gearing</v>
      </c>
    </row>
    <row r="26" spans="1:20" x14ac:dyDescent="0.25">
      <c r="D26" s="5"/>
    </row>
    <row r="27" spans="1:20" x14ac:dyDescent="0.25">
      <c r="A27" s="6" t="s">
        <v>21</v>
      </c>
      <c r="B27" s="7">
        <f>B24/B22</f>
        <v>0.93268885375494071</v>
      </c>
      <c r="F27" s="5"/>
    </row>
    <row r="29" spans="1:20" x14ac:dyDescent="0.25">
      <c r="F29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Sculpting_3p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2026-10-22T22:38:33Z</dcterms:created>
  <dcterms:modified xsi:type="dcterms:W3CDTF">2026-10-24T02:20:22Z</dcterms:modified>
</cp:coreProperties>
</file>